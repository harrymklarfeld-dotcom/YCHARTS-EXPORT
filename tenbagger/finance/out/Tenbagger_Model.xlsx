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Assumptions" sheetId="1" state="visible" r:id="rId3"/>
    <sheet name="Monthly_Base" sheetId="2" state="visible" r:id="rId4"/>
    <sheet name="Monthly_Bear" sheetId="3" state="visible" r:id="rId5"/>
    <sheet name="Monthly_Bull" sheetId="4" state="visible" r:id="rId6"/>
    <sheet name="Annual_PnL" sheetId="5" state="visible" r:id="rId7"/>
    <sheet name="KPIs" sheetId="6" state="visible" r:id="rId8"/>
    <sheet name="Sensitivity" sheetId="7" state="visible" r:id="rId9"/>
    <sheet name="Sourc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<sst xmlns="http://schemas.openxmlformats.org/spreadsheetml/2006/main" count="1594" uniqueCount="742">
  <si>
    <t xml:space="preserve">Tenbagger model: assumptions (edit the blue cells; everything else recalculates)</t>
  </si>
  <si>
    <t xml:space="preserve">Blue = input. Black = formula. Bear/Bull cells in black follow Base; type a value to override. Mirrors tenbagger/finance/assumptions.yaml (re-run model.py to refresh Python outputs).</t>
  </si>
  <si>
    <t xml:space="preserve">Section</t>
  </si>
  <si>
    <t xml:space="preserve">Key</t>
  </si>
  <si>
    <t xml:space="preserve">Driver</t>
  </si>
  <si>
    <t xml:space="preserve">Unit</t>
  </si>
  <si>
    <t xml:space="preserve">Base</t>
  </si>
  <si>
    <t xml:space="preserve">Bear</t>
  </si>
  <si>
    <t xml:space="preserve">Bull</t>
  </si>
  <si>
    <t xml:space="preserve">Source / why</t>
  </si>
  <si>
    <t xml:space="preserve">SWITCHES</t>
  </si>
  <si>
    <t xml:space="preserve">Switches</t>
  </si>
  <si>
    <t xml:space="preserve">ads_on</t>
  </si>
  <si>
    <t xml:space="preserve">In-app ads on the free tier</t>
  </si>
  <si>
    <t xml:space="preserve">toggle</t>
  </si>
  <si>
    <t xml:space="preserve">Founder request. Never shown to Pro. [U]</t>
  </si>
  <si>
    <t xml:space="preserve">affiliate_on</t>
  </si>
  <si>
    <t xml:space="preserve">Affiliate offers (education-adjacent only, no credit)</t>
  </si>
  <si>
    <t xml:space="preserve">Founder request. Brand guardrail PS §5: never reward trading. [U]</t>
  </si>
  <si>
    <t xml:space="preserve">b2b_on</t>
  </si>
  <si>
    <t xml:space="preserve">B2B / Edu licences (Classroom Pro, campus)</t>
  </si>
  <si>
    <t xml:space="preserve">PS §4: 'Edu (later)'. Off by default.</t>
  </si>
  <si>
    <t xml:space="preserve">llm_on</t>
  </si>
  <si>
    <t xml:space="preserve">AI tutor enabled (v2)</t>
  </si>
  <si>
    <t xml:space="preserve">PS idea #21; v2 feature</t>
  </si>
  <si>
    <t xml:space="preserve">plaid_on</t>
  </si>
  <si>
    <t xml:space="preserve">Bank / brokerage linking (Plaid) enabled</t>
  </si>
  <si>
    <t xml:space="preserve">MH §5 Option C: free = 1 bank, Pro = unlimited</t>
  </si>
  <si>
    <t xml:space="preserve">founder_salary_on</t>
  </si>
  <si>
    <t xml:space="preserve">Pay founder salary</t>
  </si>
  <si>
    <t xml:space="preserve">BENCHMARKS §C excludes founder pay; $5k/mo 'ramen' hurdle shown separately</t>
  </si>
  <si>
    <t xml:space="preserve">soc2_on</t>
  </si>
  <si>
    <t xml:space="preserve">SOC 2 programme (needed only for B2B)</t>
  </si>
  <si>
    <t xml:space="preserve">[U] Off until a B2B buyer asks</t>
  </si>
  <si>
    <t xml:space="preserve">ACQUISITION</t>
  </si>
  <si>
    <t xml:space="preserve">Acquisition</t>
  </si>
  <si>
    <t xml:space="preserve">organic_installs_m1</t>
  </si>
  <si>
    <t xml:space="preserve">Organic installs (SEO / ASO / social), month 1</t>
  </si>
  <si>
    <t xml:space="preserve">count</t>
  </si>
  <si>
    <t xml:space="preserve">BENCHMARKS C1 base 1,500 total m1 x 70% non-paid share; [S54] Stock Analysis SEO; [S35] Finelo ~2.1k/day</t>
  </si>
  <si>
    <t xml:space="preserve">organic_growth</t>
  </si>
  <si>
    <t xml:space="preserve">Organic installs growth, month over month</t>
  </si>
  <si>
    <t xml:space="preserve">pct</t>
  </si>
  <si>
    <t xml:space="preserve">BENCHMARKS C1 (7% base; author judgment)</t>
  </si>
  <si>
    <t xml:space="preserve">referral_installs_per_mau</t>
  </si>
  <si>
    <t xml:space="preserve">Referral installs per prior-month MAU</t>
  </si>
  <si>
    <t xml:space="preserve">x</t>
  </si>
  <si>
    <t xml:space="preserve">[U] author. Share cards (PS idea #2); Robinhood referral waitlist [S62]</t>
  </si>
  <si>
    <t xml:space="preserve">creator_start_month</t>
  </si>
  <si>
    <t xml:space="preserve">Creator sponsorships start (month)</t>
  </si>
  <si>
    <t xml:space="preserve">month</t>
  </si>
  <si>
    <t xml:space="preserve">[U] after onboarding is tuned (PS §7 gates)</t>
  </si>
  <si>
    <t xml:space="preserve">creator_budget_m1</t>
  </si>
  <si>
    <t xml:space="preserve">Creator spend in start month</t>
  </si>
  <si>
    <t xml:space="preserve">usd</t>
  </si>
  <si>
    <t xml:space="preserve">[U] author; Brilliant's main channel [S27]</t>
  </si>
  <si>
    <t xml:space="preserve">creator_budget_growth</t>
  </si>
  <si>
    <t xml:space="preserve">Creator spend growth, month over month</t>
  </si>
  <si>
    <t xml:space="preserve">[U] author</t>
  </si>
  <si>
    <t xml:space="preserve">creator_cpi</t>
  </si>
  <si>
    <t xml:space="preserve">Creator cost per install</t>
  </si>
  <si>
    <t xml:space="preserve">usd_c</t>
  </si>
  <si>
    <t xml:space="preserve">[S20][U] $40-80 CPM x ~0.5% view-to-install = ~$10 CPI; base assumes CPA-style deals</t>
  </si>
  <si>
    <t xml:space="preserve">asa_start_month</t>
  </si>
  <si>
    <t xml:space="preserve">Apple Search Ads start (month)</t>
  </si>
  <si>
    <t xml:space="preserve">[U]</t>
  </si>
  <si>
    <t xml:space="preserve">asa_budget_m1</t>
  </si>
  <si>
    <t xml:space="preserve">Apple Search Ads spend in start month</t>
  </si>
  <si>
    <t xml:space="preserve">[U] test budget; PS §7 ads tests $300-500</t>
  </si>
  <si>
    <t xml:space="preserve">asa_budget_growth</t>
  </si>
  <si>
    <t xml:space="preserve">ASA spend growth, month over month</t>
  </si>
  <si>
    <t xml:space="preserve">[U] kept small: paid LTV/CAC &lt; 1 in BENCHMARKS B4</t>
  </si>
  <si>
    <t xml:space="preserve">asa_cpi</t>
  </si>
  <si>
    <t xml:space="preserve">Apple Search Ads cost per install</t>
  </si>
  <si>
    <t xml:space="preserve">[S17][S] Finance CPA $13.28, all-category $3.76; [S18][U] Education CPT ~$1.24. Base bids education keywords</t>
  </si>
  <si>
    <t xml:space="preserve">ENGAGEMENT</t>
  </si>
  <si>
    <t xml:space="preserve">Engagement</t>
  </si>
  <si>
    <t xml:space="preserve">activation_rate</t>
  </si>
  <si>
    <t xml:space="preserve">Installs that activate (finish first lesson)</t>
  </si>
  <si>
    <t xml:space="preserve">PS §7 W8 target 150 of 200 (75%) invited testers; public installs lower [U]</t>
  </si>
  <si>
    <t xml:space="preserve">d30_retention</t>
  </si>
  <si>
    <t xml:space="preserve">Free installs still active the following month (D30)</t>
  </si>
  <si>
    <t xml:space="preserve">[S85][U] finance D30 2-6%; PS §7 gate D30 &gt;= 7%. Habit product assumed above median</t>
  </si>
  <si>
    <t xml:space="preserve">retained_decay</t>
  </si>
  <si>
    <t xml:space="preserve">Monthly decay of the retained free pool</t>
  </si>
  <si>
    <t xml:space="preserve">BENCHMARKS C1 uses 7%/mo decay</t>
  </si>
  <si>
    <t xml:space="preserve">CONVERSION</t>
  </si>
  <si>
    <t xml:space="preserve">Conversion</t>
  </si>
  <si>
    <t xml:space="preserve">trial_start_rate</t>
  </si>
  <si>
    <t xml:space="preserve">Trial / paywall starts as share of activated users</t>
  </si>
  <si>
    <t xml:space="preserve">PS §7 gate: trial starts &gt;= 8% of activated</t>
  </si>
  <si>
    <t xml:space="preserve">trial_to_paid</t>
  </si>
  <si>
    <t xml:space="preserve">Trial-to-paid</t>
  </si>
  <si>
    <t xml:space="preserve">[S13][S] 37.4% for 5-9 day trials; PS gate &gt;= 25%</t>
  </si>
  <si>
    <t xml:space="preserve">mix_monthly</t>
  </si>
  <si>
    <t xml:space="preserve">New payers choosing monthly plan</t>
  </si>
  <si>
    <t xml:space="preserve">BENCHMARKS B2: 60% annual among monthly+annual</t>
  </si>
  <si>
    <t xml:space="preserve">mix_annual</t>
  </si>
  <si>
    <t xml:space="preserve">New payers choosing annual plan (student = remainder)</t>
  </si>
  <si>
    <t xml:space="preserve">BENCHMARKS B2; annual plans retain best [S14]</t>
  </si>
  <si>
    <t xml:space="preserve">pass_rate</t>
  </si>
  <si>
    <t xml:space="preserve">Recruiting Pass purchases per activated user</t>
  </si>
  <si>
    <t xml:space="preserve">PS §7 gate: &gt;= 5 purchases per ~100 student testers; students ~ a third of users [U]</t>
  </si>
  <si>
    <t xml:space="preserve">PRICING</t>
  </si>
  <si>
    <t xml:space="preserve">Pricing</t>
  </si>
  <si>
    <t xml:space="preserve">price_monthly</t>
  </si>
  <si>
    <t xml:space="preserve">Pro monthly price</t>
  </si>
  <si>
    <t xml:space="preserve">PS §4; BENCHMARKS C1 base; Monarch/Copilot $13-15 [S30][S31]</t>
  </si>
  <si>
    <t xml:space="preserve">price_annual</t>
  </si>
  <si>
    <t xml:space="preserve">Pro annual price</t>
  </si>
  <si>
    <t xml:space="preserve">PS §4; Stock Analysis $79 [S56]; Monarch $99.99 [S30]</t>
  </si>
  <si>
    <t xml:space="preserve">price_student</t>
  </si>
  <si>
    <t xml:space="preserve">Student annual price (.edu verified)</t>
  </si>
  <si>
    <t xml:space="preserve">PS §4 (~50% off, Spotify Student norm)</t>
  </si>
  <si>
    <t xml:space="preserve">price_pass</t>
  </si>
  <si>
    <t xml:space="preserve">Recruiting Pass, one-time (4 months)</t>
  </si>
  <si>
    <t xml:space="preserve">PS §4 (10% of WSP/BIWS [S69][S70])</t>
  </si>
  <si>
    <t xml:space="preserve">store_fee</t>
  </si>
  <si>
    <t xml:space="preserve">App store commission</t>
  </si>
  <si>
    <t xml:space="preserve">[S83][S] Apple Small Business Program &lt; $1M proceeds; Google 15% on subscriptions</t>
  </si>
  <si>
    <t xml:space="preserve">refund_rate</t>
  </si>
  <si>
    <t xml:space="preserve">Refunds as share of gross in-app sales</t>
  </si>
  <si>
    <t xml:space="preserve">[U] author estimate; PS pricing rules (no weekly traps) limit refunds</t>
  </si>
  <si>
    <t xml:space="preserve">RETENTION</t>
  </si>
  <si>
    <t xml:space="preserve">Retention</t>
  </si>
  <si>
    <t xml:space="preserve">ret12_monthly</t>
  </si>
  <si>
    <t xml:space="preserve">Monthly plans still subscribed after 12 months</t>
  </si>
  <si>
    <t xml:space="preserve">[S14][S] RevenueCat 2025: 17.0%</t>
  </si>
  <si>
    <t xml:space="preserve">renew_annual</t>
  </si>
  <si>
    <t xml:space="preserve">Annual plan renewal rate</t>
  </si>
  <si>
    <t xml:space="preserve">[S14][S] RevenueCat 2025: 44.1%</t>
  </si>
  <si>
    <t xml:space="preserve">renew_student</t>
  </si>
  <si>
    <t xml:space="preserve">Student plan renewal rate</t>
  </si>
  <si>
    <t xml:space="preserve">[U] below annual: students graduate / leave</t>
  </si>
  <si>
    <t xml:space="preserve">ADS</t>
  </si>
  <si>
    <t xml:space="preserve">Ads</t>
  </si>
  <si>
    <t xml:space="preserve">ads_start_month</t>
  </si>
  <si>
    <t xml:space="preserve">Ads start (month)</t>
  </si>
  <si>
    <t xml:space="preserve">[U] after launch trust is built</t>
  </si>
  <si>
    <t xml:space="preserve">ad_share_free_mau</t>
  </si>
  <si>
    <t xml:space="preserve">Share of free MAU who see ads</t>
  </si>
  <si>
    <t xml:space="preserve">[U] excludes under-18s, consent declines, ad-free trial periods</t>
  </si>
  <si>
    <t xml:space="preserve">imps_article</t>
  </si>
  <si>
    <t xml:space="preserve">Impressions / ad-seeing free MAU / month: article &amp; lesson end (banner/native)</t>
  </si>
  <si>
    <t xml:space="preserve">[U] author: ~2 per session x ~4 sessions</t>
  </si>
  <si>
    <t xml:space="preserve">imps_screener</t>
  </si>
  <si>
    <t xml:space="preserve">Impressions / ad-seeing free MAU / month: screener native slot</t>
  </si>
  <si>
    <t xml:space="preserve">imps_rewarded</t>
  </si>
  <si>
    <t xml:space="preserve">Impressions / ad-seeing free MAU / month: opt-in rewarded (e.g. unlock extra lesson)</t>
  </si>
  <si>
    <t xml:space="preserve">ecpm_article</t>
  </si>
  <si>
    <t xml:space="preserve">eCPM: article-end banner/native</t>
  </si>
  <si>
    <t xml:space="preserve">[U] typical US in-app banner $0.5-1.5, native $2-5; not in sources.json - verify with AdMob/AppLovin</t>
  </si>
  <si>
    <t xml:space="preserve">ecpm_screener</t>
  </si>
  <si>
    <t xml:space="preserve">eCPM: screener native</t>
  </si>
  <si>
    <t xml:space="preserve">[U] typical US in-app native $2-5; finance intent may price higher - verify</t>
  </si>
  <si>
    <t xml:space="preserve">ecpm_rewarded</t>
  </si>
  <si>
    <t xml:space="preserve">eCPM: opt-in rewarded video</t>
  </si>
  <si>
    <t xml:space="preserve">[U] typical US rewarded $8-20 - verify</t>
  </si>
  <si>
    <t xml:space="preserve">ad_fill_rate</t>
  </si>
  <si>
    <t xml:space="preserve">Ad fill rate</t>
  </si>
  <si>
    <t xml:space="preserve">[U] mediated fill, US</t>
  </si>
  <si>
    <t xml:space="preserve">AFFILIATE</t>
  </si>
  <si>
    <t xml:space="preserve">Affiliate</t>
  </si>
  <si>
    <t xml:space="preserve">affiliate_start_month</t>
  </si>
  <si>
    <t xml:space="preserve">Affiliate offers start (month)</t>
  </si>
  <si>
    <t xml:space="preserve">[U] after counsel review (PS §6 #4)</t>
  </si>
  <si>
    <t xml:space="preserve">aff_clicks_per_1k_mau</t>
  </si>
  <si>
    <t xml:space="preserve">Affiliate clicks per 1,000 MAU per month</t>
  </si>
  <si>
    <t xml:space="preserve">[U] author; offers shown only in 'open a Roth / brokerage' lessons</t>
  </si>
  <si>
    <t xml:space="preserve">aff_conversion</t>
  </si>
  <si>
    <t xml:space="preserve">Clicks that become funded accounts</t>
  </si>
  <si>
    <t xml:space="preserve">aff_payout</t>
  </si>
  <si>
    <t xml:space="preserve">Payout per funded account</t>
  </si>
  <si>
    <t xml:space="preserve">[U] typical broker/Roth bounties $25-150; education offers only, never credit</t>
  </si>
  <si>
    <t xml:space="preserve">B2B</t>
  </si>
  <si>
    <t xml:space="preserve">b2b_start_month</t>
  </si>
  <si>
    <t xml:space="preserve">B2B / Edu sales start (month)</t>
  </si>
  <si>
    <t xml:space="preserve">PS §4 'later'; Zogo model year 2 (PS idea #20)</t>
  </si>
  <si>
    <t xml:space="preserve">teachers_at_start</t>
  </si>
  <si>
    <t xml:space="preserve">Classroom Pro teachers at start</t>
  </si>
  <si>
    <t xml:space="preserve">teachers_added_per_month</t>
  </si>
  <si>
    <t xml:space="preserve">Teachers added per month (net)</t>
  </si>
  <si>
    <t xml:space="preserve">teacher_price_annual</t>
  </si>
  <si>
    <t xml:space="preserve">Classroom Pro price per teacher per year</t>
  </si>
  <si>
    <t xml:space="preserve">PS §4 (Kahoot anchor)</t>
  </si>
  <si>
    <t xml:space="preserve">campus_at_start</t>
  </si>
  <si>
    <t xml:space="preserve">Campus / club licences at start</t>
  </si>
  <si>
    <t xml:space="preserve">campus_added_per_month</t>
  </si>
  <si>
    <t xml:space="preserve">Campus licences added per month (net)</t>
  </si>
  <si>
    <t xml:space="preserve">[U] one a quarter</t>
  </si>
  <si>
    <t xml:space="preserve">campus_price_annual</t>
  </si>
  <si>
    <t xml:space="preserve">Campus / club licence per year</t>
  </si>
  <si>
    <t xml:space="preserve">PS §4 $1.5-5k/yr [assumption]</t>
  </si>
  <si>
    <t xml:space="preserve">b2b_processing_rate</t>
  </si>
  <si>
    <t xml:space="preserve">Card processing on B2B invoices</t>
  </si>
  <si>
    <t xml:space="preserve">[U] Stripe ~2.9% + 30c</t>
  </si>
  <si>
    <t xml:space="preserve">COGS</t>
  </si>
  <si>
    <t xml:space="preserve">data_beta_cost</t>
  </si>
  <si>
    <t xml:space="preserve">Data licence, public-beta phase (EOD prices w/ redistribution)</t>
  </si>
  <si>
    <t xml:space="preserve">DS §6 $250-450 (Tiingo $250 / EODHD $399); BENCHMARKS C1 $400</t>
  </si>
  <si>
    <t xml:space="preserve">data_scale_cost</t>
  </si>
  <si>
    <t xml:space="preserve">Data licence, scale phase (delayed quotes, ETFs)</t>
  </si>
  <si>
    <t xml:space="preserve">DS §6 $2-5k [U: enterprise quotes]</t>
  </si>
  <si>
    <t xml:space="preserve">data_scale_mau</t>
  </si>
  <si>
    <t xml:space="preserve">MAU that triggers the scale data phase</t>
  </si>
  <si>
    <t xml:space="preserve">[U] author; DS: scale = when product needs delayed quotes</t>
  </si>
  <si>
    <t xml:space="preserve">plaid_start_month</t>
  </si>
  <si>
    <t xml:space="preserve">Linking launches (month)</t>
  </si>
  <si>
    <t xml:space="preserve">BENCHMARKS C1: linking starts month 13</t>
  </si>
  <si>
    <t xml:space="preserve">plaid_free_link_share</t>
  </si>
  <si>
    <t xml:space="preserve">Free MAU with a linked bank (capped at 1 Item)</t>
  </si>
  <si>
    <t xml:space="preserve">MH §3 lever 1-2: free = 1 Item, auto-unlink after 30 days idle [U]</t>
  </si>
  <si>
    <t xml:space="preserve">plaid_free_item_cost</t>
  </si>
  <si>
    <t xml:space="preserve">Plaid cost per free Item per month (Transactions only)</t>
  </si>
  <si>
    <t xml:space="preserve">MH §3 illustrative $0.30-0.60 [U]; [S89] rates not public</t>
  </si>
  <si>
    <t xml:space="preserve">plaid_pro_link_share</t>
  </si>
  <si>
    <t xml:space="preserve">Pro subscribers who link accounts</t>
  </si>
  <si>
    <t xml:space="preserve">BENCHMARKS C1 20/30/40%; raised for the Money Hub [U]</t>
  </si>
  <si>
    <t xml:space="preserve">plaid_pro_items</t>
  </si>
  <si>
    <t xml:space="preserve">Average linked Items per linking Pro user</t>
  </si>
  <si>
    <t xml:space="preserve">MH §3: ~3 Items, often 2</t>
  </si>
  <si>
    <t xml:space="preserve">plaid_pro_item_cost</t>
  </si>
  <si>
    <t xml:space="preserve">Plaid cost per Pro Item per month (Tx + Liabilities + Investments mix)</t>
  </si>
  <si>
    <t xml:space="preserve">MH §3: $0.80-2.00 per fully linked user [U]; BENCHMARKS $1.25-2.50/user [S86]</t>
  </si>
  <si>
    <t xml:space="preserve">plaid_platform_fee</t>
  </si>
  <si>
    <t xml:space="preserve">Aggregator platform minimum per month</t>
  </si>
  <si>
    <t xml:space="preserve">[S86][P] SnapTrade $100/mo as proxy; Plaid minimum unknown</t>
  </si>
  <si>
    <t xml:space="preserve">hosting_fixed</t>
  </si>
  <si>
    <t xml:space="preserve">Hosting fixed (Supabase Pro, Expo)</t>
  </si>
  <si>
    <t xml:space="preserve">[S87] Supabase Pro $25; [S88] Expo $19; BENCHMARKS C1</t>
  </si>
  <si>
    <t xml:space="preserve">hosting_per_mau</t>
  </si>
  <si>
    <t xml:space="preserve">Hosting per MAU per month</t>
  </si>
  <si>
    <t xml:space="preserve">BENCHMARKS C1 ($0.01/MAU)</t>
  </si>
  <si>
    <t xml:space="preserve">llm_start_month</t>
  </si>
  <si>
    <t xml:space="preserve">AI tutor launches (month)</t>
  </si>
  <si>
    <t xml:space="preserve">PS: tutor is v2 (months 4-9)</t>
  </si>
  <si>
    <t xml:space="preserve">llm_cost_per_payer</t>
  </si>
  <si>
    <t xml:space="preserve">LLM tokens per Pro user per month (capped)</t>
  </si>
  <si>
    <t xml:space="preserve">PS idea #21: $0.30-0.65 per Pro user at 40 answers/mo</t>
  </si>
  <si>
    <t xml:space="preserve">llm_cost_per_free_mau</t>
  </si>
  <si>
    <t xml:space="preserve">LLM tokens per free MAU per month (taster)</t>
  </si>
  <si>
    <t xml:space="preserve">PS idea #21: ~$0.008-0.016 per answer, ~1 free answer/mo [U]</t>
  </si>
  <si>
    <t xml:space="preserve">rc_threshold</t>
  </si>
  <si>
    <t xml:space="preserve">RevenueCat free up to this monthly tracked revenue</t>
  </si>
  <si>
    <t xml:space="preserve">[S84][P]</t>
  </si>
  <si>
    <t xml:space="preserve">rc_rate</t>
  </si>
  <si>
    <t xml:space="preserve">RevenueCat fee above threshold</t>
  </si>
  <si>
    <t xml:space="preserve">OPEX</t>
  </si>
  <si>
    <t xml:space="preserve">OpEx</t>
  </si>
  <si>
    <t xml:space="preserve">founder_salary</t>
  </si>
  <si>
    <t xml:space="preserve">Founder salary per month (if switched on)</t>
  </si>
  <si>
    <t xml:space="preserve">BENCHMARKS §C $5k ramen hurdle</t>
  </si>
  <si>
    <t xml:space="preserve">contractors_fy1</t>
  </si>
  <si>
    <t xml:space="preserve">Contractors per month, FY1 (content QA, design)</t>
  </si>
  <si>
    <t xml:space="preserve">contractors_fy2</t>
  </si>
  <si>
    <t xml:space="preserve">Contractors per month, FY2</t>
  </si>
  <si>
    <t xml:space="preserve">contractors_fy3</t>
  </si>
  <si>
    <t xml:space="preserve">Contractors per month, FY3</t>
  </si>
  <si>
    <t xml:space="preserve">mkt_other_monthly</t>
  </si>
  <si>
    <t xml:space="preserve">Other marketing per month (newsletter, community, landing tests)</t>
  </si>
  <si>
    <t xml:space="preserve">PS §7 budget [U]</t>
  </si>
  <si>
    <t xml:space="preserve">legal_llc</t>
  </si>
  <si>
    <t xml:space="preserve">LLC + D-U-N-S (one-time, month 1)</t>
  </si>
  <si>
    <t xml:space="preserve">PS §7: $100-500</t>
  </si>
  <si>
    <t xml:space="preserve">legal_counsel_review</t>
  </si>
  <si>
    <t xml:space="preserve">Securities counsel review (one-time, month 1)</t>
  </si>
  <si>
    <t xml:space="preserve">PS §6 #4: $1-2k [U]</t>
  </si>
  <si>
    <t xml:space="preserve">legal_privacy</t>
  </si>
  <si>
    <t xml:space="preserve">Privacy policy / ToS (one-time, month 1)</t>
  </si>
  <si>
    <t xml:space="preserve">[U] template + review</t>
  </si>
  <si>
    <t xml:space="preserve">legal_trademark</t>
  </si>
  <si>
    <t xml:space="preserve">Trademark filing, 2 classes (one-time, month 1)</t>
  </si>
  <si>
    <t xml:space="preserve">[U] USPTO ~$350/class; PS §3 classes 9 and 41</t>
  </si>
  <si>
    <t xml:space="preserve">legal_monthly</t>
  </si>
  <si>
    <t xml:space="preserve">Ongoing legal / compliance per month</t>
  </si>
  <si>
    <t xml:space="preserve">legal_annual_review</t>
  </si>
  <si>
    <t xml:space="preserve">Annual counsel refresh (months 13, 25)</t>
  </si>
  <si>
    <t xml:space="preserve">soc2_start_month</t>
  </si>
  <si>
    <t xml:space="preserve">SOC 2 starts (month, if switched on)</t>
  </si>
  <si>
    <t xml:space="preserve">soc2_monthly</t>
  </si>
  <si>
    <t xml:space="preserve">SOC 2 tooling + audit per month</t>
  </si>
  <si>
    <t xml:space="preserve">[U] Vanta/Drata + audit ~$15-25k/yr</t>
  </si>
  <si>
    <t xml:space="preserve">tools_fy1</t>
  </si>
  <si>
    <t xml:space="preserve">Software / tools per month, FY1</t>
  </si>
  <si>
    <t xml:space="preserve">BENCHMARKS C1 $160 other fixed; PS §7 free tiers</t>
  </si>
  <si>
    <t xml:space="preserve">tools_fy2</t>
  </si>
  <si>
    <t xml:space="preserve">Software / tools per month, FY2</t>
  </si>
  <si>
    <t xml:space="preserve">tools_fy3</t>
  </si>
  <si>
    <t xml:space="preserve">Software / tools per month, FY3</t>
  </si>
  <si>
    <t xml:space="preserve">apple_dev_fee</t>
  </si>
  <si>
    <t xml:space="preserve">Apple Developer Program (per year, months 1/13/25)</t>
  </si>
  <si>
    <t xml:space="preserve">PS §7 $99</t>
  </si>
  <si>
    <t xml:space="preserve">google_dev_fee</t>
  </si>
  <si>
    <t xml:space="preserve">Google Play registration (one-time, month 1)</t>
  </si>
  <si>
    <t xml:space="preserve">[U] Google list price</t>
  </si>
  <si>
    <t xml:space="preserve">insurance_monthly</t>
  </si>
  <si>
    <t xml:space="preserve">Insurance (cyber + E&amp;O) per month</t>
  </si>
  <si>
    <t xml:space="preserve">DERIVED (formulas, do not edit)</t>
  </si>
  <si>
    <t xml:space="preserve">Derived</t>
  </si>
  <si>
    <t xml:space="preserve">mix_student</t>
  </si>
  <si>
    <t xml:space="preserve">New payers choosing student plan (1 - monthly - annual)</t>
  </si>
  <si>
    <t xml:space="preserve">churn_monthly</t>
  </si>
  <si>
    <t xml:space="preserve">Monthly-plan churn per month = 1 - ret12^(1/12)</t>
  </si>
  <si>
    <t xml:space="preserve">install_to_paid</t>
  </si>
  <si>
    <t xml:space="preserve">Install-to-paid = activation x trial start x trial-to-paid</t>
  </si>
  <si>
    <t xml:space="preserve">net_factor</t>
  </si>
  <si>
    <t xml:space="preserve">Share of gross in-app sales kept = (1 - refunds) x (1 - store fee)</t>
  </si>
  <si>
    <t xml:space="preserve">ad_rev_per_ad_mau</t>
  </si>
  <si>
    <t xml:space="preserve">Ad revenue per ad-seeing free MAU per month</t>
  </si>
  <si>
    <t xml:space="preserve">var_cost_per_payer</t>
  </si>
  <si>
    <t xml:space="preserve">Variable cost per payer per month (LLM + Plaid Pro), steady state</t>
  </si>
  <si>
    <t xml:space="preserve">Tenbagger: Base case, monthly (USD). All cells are formulas driven by the Assumptions sheet.</t>
  </si>
  <si>
    <t xml:space="preserve">Month</t>
  </si>
  <si>
    <t xml:space="preserve">Fiscal year</t>
  </si>
  <si>
    <t xml:space="preserve">Calendar month</t>
  </si>
  <si>
    <t xml:space="preserve">Jan-27</t>
  </si>
  <si>
    <t xml:space="preserve">Feb-27</t>
  </si>
  <si>
    <t xml:space="preserve">Mar-27</t>
  </si>
  <si>
    <t xml:space="preserve">Apr-27</t>
  </si>
  <si>
    <t xml:space="preserve">May-27</t>
  </si>
  <si>
    <t xml:space="preserve">Jun-27</t>
  </si>
  <si>
    <t xml:space="preserve">Jul-27</t>
  </si>
  <si>
    <t xml:space="preserve">Aug-27</t>
  </si>
  <si>
    <t xml:space="preserve">Sep-27</t>
  </si>
  <si>
    <t xml:space="preserve">Oct-27</t>
  </si>
  <si>
    <t xml:space="preserve">Nov-27</t>
  </si>
  <si>
    <t xml:space="preserve">Dec-27</t>
  </si>
  <si>
    <t xml:space="preserve">Jan-28</t>
  </si>
  <si>
    <t xml:space="preserve">Feb-28</t>
  </si>
  <si>
    <t xml:space="preserve">Mar-28</t>
  </si>
  <si>
    <t xml:space="preserve">Apr-28</t>
  </si>
  <si>
    <t xml:space="preserve">May-28</t>
  </si>
  <si>
    <t xml:space="preserve">Jun-28</t>
  </si>
  <si>
    <t xml:space="preserve">Jul-28</t>
  </si>
  <si>
    <t xml:space="preserve">Aug-28</t>
  </si>
  <si>
    <t xml:space="preserve">Sep-28</t>
  </si>
  <si>
    <t xml:space="preserve">Oct-28</t>
  </si>
  <si>
    <t xml:space="preserve">Nov-28</t>
  </si>
  <si>
    <t xml:space="preserve">Dec-28</t>
  </si>
  <si>
    <t xml:space="preserve">Jan-29</t>
  </si>
  <si>
    <t xml:space="preserve">Feb-29</t>
  </si>
  <si>
    <t xml:space="preserve">Mar-29</t>
  </si>
  <si>
    <t xml:space="preserve">Apr-29</t>
  </si>
  <si>
    <t xml:space="preserve">May-29</t>
  </si>
  <si>
    <t xml:space="preserve">Jun-29</t>
  </si>
  <si>
    <t xml:space="preserve">Jul-29</t>
  </si>
  <si>
    <t xml:space="preserve">Aug-29</t>
  </si>
  <si>
    <t xml:space="preserve">Sep-29</t>
  </si>
  <si>
    <t xml:space="preserve">Oct-29</t>
  </si>
  <si>
    <t xml:space="preserve">Nov-29</t>
  </si>
  <si>
    <t xml:space="preserve">Dec-29</t>
  </si>
  <si>
    <t xml:space="preserve">Installs: organic / SEO / ASO</t>
  </si>
  <si>
    <t xml:space="preserve">inst_org</t>
  </si>
  <si>
    <t xml:space="preserve">Installs: referral (x prior-month MAU)</t>
  </si>
  <si>
    <t xml:space="preserve">inst_ref</t>
  </si>
  <si>
    <t xml:space="preserve">Creator spend</t>
  </si>
  <si>
    <t xml:space="preserve">spend_creators</t>
  </si>
  <si>
    <t xml:space="preserve">Installs: creators</t>
  </si>
  <si>
    <t xml:space="preserve">inst_creators</t>
  </si>
  <si>
    <t xml:space="preserve">Apple Search Ads spend</t>
  </si>
  <si>
    <t xml:space="preserve">spend_asa</t>
  </si>
  <si>
    <t xml:space="preserve">Installs: paid Apple Search Ads</t>
  </si>
  <si>
    <t xml:space="preserve">inst_asa</t>
  </si>
  <si>
    <t xml:space="preserve">Total installs</t>
  </si>
  <si>
    <t xml:space="preserve">inst_total</t>
  </si>
  <si>
    <t xml:space="preserve">FUNNEL (free -&gt; trial -&gt; paid)</t>
  </si>
  <si>
    <t xml:space="preserve">Activated users</t>
  </si>
  <si>
    <t xml:space="preserve">activated</t>
  </si>
  <si>
    <t xml:space="preserve">Trial / paywall starts</t>
  </si>
  <si>
    <t xml:space="preserve">trial_starts</t>
  </si>
  <si>
    <t xml:space="preserve">New paid subscribers</t>
  </si>
  <si>
    <t xml:space="preserve">new_paid</t>
  </si>
  <si>
    <t xml:space="preserve">  of which monthly plan</t>
  </si>
  <si>
    <t xml:space="preserve">new_monthly</t>
  </si>
  <si>
    <t xml:space="preserve">  of which annual plan</t>
  </si>
  <si>
    <t xml:space="preserve">new_annual</t>
  </si>
  <si>
    <t xml:space="preserve">  of which student plan</t>
  </si>
  <si>
    <t xml:space="preserve">new_student</t>
  </si>
  <si>
    <t xml:space="preserve">Recruiting Pass purchases (one-time)</t>
  </si>
  <si>
    <t xml:space="preserve">pass_sales</t>
  </si>
  <si>
    <t xml:space="preserve">SUBSCRIBERS</t>
  </si>
  <si>
    <t xml:space="preserve">Monthly-plan subscribers (end of month)</t>
  </si>
  <si>
    <t xml:space="preserve">subs_monthly</t>
  </si>
  <si>
    <t xml:space="preserve">Annual plans billed (new + renewals)</t>
  </si>
  <si>
    <t xml:space="preserve">bill_annual</t>
  </si>
  <si>
    <t xml:space="preserve">Annual-plan subscribers (billed in last 12 months)</t>
  </si>
  <si>
    <t xml:space="preserve">subs_annual</t>
  </si>
  <si>
    <t xml:space="preserve">Student plans billed (new + renewals)</t>
  </si>
  <si>
    <t xml:space="preserve">bill_student</t>
  </si>
  <si>
    <t xml:space="preserve">Student-plan subscribers</t>
  </si>
  <si>
    <t xml:space="preserve">subs_student</t>
  </si>
  <si>
    <t xml:space="preserve">Paid subscribers (end of month)</t>
  </si>
  <si>
    <t xml:space="preserve">subs_paid</t>
  </si>
  <si>
    <t xml:space="preserve">Gross in-app billings, cash basis (= RevenueCat MTR)</t>
  </si>
  <si>
    <t xml:space="preserve">bill_gross</t>
  </si>
  <si>
    <t xml:space="preserve">ACTIVE USERS</t>
  </si>
  <si>
    <t xml:space="preserve">New free users this month</t>
  </si>
  <si>
    <t xml:space="preserve">free_new</t>
  </si>
  <si>
    <t xml:space="preserve">Retained free users from earlier months</t>
  </si>
  <si>
    <t xml:space="preserve">free_pool</t>
  </si>
  <si>
    <t xml:space="preserve">Free MAU</t>
  </si>
  <si>
    <t xml:space="preserve">mau_free</t>
  </si>
  <si>
    <t xml:space="preserve">Total MAU (free + paid)</t>
  </si>
  <si>
    <t xml:space="preserve">mau_total</t>
  </si>
  <si>
    <t xml:space="preserve">Paid subscribers / MAU</t>
  </si>
  <si>
    <t xml:space="preserve">paid_share</t>
  </si>
  <si>
    <t xml:space="preserve">ADS, AFFILIATE, B2B AND LINKING VOLUMES</t>
  </si>
  <si>
    <t xml:space="preserve">Free MAU seeing ads</t>
  </si>
  <si>
    <t xml:space="preserve">ad_mau</t>
  </si>
  <si>
    <t xml:space="preserve">Ad impressions: article / lesson end</t>
  </si>
  <si>
    <t xml:space="preserve">Ad impressions: screener native</t>
  </si>
  <si>
    <t xml:space="preserve">Ad impressions: opt-in rewarded</t>
  </si>
  <si>
    <t xml:space="preserve">Affiliate clicks</t>
  </si>
  <si>
    <t xml:space="preserve">aff_clicks</t>
  </si>
  <si>
    <t xml:space="preserve">Affiliate funded accounts</t>
  </si>
  <si>
    <t xml:space="preserve">aff_funded</t>
  </si>
  <si>
    <t xml:space="preserve">Classroom Pro teachers</t>
  </si>
  <si>
    <t xml:space="preserve">teachers</t>
  </si>
  <si>
    <t xml:space="preserve">Campus / club licences</t>
  </si>
  <si>
    <t xml:space="preserve">campus</t>
  </si>
  <si>
    <t xml:space="preserve">Linking live (1 = yes)</t>
  </si>
  <si>
    <t xml:space="preserve">link_on</t>
  </si>
  <si>
    <t xml:space="preserve">Linked Items: free users (capped at 1 bank)</t>
  </si>
  <si>
    <t xml:space="preserve">items_free</t>
  </si>
  <si>
    <t xml:space="preserve">Linked Items: Pro users</t>
  </si>
  <si>
    <t xml:space="preserve">items_pro</t>
  </si>
  <si>
    <t xml:space="preserve">REVENUE</t>
  </si>
  <si>
    <t xml:space="preserve">Gross: monthly plans</t>
  </si>
  <si>
    <t xml:space="preserve">rev_monthly</t>
  </si>
  <si>
    <t xml:space="preserve">Gross: annual plans (recognised 1/12 a month)</t>
  </si>
  <si>
    <t xml:space="preserve">rev_annual</t>
  </si>
  <si>
    <t xml:space="preserve">Gross: student plans (recognised 1/12 a month)</t>
  </si>
  <si>
    <t xml:space="preserve">rev_student</t>
  </si>
  <si>
    <t xml:space="preserve">Gross: Recruiting Pass</t>
  </si>
  <si>
    <t xml:space="preserve">rev_pass</t>
  </si>
  <si>
    <t xml:space="preserve">Gross in-app sales</t>
  </si>
  <si>
    <t xml:space="preserve">rev_iap_gross</t>
  </si>
  <si>
    <t xml:space="preserve">Less: refunds</t>
  </si>
  <si>
    <t xml:space="preserve">refunds</t>
  </si>
  <si>
    <t xml:space="preserve">Less: app store commission</t>
  </si>
  <si>
    <t xml:space="preserve">Subscriptions &amp; in-app, net of store fee</t>
  </si>
  <si>
    <t xml:space="preserve">rev_subs_net</t>
  </si>
  <si>
    <t xml:space="preserve">Ads: article / lesson end</t>
  </si>
  <si>
    <t xml:space="preserve">rev_ads_article</t>
  </si>
  <si>
    <t xml:space="preserve">Ads: screener native</t>
  </si>
  <si>
    <t xml:space="preserve">rev_ads_screener</t>
  </si>
  <si>
    <t xml:space="preserve">Ads: opt-in rewarded</t>
  </si>
  <si>
    <t xml:space="preserve">rev_ads_rewarded</t>
  </si>
  <si>
    <t xml:space="preserve">Advertising revenue</t>
  </si>
  <si>
    <t xml:space="preserve">rev_ads</t>
  </si>
  <si>
    <t xml:space="preserve">Affiliate revenue</t>
  </si>
  <si>
    <t xml:space="preserve">rev_aff</t>
  </si>
  <si>
    <t xml:space="preserve">B2B / Edu licence revenue</t>
  </si>
  <si>
    <t xml:space="preserve">rev_b2b</t>
  </si>
  <si>
    <t xml:space="preserve">TOTAL REVENUE</t>
  </si>
  <si>
    <t xml:space="preserve">rev_total</t>
  </si>
  <si>
    <t xml:space="preserve">COST OF REVENUE (COGS)</t>
  </si>
  <si>
    <t xml:space="preserve">Data licensing (beta, or scale phase above MAU threshold)</t>
  </si>
  <si>
    <t xml:space="preserve">cogs_data</t>
  </si>
  <si>
    <t xml:space="preserve">Plaid / aggregation</t>
  </si>
  <si>
    <t xml:space="preserve">cogs_plaid</t>
  </si>
  <si>
    <t xml:space="preserve">Hosting / Supabase / Expo</t>
  </si>
  <si>
    <t xml:space="preserve">cogs_hosting</t>
  </si>
  <si>
    <t xml:space="preserve">LLM tutor tokens</t>
  </si>
  <si>
    <t xml:space="preserve">cogs_llm</t>
  </si>
  <si>
    <t xml:space="preserve">RevenueCat (1% of MTR above $2.5k)</t>
  </si>
  <si>
    <t xml:space="preserve">cogs_rc</t>
  </si>
  <si>
    <t xml:space="preserve">B2B card processing</t>
  </si>
  <si>
    <t xml:space="preserve">cogs_b2b</t>
  </si>
  <si>
    <t xml:space="preserve">Total COGS</t>
  </si>
  <si>
    <t xml:space="preserve">cogs_total</t>
  </si>
  <si>
    <t xml:space="preserve">GROSS PROFIT</t>
  </si>
  <si>
    <t xml:space="preserve">gross_profit</t>
  </si>
  <si>
    <t xml:space="preserve">Gross margin</t>
  </si>
  <si>
    <t xml:space="preserve">gross_margin</t>
  </si>
  <si>
    <t xml:space="preserve">OPERATING EXPENSES</t>
  </si>
  <si>
    <t xml:space="preserve">Founder salary</t>
  </si>
  <si>
    <t xml:space="preserve">opex_founder</t>
  </si>
  <si>
    <t xml:space="preserve">Contractors</t>
  </si>
  <si>
    <t xml:space="preserve">opex_contractors</t>
  </si>
  <si>
    <t xml:space="preserve">Marketing: Apple Search Ads</t>
  </si>
  <si>
    <t xml:space="preserve">opex_asa</t>
  </si>
  <si>
    <t xml:space="preserve">Marketing: creators</t>
  </si>
  <si>
    <t xml:space="preserve">opex_creators</t>
  </si>
  <si>
    <t xml:space="preserve">Marketing: other</t>
  </si>
  <si>
    <t xml:space="preserve">opex_mkt_other</t>
  </si>
  <si>
    <t xml:space="preserve">Legal &amp; compliance</t>
  </si>
  <si>
    <t xml:space="preserve">opex_legal</t>
  </si>
  <si>
    <t xml:space="preserve">Software / tools</t>
  </si>
  <si>
    <t xml:space="preserve">opex_tools</t>
  </si>
  <si>
    <t xml:space="preserve">Apple / Google developer fees</t>
  </si>
  <si>
    <t xml:space="preserve">opex_stores</t>
  </si>
  <si>
    <t xml:space="preserve">Insurance</t>
  </si>
  <si>
    <t xml:space="preserve">opex_insurance</t>
  </si>
  <si>
    <t xml:space="preserve">Total operating expenses</t>
  </si>
  <si>
    <t xml:space="preserve">opex_total</t>
  </si>
  <si>
    <t xml:space="preserve">OPERATING INCOME (EBIT)</t>
  </si>
  <si>
    <t xml:space="preserve">ebit</t>
  </si>
  <si>
    <t xml:space="preserve">Operating margin</t>
  </si>
  <si>
    <t xml:space="preserve">ebit_margin</t>
  </si>
  <si>
    <t xml:space="preserve">CASH</t>
  </si>
  <si>
    <t xml:space="preserve">In-app billings net of refunds &amp; store fee</t>
  </si>
  <si>
    <t xml:space="preserve">bill_net</t>
  </si>
  <si>
    <t xml:space="preserve">Change in deferred revenue (annual plans paid upfront)</t>
  </si>
  <si>
    <t xml:space="preserve">deferred_chg</t>
  </si>
  <si>
    <t xml:space="preserve">Operating cash flow</t>
  </si>
  <si>
    <t xml:space="preserve">cash_flow</t>
  </si>
  <si>
    <t xml:space="preserve">Cumulative cash (from $0 at launch)</t>
  </si>
  <si>
    <t xml:space="preserve">cash_cum</t>
  </si>
  <si>
    <t xml:space="preserve">Cumulative operating income</t>
  </si>
  <si>
    <t xml:space="preserve">ebit_cum</t>
  </si>
  <si>
    <t xml:space="preserve">KPIs</t>
  </si>
  <si>
    <t xml:space="preserve">ARPU: total revenue / MAU</t>
  </si>
  <si>
    <t xml:space="preserve">arpu</t>
  </si>
  <si>
    <t xml:space="preserve">ARPPU: net subscription revenue / paid subscriber</t>
  </si>
  <si>
    <t xml:space="preserve">arppu</t>
  </si>
  <si>
    <t xml:space="preserve">CAC: paid channels (ASA + creators) per payer they bring</t>
  </si>
  <si>
    <t xml:space="preserve">cac_paid</t>
  </si>
  <si>
    <t xml:space="preserve">EBIT &gt;= 0 this month (1 = yes)</t>
  </si>
  <si>
    <t xml:space="preserve">flag_be</t>
  </si>
  <si>
    <t xml:space="preserve">EBIT &gt;= 0 this month and every month after</t>
  </si>
  <si>
    <t xml:space="preserve">flag_be_sus</t>
  </si>
  <si>
    <t xml:space="preserve">Cumulative cash &gt;= 0 this month and every month after</t>
  </si>
  <si>
    <t xml:space="preserve">flag_cash_sus</t>
  </si>
  <si>
    <t xml:space="preserve">Tenbagger: Bear case, monthly (USD). All cells are formulas driven by the Assumptions sheet.</t>
  </si>
  <si>
    <t xml:space="preserve">Tenbagger: Bull case, monthly (USD). All cells are formulas driven by the Assumptions sheet.</t>
  </si>
  <si>
    <t xml:space="preserve">Tenbagger: annual income statement by scenario (USD). FY1 = months 1-12. Live formulas.</t>
  </si>
  <si>
    <t xml:space="preserve">BASE CASE</t>
  </si>
  <si>
    <t xml:space="preserve">FY1</t>
  </si>
  <si>
    <t xml:space="preserve">FY2</t>
  </si>
  <si>
    <t xml:space="preserve">FY3</t>
  </si>
  <si>
    <t xml:space="preserve">3-year total</t>
  </si>
  <si>
    <t xml:space="preserve">Subscriptions &amp; in-app, net</t>
  </si>
  <si>
    <t xml:space="preserve">Advertising</t>
  </si>
  <si>
    <t xml:space="preserve">B2B / Edu licences</t>
  </si>
  <si>
    <t xml:space="preserve">COST OF REVENUE</t>
  </si>
  <si>
    <t xml:space="preserve">Data licensing</t>
  </si>
  <si>
    <t xml:space="preserve">Hosting</t>
  </si>
  <si>
    <t xml:space="preserve">LLM tutor</t>
  </si>
  <si>
    <t xml:space="preserve">RevenueCat</t>
  </si>
  <si>
    <t xml:space="preserve">B2B processing</t>
  </si>
  <si>
    <t xml:space="preserve">MEMO</t>
  </si>
  <si>
    <t xml:space="preserve">Ads as share of revenue</t>
  </si>
  <si>
    <t xml:space="preserve">EBIT if ads were switched off (no other change)</t>
  </si>
  <si>
    <t xml:space="preserve">Cumulative cash, end of period</t>
  </si>
  <si>
    <t xml:space="preserve">Installs</t>
  </si>
  <si>
    <t xml:space="preserve">MAU, end of period</t>
  </si>
  <si>
    <t xml:space="preserve">Paid subscribers, end of period</t>
  </si>
  <si>
    <t xml:space="preserve">BEAR CASE</t>
  </si>
  <si>
    <t xml:space="preserve">BULL CASE</t>
  </si>
  <si>
    <t xml:space="preserve">Tenbagger: KPIs and unit economics (live formulas)</t>
  </si>
  <si>
    <t xml:space="preserve">Metric</t>
  </si>
  <si>
    <t xml:space="preserve">SCALE</t>
  </si>
  <si>
    <t xml:space="preserve">Installs, 36 months</t>
  </si>
  <si>
    <t xml:space="preserve">MAU, month 12</t>
  </si>
  <si>
    <t xml:space="preserve">MAU, month 24</t>
  </si>
  <si>
    <t xml:space="preserve">MAU, month 36</t>
  </si>
  <si>
    <t xml:space="preserve">Paid subscribers, month 12</t>
  </si>
  <si>
    <t xml:space="preserve">Paid subscribers, month 24</t>
  </si>
  <si>
    <t xml:space="preserve">Paid subscribers, month 36</t>
  </si>
  <si>
    <t xml:space="preserve">Paid subscribers / MAU, month 36 (Duolingo FY25: 9.2%)</t>
  </si>
  <si>
    <t xml:space="preserve">Net subscription ARR run-rate, month 36</t>
  </si>
  <si>
    <t xml:space="preserve">Total revenue run-rate (x12), month 36</t>
  </si>
  <si>
    <t xml:space="preserve">MONETISATION</t>
  </si>
  <si>
    <t xml:space="preserve">Install-to-paid conversion</t>
  </si>
  <si>
    <t xml:space="preserve">ARPU per MAU per month, FY3</t>
  </si>
  <si>
    <t xml:space="preserve">ARPPU (net subs revenue per payer per month), FY3</t>
  </si>
  <si>
    <t xml:space="preserve">UNIT ECONOMICS (steady-state plan mix)</t>
  </si>
  <si>
    <t xml:space="preserve">Contribution per payer per month (net ARPPU - LLM - Plaid)</t>
  </si>
  <si>
    <t xml:space="preserve">LTV per payer (net of store fee, refunds, variable cost)</t>
  </si>
  <si>
    <t xml:space="preserve">CAC per payer: Apple Search Ads (CPI / install-to-paid)</t>
  </si>
  <si>
    <t xml:space="preserve">CAC per payer: creators</t>
  </si>
  <si>
    <t xml:space="preserve">CAC per payer: organic / SEO and referral (no media spend)</t>
  </si>
  <si>
    <t xml:space="preserve">CAC blended: paid media / all new payers, FY3</t>
  </si>
  <si>
    <t xml:space="preserve">LTV / CAC: Apple Search Ads</t>
  </si>
  <si>
    <t xml:space="preserve">LTV / CAC: creators</t>
  </si>
  <si>
    <t xml:space="preserve">LTV / CAC: blended, FY3</t>
  </si>
  <si>
    <t xml:space="preserve">Payback months: Apple Search Ads</t>
  </si>
  <si>
    <t xml:space="preserve">Payback months: creators</t>
  </si>
  <si>
    <t xml:space="preserve">Break-even CPI (LTV x install-to-paid)</t>
  </si>
  <si>
    <t xml:space="preserve">PROFITABILITY AND CASH</t>
  </si>
  <si>
    <t xml:space="preserve">First month with EBIT &gt;= 0</t>
  </si>
  <si>
    <t xml:space="preserve">Break-even month (EBIT &gt;= 0 from then on)</t>
  </si>
  <si>
    <t xml:space="preserve">Month cumulative cash turns positive for good</t>
  </si>
  <si>
    <t xml:space="preserve">Cumulative operating income, 36 months</t>
  </si>
  <si>
    <t xml:space="preserve">Max cash need (deepest cumulative cash)</t>
  </si>
  <si>
    <t xml:space="preserve">Month of cash trough</t>
  </si>
  <si>
    <t xml:space="preserve">Cumulative cash, month 36</t>
  </si>
  <si>
    <t xml:space="preserve">ADS VS NO ADS</t>
  </si>
  <si>
    <t xml:space="preserve">Ad revenue, FY1</t>
  </si>
  <si>
    <t xml:space="preserve">Ad revenue, FY2</t>
  </si>
  <si>
    <t xml:space="preserve">Ad revenue, FY3</t>
  </si>
  <si>
    <t xml:space="preserve">Ads as share of revenue, FY3</t>
  </si>
  <si>
    <t xml:space="preserve">Ads as share of revenue, 36 months</t>
  </si>
  <si>
    <t xml:space="preserve">EBIT FY3, with ads</t>
  </si>
  <si>
    <t xml:space="preserve">EBIT FY3, ads switched off</t>
  </si>
  <si>
    <t xml:space="preserve">Affiliate revenue, FY3</t>
  </si>
  <si>
    <t xml:space="preserve">Notes: LTV uses the steady-state plan mix and variable cost; it ignores Recruiting Pass, ads and affiliate revenue from the payer. CAC by channel assumes paid installs convert like organic ones (likely optimistic).</t>
  </si>
  <si>
    <t xml:space="preserve">Sensitivities: VALUES computed by model.py from assumptions.yaml (not live). Re-run the script to refresh.</t>
  </si>
  <si>
    <t xml:space="preserve">1. Base case: operating income (EBIT) in month 36, by install-to-paid conversion x annual price (monthly price scaled at 0.162x annual)</t>
  </si>
  <si>
    <t xml:space="preserve">Install-to-paid \ Annual price</t>
  </si>
  <si>
    <t xml:space="preserve">2. Ads eCPM multiplier (all three placements scaled together)</t>
  </si>
  <si>
    <t xml:space="preserve">Scenario</t>
  </si>
  <si>
    <t xml:space="preserve">eCPM x</t>
  </si>
  <si>
    <t xml:space="preserve">Ad revenue FY3</t>
  </si>
  <si>
    <t xml:space="preserve">Ads share of FY3 revenue</t>
  </si>
  <si>
    <t xml:space="preserve">EBIT FY3</t>
  </si>
  <si>
    <t xml:space="preserve">EBIT month 36</t>
  </si>
  <si>
    <t xml:space="preserve">base</t>
  </si>
  <si>
    <t xml:space="preserve">bear</t>
  </si>
  <si>
    <t xml:space="preserve">bull</t>
  </si>
  <si>
    <t xml:space="preserve">3. Ads on vs off</t>
  </si>
  <si>
    <t xml:space="preserve">Break-even month (ads on)</t>
  </si>
  <si>
    <t xml:space="preserve">Break-even month (ads off)</t>
  </si>
  <si>
    <t xml:space="preserve">Max cash need (ads on)</t>
  </si>
  <si>
    <t xml:space="preserve">Max cash need (ads off)</t>
  </si>
  <si>
    <t xml:space="preserve">Never</t>
  </si>
  <si>
    <t xml:space="preserve">4. Tornado: base FY3 EBIT change when each driver moves -20% / +20% (percentages capped at 100%)</t>
  </si>
  <si>
    <t xml:space="preserve">-20%</t>
  </si>
  <si>
    <t xml:space="preserve">+20%</t>
  </si>
  <si>
    <t xml:space="preserve">Swing</t>
  </si>
  <si>
    <t xml:space="preserve">Sources cited in assumptions.yaml (from tenbagger/docs/sources.json). [P] primary, [S] secondary, [U] unverified.</t>
  </si>
  <si>
    <t xml:space="preserve">ID</t>
  </si>
  <si>
    <t xml:space="preserve">Conf.</t>
  </si>
  <si>
    <t xml:space="preserve">Title</t>
  </si>
  <si>
    <t xml:space="preserve">Publisher</t>
  </si>
  <si>
    <t xml:space="preserve">Date</t>
  </si>
  <si>
    <t xml:space="preserve">Used for</t>
  </si>
  <si>
    <t xml:space="preserve">URL</t>
  </si>
  <si>
    <t xml:space="preserve">S13</t>
  </si>
  <si>
    <t xml:space="preserve">S</t>
  </si>
  <si>
    <t xml:space="preserve">The State of Subscription Apps in 10 minutes: benchmarks for 2026</t>
  </si>
  <si>
    <t xml:space="preserve">2026-03</t>
  </si>
  <si>
    <t xml:space="preserve">Freemium 2.1% vs hard paywall 10.7% D35 download-to-paid; trial-to-paid by length; RPI D14/D60; NA RPI $0.55; ~50% conversions Day 0</t>
  </si>
  <si>
    <t xml:space="preserve">https://www.revenuecat.com/blog/growth/subscription-app-trends-benchmarks-2026</t>
  </si>
  <si>
    <t xml:space="preserve">S14</t>
  </si>
  <si>
    <t xml:space="preserve">State of Subscription Apps 2025</t>
  </si>
  <si>
    <t xml:space="preserve">2025-03</t>
  </si>
  <si>
    <t xml:space="preserve">Annual plan 1-yr retention 44.1%, monthly 17.0%; ~30% annual cancel in month 1; freemium 2.2% vs hard paywall 12.1%; education median prices</t>
  </si>
  <si>
    <t xml:space="preserve">https://www.revenuecat.com/state-of-subscription-apps-2025</t>
  </si>
  <si>
    <t xml:space="preserve">S17</t>
  </si>
  <si>
    <t xml:space="preserve">Finance Apps: Apple Ads &amp; ASO Trends 2025</t>
  </si>
  <si>
    <t xml:space="preserve">SplitMetrics</t>
  </si>
  <si>
    <t xml:space="preserve">2025</t>
  </si>
  <si>
    <t xml:space="preserve">Finance CPT $6.06, CPA $13.28; overall CPT $2.25, CPA $3.76</t>
  </si>
  <si>
    <t xml:space="preserve">https://splitmetrics.com/finance-apps-apple-search-ads-aso-trends-2025/</t>
  </si>
  <si>
    <t xml:space="preserve">S18</t>
  </si>
  <si>
    <t xml:space="preserve">U</t>
  </si>
  <si>
    <t xml:space="preserve">Apple Search Ads Costs (2026)</t>
  </si>
  <si>
    <t xml:space="preserve">Business of Apps</t>
  </si>
  <si>
    <t xml:space="preserve">2026</t>
  </si>
  <si>
    <t xml:space="preserve">Education CPT ~$1.24 (attribution unclear)</t>
  </si>
  <si>
    <t xml:space="preserve">https://www.businessofapps.com/marketplace/apple-search-ads/research/apple-search-ads-costs/</t>
  </si>
  <si>
    <t xml:space="preserve">S20</t>
  </si>
  <si>
    <t xml:space="preserve">YouTube Sponsorship Rates for Finance Micro-Influencers in 2026</t>
  </si>
  <si>
    <t xml:space="preserve">Creators Agency (plus SponsorRadar)</t>
  </si>
  <si>
    <t xml:space="preserve">Finance integration CPM $40-80; micro $50-120 CPM; Shorts $5-15 CPM</t>
  </si>
  <si>
    <t xml:space="preserve">https://creatorsagency.co/blog/youtube-sponsorship-rates-micro-influencers-finance</t>
  </si>
  <si>
    <t xml:space="preserve">S27</t>
  </si>
  <si>
    <t xml:space="preserve">Brilliant.org marketing strategy / sponsored creators</t>
  </si>
  <si>
    <t xml:space="preserve">businessmodelcanvastemplate.com / Modash</t>
  </si>
  <si>
    <t xml:space="preserve">YouTube/podcast creator sponsorship as main channel</t>
  </si>
  <si>
    <t xml:space="preserve">https://www.modash.io/content-library/brands/brilliant-org-examples/influencers</t>
  </si>
  <si>
    <t xml:space="preserve">S30</t>
  </si>
  <si>
    <t xml:space="preserve">Monarch Money Review 2026</t>
  </si>
  <si>
    <t xml:space="preserve">The Penny Hoarder</t>
  </si>
  <si>
    <t xml:space="preserve">$14.99/mo, $99.99/yr, Plus $199/yr, 7-day trial, no free tier</t>
  </si>
  <si>
    <t xml:space="preserve">https://www.thepennyhoarder.com/budgeting/monarch-money-review/</t>
  </si>
  <si>
    <t xml:space="preserve">S31</t>
  </si>
  <si>
    <t xml:space="preserve">Copilot Money pricing / company profiles</t>
  </si>
  <si>
    <t xml:space="preserve">FinCompareLab / Startup Intros</t>
  </si>
  <si>
    <t xml:space="preserve">$13/mo, $95/yr; 100k+ subs; ~$2.9M revenue; ~$16.8M total funding</t>
  </si>
  <si>
    <t xml:space="preserve">https://www.fincomparelab.com/guides/copilot-money-pricing/</t>
  </si>
  <si>
    <t xml:space="preserve">S35</t>
  </si>
  <si>
    <t xml:space="preserve">Finelo: Master Trading - download estimates</t>
  </si>
  <si>
    <t xml:space="preserve">Apptopia</t>
  </si>
  <si>
    <t xml:space="preserve">Android ~1.3M downloads, ~2.1k/day</t>
  </si>
  <si>
    <t xml:space="preserve">https://apptopia.com/google-play/app/io.zimran.finelo/about</t>
  </si>
  <si>
    <t xml:space="preserve">S54</t>
  </si>
  <si>
    <t xml:space="preserve">stockanalysis.com Traffic Analytics</t>
  </si>
  <si>
    <t xml:space="preserve">Similarweb</t>
  </si>
  <si>
    <t xml:space="preserve">2026-08</t>
  </si>
  <si>
    <t xml:space="preserve">~8.4M visits/mo (Nov-25 to Jan-26); #24 Investing; 59% US; 64% direct / 20% Google</t>
  </si>
  <si>
    <t xml:space="preserve">https://www.similarweb.com/website/stockanalysis.com/</t>
  </si>
  <si>
    <t xml:space="preserve">S56</t>
  </si>
  <si>
    <t xml:space="preserve">P</t>
  </si>
  <si>
    <t xml:space="preserve">Stock Analysis Pro</t>
  </si>
  <si>
    <t xml:space="preserve">Stock Analysis</t>
  </si>
  <si>
    <t xml:space="preserve">$9.99/mo or $79/yr</t>
  </si>
  <si>
    <t xml:space="preserve">https://stockanalysis.com/pro/</t>
  </si>
  <si>
    <t xml:space="preserve">S62</t>
  </si>
  <si>
    <t xml:space="preserve">How Robinhood's Referral Built a 1M User Waiting List</t>
  </si>
  <si>
    <t xml:space="preserve">Viral Loops (blog)</t>
  </si>
  <si>
    <t xml:space="preserve">undated</t>
  </si>
  <si>
    <t xml:space="preserve">~1M pre-launch waitlist via referral queue</t>
  </si>
  <si>
    <t xml:space="preserve">https://viral-loops.com/blog/how-robinhoods-referral-built-a-1m-user/</t>
  </si>
  <si>
    <t xml:space="preserve">S69</t>
  </si>
  <si>
    <t xml:space="preserve">BIWS Premium</t>
  </si>
  <si>
    <t xml:space="preserve">Breaking Into Wall Street</t>
  </si>
  <si>
    <t xml:space="preserve">~$497 one-year access</t>
  </si>
  <si>
    <t xml:space="preserve">https://breakingintowallstreet.com/biws-premium/</t>
  </si>
  <si>
    <t xml:space="preserve">S70</t>
  </si>
  <si>
    <t xml:space="preserve">Wall Street Prep: Our take (review, pricing, alternatives)</t>
  </si>
  <si>
    <t xml:space="preserve">IGotAnOffer</t>
  </si>
  <si>
    <t xml:space="preserve">WSP Premium ~$499; 300+ corporate clients</t>
  </si>
  <si>
    <t xml:space="preserve">https://igotanoffer.com/en/advice/wall-street-prep-alternatives</t>
  </si>
  <si>
    <t xml:space="preserve">S83</t>
  </si>
  <si>
    <t xml:space="preserve">The 15% App Store Fee: A Guide for Developers (2026)</t>
  </si>
  <si>
    <t xml:space="preserve">Apple SBP 15% under $1M proceeds; Google 15% on subscriptions</t>
  </si>
  <si>
    <t xml:space="preserve">https://www.revenuecat.com/blog/engineering/small-business-program</t>
  </si>
  <si>
    <t xml:space="preserve">S84</t>
  </si>
  <si>
    <t xml:space="preserve">Pricing &amp; Plans</t>
  </si>
  <si>
    <t xml:space="preserve">Free to $2.5k MTR, then 1%</t>
  </si>
  <si>
    <t xml:space="preserve">https://www.revenuecat.com/pricing</t>
  </si>
  <si>
    <t xml:space="preserve">S85</t>
  </si>
  <si>
    <t xml:space="preserve">Mobile App Retention Benchmarks by Industry (2026)</t>
  </si>
  <si>
    <t xml:space="preserve">UXCam / Enable3 (aggregating Adjust, AppsFlyer)</t>
  </si>
  <si>
    <t xml:space="preserve">Finance D30 ~2-6%</t>
  </si>
  <si>
    <t xml:space="preserve">https://uxcam.com/blog/mobile-app-retention-benchmarks/</t>
  </si>
  <si>
    <t xml:space="preserve">S86</t>
  </si>
  <si>
    <t xml:space="preserve">SnapTrade Pricing</t>
  </si>
  <si>
    <t xml:space="preserve">SnapTrade</t>
  </si>
  <si>
    <t xml:space="preserve">$100/mo + $2 (real-time) or $1 (daily) per connected user/mo</t>
  </si>
  <si>
    <t xml:space="preserve">https://snaptrade.com/pricing</t>
  </si>
  <si>
    <t xml:space="preserve">S87</t>
  </si>
  <si>
    <t xml:space="preserve">Supabase Pricing</t>
  </si>
  <si>
    <t xml:space="preserve">Supabase</t>
  </si>
  <si>
    <t xml:space="preserve">Pro $25/mo</t>
  </si>
  <si>
    <t xml:space="preserve">https://supabase.com/pricing</t>
  </si>
  <si>
    <t xml:space="preserve">S88</t>
  </si>
  <si>
    <t xml:space="preserve">Expo subscriptions, plans and add-ons</t>
  </si>
  <si>
    <t xml:space="preserve">Expo</t>
  </si>
  <si>
    <t xml:space="preserve">Starter $19/mo, Production $199/mo</t>
  </si>
  <si>
    <t xml:space="preserve">https://docs.expo.dev/billing/plans/</t>
  </si>
  <si>
    <t xml:space="preserve">S89</t>
  </si>
  <si>
    <t xml:space="preserve">Plaid Pricing - US &amp; Canada</t>
  </si>
  <si>
    <t xml:space="preserve">Plaid</t>
  </si>
  <si>
    <t xml:space="preserve">Investments billed as subscription per Item; rates not public</t>
  </si>
  <si>
    <t xml:space="preserve">https://plaid.com/pricing/</t>
  </si>
  <si>
    <t xml:space="preserve">Internal documents: BENCHMARKS.md (sections B, C), PRODUCT_STRATEGY.md (pricing, 90-day plan), MONEY_HUB_RESEARCH.md (Plaid costs, free tier = 1 bank), DATA_STRATEGY.md (data cost by phase).</t>
  </si>
  <si>
    <t xml:space="preserve">Ads eCPMs, fill rate, impressions, affiliate click/conversion/payout, insurance, contractors and legal line items are author estimates [U]; no source in sources.json covers them. Verify before relying on them.</t>
  </si>
  <si>
    <t xml:space="preserve">BENCHMARKS.md notes that its figures came from search snippets, not full reads; treat [P] as 'snippet says primary'.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</si>
</sst>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0"/>
    <numFmt numFmtId="166" formatCode="#,##0;\(#,##0\);\-"/>
    <numFmt numFmtId="167" formatCode="0.0%;\(0.0%\);\-"/>
    <numFmt numFmtId="168" formatCode="#,##0.0##;\(#,##0.0##\);\-"/>
    <numFmt numFmtId="169" formatCode="\$#,##0;&quot;($&quot;#,##0\);\-"/>
    <numFmt numFmtId="170" formatCode="\$#,##0.00;&quot;($&quot;#,##0.00\);\-"/>
    <numFmt numFmtId="171" formatCode="0.00\x;\(0.00&quot;x)&quot;;\-"/>
    <numFmt numFmtId="172" formatCode="0.0;\(0.0\);\-"/>
    <numFmt numFmtId="173" formatCode="0.00\x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808080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2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62"/>
    <col collapsed="false" customWidth="true" hidden="false" outlineLevel="0" max="4" min="4" style="0" width="8"/>
    <col collapsed="false" customWidth="true" hidden="false" outlineLevel="0" max="7" min="5" style="0" width="12"/>
    <col collapsed="false" customWidth="true" hidden="false" outlineLevel="0" max="8" min="8" style="0" width="90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customFormat="false" ht="15" hidden="false" customHeight="false" outlineLevel="0" collapsed="false">
      <c r="A4" s="4" t="s">
        <v>10</v>
      </c>
      <c r="B4" s="5"/>
      <c r="C4" s="5"/>
      <c r="D4" s="5"/>
      <c r="E4" s="5"/>
      <c r="F4" s="5"/>
      <c r="G4" s="5"/>
      <c r="H4" s="5"/>
    </row>
    <row r="5" customFormat="false" ht="15" hidden="false" customHeight="false" outlineLevel="0" collapsed="false">
      <c r="A5" s="6" t="s">
        <v>11</v>
      </c>
      <c r="B5" s="2" t="s">
        <v>12</v>
      </c>
      <c r="C5" s="6" t="s">
        <v>13</v>
      </c>
      <c r="D5" s="6" t="s">
        <v>14</v>
      </c>
      <c r="E5" s="7" t="n">
        <v>1</v>
      </c>
      <c r="F5" s="8" t="n">
        <f aca="false">$E5</f>
        <v>1</v>
      </c>
      <c r="G5" s="8" t="n">
        <f aca="false">$E5</f>
        <v>1</v>
      </c>
      <c r="H5" s="2" t="s">
        <v>15</v>
      </c>
    </row>
    <row r="6" customFormat="false" ht="15" hidden="false" customHeight="false" outlineLevel="0" collapsed="false">
      <c r="A6" s="6" t="s">
        <v>11</v>
      </c>
      <c r="B6" s="2" t="s">
        <v>16</v>
      </c>
      <c r="C6" s="6" t="s">
        <v>17</v>
      </c>
      <c r="D6" s="6" t="s">
        <v>14</v>
      </c>
      <c r="E6" s="7" t="n">
        <v>1</v>
      </c>
      <c r="F6" s="8" t="n">
        <f aca="false">$E6</f>
        <v>1</v>
      </c>
      <c r="G6" s="8" t="n">
        <f aca="false">$E6</f>
        <v>1</v>
      </c>
      <c r="H6" s="2" t="s">
        <v>18</v>
      </c>
    </row>
    <row r="7" customFormat="false" ht="15" hidden="false" customHeight="false" outlineLevel="0" collapsed="false">
      <c r="A7" s="6" t="s">
        <v>11</v>
      </c>
      <c r="B7" s="2" t="s">
        <v>19</v>
      </c>
      <c r="C7" s="6" t="s">
        <v>20</v>
      </c>
      <c r="D7" s="6" t="s">
        <v>14</v>
      </c>
      <c r="E7" s="7" t="n">
        <v>0</v>
      </c>
      <c r="F7" s="8" t="n">
        <f aca="false">$E7</f>
        <v>0</v>
      </c>
      <c r="G7" s="8" t="n">
        <f aca="false">$E7</f>
        <v>0</v>
      </c>
      <c r="H7" s="2" t="s">
        <v>21</v>
      </c>
    </row>
    <row r="8" customFormat="false" ht="15" hidden="false" customHeight="false" outlineLevel="0" collapsed="false">
      <c r="A8" s="6" t="s">
        <v>11</v>
      </c>
      <c r="B8" s="2" t="s">
        <v>22</v>
      </c>
      <c r="C8" s="6" t="s">
        <v>23</v>
      </c>
      <c r="D8" s="6" t="s">
        <v>14</v>
      </c>
      <c r="E8" s="7" t="n">
        <v>1</v>
      </c>
      <c r="F8" s="8" t="n">
        <f aca="false">$E8</f>
        <v>1</v>
      </c>
      <c r="G8" s="8" t="n">
        <f aca="false">$E8</f>
        <v>1</v>
      </c>
      <c r="H8" s="2" t="s">
        <v>24</v>
      </c>
    </row>
    <row r="9" customFormat="false" ht="15" hidden="false" customHeight="false" outlineLevel="0" collapsed="false">
      <c r="A9" s="6" t="s">
        <v>11</v>
      </c>
      <c r="B9" s="2" t="s">
        <v>25</v>
      </c>
      <c r="C9" s="6" t="s">
        <v>26</v>
      </c>
      <c r="D9" s="6" t="s">
        <v>14</v>
      </c>
      <c r="E9" s="7" t="n">
        <v>1</v>
      </c>
      <c r="F9" s="8" t="n">
        <f aca="false">$E9</f>
        <v>1</v>
      </c>
      <c r="G9" s="8" t="n">
        <f aca="false">$E9</f>
        <v>1</v>
      </c>
      <c r="H9" s="2" t="s">
        <v>27</v>
      </c>
    </row>
    <row r="10" customFormat="false" ht="15" hidden="false" customHeight="false" outlineLevel="0" collapsed="false">
      <c r="A10" s="6" t="s">
        <v>11</v>
      </c>
      <c r="B10" s="2" t="s">
        <v>28</v>
      </c>
      <c r="C10" s="6" t="s">
        <v>29</v>
      </c>
      <c r="D10" s="6" t="s">
        <v>14</v>
      </c>
      <c r="E10" s="7" t="n">
        <v>0</v>
      </c>
      <c r="F10" s="8" t="n">
        <f aca="false">$E10</f>
        <v>0</v>
      </c>
      <c r="G10" s="8" t="n">
        <f aca="false">$E10</f>
        <v>0</v>
      </c>
      <c r="H10" s="2" t="s">
        <v>30</v>
      </c>
    </row>
    <row r="11" customFormat="false" ht="15" hidden="false" customHeight="false" outlineLevel="0" collapsed="false">
      <c r="A11" s="6" t="s">
        <v>11</v>
      </c>
      <c r="B11" s="2" t="s">
        <v>31</v>
      </c>
      <c r="C11" s="6" t="s">
        <v>32</v>
      </c>
      <c r="D11" s="6" t="s">
        <v>14</v>
      </c>
      <c r="E11" s="7" t="n">
        <v>0</v>
      </c>
      <c r="F11" s="8" t="n">
        <f aca="false">$E11</f>
        <v>0</v>
      </c>
      <c r="G11" s="8" t="n">
        <f aca="false">$E11</f>
        <v>0</v>
      </c>
      <c r="H11" s="2" t="s">
        <v>33</v>
      </c>
    </row>
    <row r="12" customFormat="false" ht="15" hidden="false" customHeight="false" outlineLevel="0" collapsed="false">
      <c r="A12" s="4" t="s">
        <v>34</v>
      </c>
      <c r="B12" s="5"/>
      <c r="C12" s="5"/>
      <c r="D12" s="5"/>
      <c r="E12" s="5"/>
      <c r="F12" s="5"/>
      <c r="G12" s="5"/>
      <c r="H12" s="5"/>
    </row>
    <row r="13" customFormat="false" ht="15" hidden="false" customHeight="false" outlineLevel="0" collapsed="false">
      <c r="A13" s="6" t="s">
        <v>35</v>
      </c>
      <c r="B13" s="2" t="s">
        <v>36</v>
      </c>
      <c r="C13" s="6" t="s">
        <v>37</v>
      </c>
      <c r="D13" s="6" t="s">
        <v>38</v>
      </c>
      <c r="E13" s="9" t="n">
        <v>1050</v>
      </c>
      <c r="F13" s="9" t="n">
        <v>560</v>
      </c>
      <c r="G13" s="9" t="n">
        <v>2100</v>
      </c>
      <c r="H13" s="2" t="s">
        <v>39</v>
      </c>
    </row>
    <row r="14" customFormat="false" ht="15" hidden="false" customHeight="false" outlineLevel="0" collapsed="false">
      <c r="A14" s="6" t="s">
        <v>35</v>
      </c>
      <c r="B14" s="2" t="s">
        <v>40</v>
      </c>
      <c r="C14" s="6" t="s">
        <v>41</v>
      </c>
      <c r="D14" s="6" t="s">
        <v>42</v>
      </c>
      <c r="E14" s="10" t="n">
        <v>0.07</v>
      </c>
      <c r="F14" s="10" t="n">
        <v>0.04</v>
      </c>
      <c r="G14" s="10" t="n">
        <v>0.09</v>
      </c>
      <c r="H14" s="2" t="s">
        <v>43</v>
      </c>
    </row>
    <row r="15" customFormat="false" ht="15" hidden="false" customHeight="false" outlineLevel="0" collapsed="false">
      <c r="A15" s="6" t="s">
        <v>35</v>
      </c>
      <c r="B15" s="2" t="s">
        <v>44</v>
      </c>
      <c r="C15" s="6" t="s">
        <v>45</v>
      </c>
      <c r="D15" s="6" t="s">
        <v>46</v>
      </c>
      <c r="E15" s="11" t="n">
        <v>0.015</v>
      </c>
      <c r="F15" s="11" t="n">
        <v>0.008</v>
      </c>
      <c r="G15" s="11" t="n">
        <v>0.03</v>
      </c>
      <c r="H15" s="2" t="s">
        <v>47</v>
      </c>
    </row>
    <row r="16" customFormat="false" ht="15" hidden="false" customHeight="false" outlineLevel="0" collapsed="false">
      <c r="A16" s="6" t="s">
        <v>35</v>
      </c>
      <c r="B16" s="2" t="s">
        <v>48</v>
      </c>
      <c r="C16" s="6" t="s">
        <v>49</v>
      </c>
      <c r="D16" s="6" t="s">
        <v>50</v>
      </c>
      <c r="E16" s="7" t="n">
        <v>4</v>
      </c>
      <c r="F16" s="8" t="n">
        <f aca="false">$E16</f>
        <v>4</v>
      </c>
      <c r="G16" s="8" t="n">
        <f aca="false">$E16</f>
        <v>4</v>
      </c>
      <c r="H16" s="2" t="s">
        <v>51</v>
      </c>
    </row>
    <row r="17" customFormat="false" ht="15" hidden="false" customHeight="false" outlineLevel="0" collapsed="false">
      <c r="A17" s="6" t="s">
        <v>35</v>
      </c>
      <c r="B17" s="2" t="s">
        <v>52</v>
      </c>
      <c r="C17" s="6" t="s">
        <v>53</v>
      </c>
      <c r="D17" s="6" t="s">
        <v>54</v>
      </c>
      <c r="E17" s="12" t="n">
        <v>500</v>
      </c>
      <c r="F17" s="12" t="n">
        <v>300</v>
      </c>
      <c r="G17" s="12" t="n">
        <v>1000</v>
      </c>
      <c r="H17" s="2" t="s">
        <v>55</v>
      </c>
    </row>
    <row r="18" customFormat="false" ht="15" hidden="false" customHeight="false" outlineLevel="0" collapsed="false">
      <c r="A18" s="6" t="s">
        <v>35</v>
      </c>
      <c r="B18" s="2" t="s">
        <v>56</v>
      </c>
      <c r="C18" s="6" t="s">
        <v>57</v>
      </c>
      <c r="D18" s="6" t="s">
        <v>42</v>
      </c>
      <c r="E18" s="10" t="n">
        <v>0.05</v>
      </c>
      <c r="F18" s="10" t="n">
        <v>0.03</v>
      </c>
      <c r="G18" s="10" t="n">
        <v>0.07</v>
      </c>
      <c r="H18" s="2" t="s">
        <v>58</v>
      </c>
    </row>
    <row r="19" customFormat="false" ht="15" hidden="false" customHeight="false" outlineLevel="0" collapsed="false">
      <c r="A19" s="6" t="s">
        <v>35</v>
      </c>
      <c r="B19" s="2" t="s">
        <v>59</v>
      </c>
      <c r="C19" s="6" t="s">
        <v>60</v>
      </c>
      <c r="D19" s="6" t="s">
        <v>61</v>
      </c>
      <c r="E19" s="13" t="n">
        <v>8</v>
      </c>
      <c r="F19" s="13" t="n">
        <v>12</v>
      </c>
      <c r="G19" s="13" t="n">
        <v>5</v>
      </c>
      <c r="H19" s="2" t="s">
        <v>62</v>
      </c>
    </row>
    <row r="20" customFormat="false" ht="15" hidden="false" customHeight="false" outlineLevel="0" collapsed="false">
      <c r="A20" s="6" t="s">
        <v>35</v>
      </c>
      <c r="B20" s="2" t="s">
        <v>63</v>
      </c>
      <c r="C20" s="6" t="s">
        <v>64</v>
      </c>
      <c r="D20" s="6" t="s">
        <v>50</v>
      </c>
      <c r="E20" s="7" t="n">
        <v>1</v>
      </c>
      <c r="F20" s="8" t="n">
        <f aca="false">$E20</f>
        <v>1</v>
      </c>
      <c r="G20" s="8" t="n">
        <f aca="false">$E20</f>
        <v>1</v>
      </c>
      <c r="H20" s="2" t="s">
        <v>65</v>
      </c>
    </row>
    <row r="21" customFormat="false" ht="15" hidden="false" customHeight="false" outlineLevel="0" collapsed="false">
      <c r="A21" s="6" t="s">
        <v>35</v>
      </c>
      <c r="B21" s="2" t="s">
        <v>66</v>
      </c>
      <c r="C21" s="6" t="s">
        <v>67</v>
      </c>
      <c r="D21" s="6" t="s">
        <v>54</v>
      </c>
      <c r="E21" s="12" t="n">
        <v>500</v>
      </c>
      <c r="F21" s="14" t="n">
        <f aca="false">$E21</f>
        <v>500</v>
      </c>
      <c r="G21" s="12" t="n">
        <v>1000</v>
      </c>
      <c r="H21" s="2" t="s">
        <v>68</v>
      </c>
    </row>
    <row r="22" customFormat="false" ht="15" hidden="false" customHeight="false" outlineLevel="0" collapsed="false">
      <c r="A22" s="6" t="s">
        <v>35</v>
      </c>
      <c r="B22" s="2" t="s">
        <v>69</v>
      </c>
      <c r="C22" s="6" t="s">
        <v>70</v>
      </c>
      <c r="D22" s="6" t="s">
        <v>42</v>
      </c>
      <c r="E22" s="10" t="n">
        <v>0.03</v>
      </c>
      <c r="F22" s="10" t="n">
        <v>0</v>
      </c>
      <c r="G22" s="10" t="n">
        <v>0.06</v>
      </c>
      <c r="H22" s="2" t="s">
        <v>71</v>
      </c>
    </row>
    <row r="23" customFormat="false" ht="15" hidden="false" customHeight="false" outlineLevel="0" collapsed="false">
      <c r="A23" s="6" t="s">
        <v>35</v>
      </c>
      <c r="B23" s="2" t="s">
        <v>72</v>
      </c>
      <c r="C23" s="6" t="s">
        <v>73</v>
      </c>
      <c r="D23" s="6" t="s">
        <v>61</v>
      </c>
      <c r="E23" s="13" t="n">
        <v>6</v>
      </c>
      <c r="F23" s="13" t="n">
        <v>9</v>
      </c>
      <c r="G23" s="13" t="n">
        <v>4</v>
      </c>
      <c r="H23" s="2" t="s">
        <v>74</v>
      </c>
    </row>
    <row r="24" customFormat="false" ht="15" hidden="false" customHeight="false" outlineLevel="0" collapsed="false">
      <c r="A24" s="4" t="s">
        <v>75</v>
      </c>
      <c r="B24" s="5"/>
      <c r="C24" s="5"/>
      <c r="D24" s="5"/>
      <c r="E24" s="5"/>
      <c r="F24" s="5"/>
      <c r="G24" s="5"/>
      <c r="H24" s="5"/>
    </row>
    <row r="25" customFormat="false" ht="15" hidden="false" customHeight="false" outlineLevel="0" collapsed="false">
      <c r="A25" s="6" t="s">
        <v>76</v>
      </c>
      <c r="B25" s="2" t="s">
        <v>77</v>
      </c>
      <c r="C25" s="6" t="s">
        <v>78</v>
      </c>
      <c r="D25" s="6" t="s">
        <v>42</v>
      </c>
      <c r="E25" s="10" t="n">
        <v>0.65</v>
      </c>
      <c r="F25" s="10" t="n">
        <v>0.55</v>
      </c>
      <c r="G25" s="10" t="n">
        <v>0.75</v>
      </c>
      <c r="H25" s="2" t="s">
        <v>79</v>
      </c>
    </row>
    <row r="26" customFormat="false" ht="15" hidden="false" customHeight="false" outlineLevel="0" collapsed="false">
      <c r="A26" s="6" t="s">
        <v>76</v>
      </c>
      <c r="B26" s="2" t="s">
        <v>80</v>
      </c>
      <c r="C26" s="6" t="s">
        <v>81</v>
      </c>
      <c r="D26" s="6" t="s">
        <v>42</v>
      </c>
      <c r="E26" s="10" t="n">
        <v>0.12</v>
      </c>
      <c r="F26" s="10" t="n">
        <v>0.06</v>
      </c>
      <c r="G26" s="10" t="n">
        <v>0.2</v>
      </c>
      <c r="H26" s="2" t="s">
        <v>82</v>
      </c>
    </row>
    <row r="27" customFormat="false" ht="15" hidden="false" customHeight="false" outlineLevel="0" collapsed="false">
      <c r="A27" s="6" t="s">
        <v>76</v>
      </c>
      <c r="B27" s="2" t="s">
        <v>83</v>
      </c>
      <c r="C27" s="6" t="s">
        <v>84</v>
      </c>
      <c r="D27" s="6" t="s">
        <v>42</v>
      </c>
      <c r="E27" s="10" t="n">
        <v>0.08</v>
      </c>
      <c r="F27" s="10" t="n">
        <v>0.12</v>
      </c>
      <c r="G27" s="10" t="n">
        <v>0.06</v>
      </c>
      <c r="H27" s="2" t="s">
        <v>85</v>
      </c>
    </row>
    <row r="28" customFormat="false" ht="15" hidden="false" customHeight="false" outlineLevel="0" collapsed="false">
      <c r="A28" s="4" t="s">
        <v>86</v>
      </c>
      <c r="B28" s="5"/>
      <c r="C28" s="5"/>
      <c r="D28" s="5"/>
      <c r="E28" s="5"/>
      <c r="F28" s="5"/>
      <c r="G28" s="5"/>
      <c r="H28" s="5"/>
    </row>
    <row r="29" customFormat="false" ht="15" hidden="false" customHeight="false" outlineLevel="0" collapsed="false">
      <c r="A29" s="6" t="s">
        <v>87</v>
      </c>
      <c r="B29" s="2" t="s">
        <v>88</v>
      </c>
      <c r="C29" s="6" t="s">
        <v>89</v>
      </c>
      <c r="D29" s="6" t="s">
        <v>42</v>
      </c>
      <c r="E29" s="10" t="n">
        <v>0.1</v>
      </c>
      <c r="F29" s="10" t="n">
        <v>0.08</v>
      </c>
      <c r="G29" s="10" t="n">
        <v>0.14</v>
      </c>
      <c r="H29" s="2" t="s">
        <v>90</v>
      </c>
    </row>
    <row r="30" customFormat="false" ht="15" hidden="false" customHeight="false" outlineLevel="0" collapsed="false">
      <c r="A30" s="6" t="s">
        <v>87</v>
      </c>
      <c r="B30" s="2" t="s">
        <v>91</v>
      </c>
      <c r="C30" s="6" t="s">
        <v>92</v>
      </c>
      <c r="D30" s="6" t="s">
        <v>42</v>
      </c>
      <c r="E30" s="10" t="n">
        <v>0.38</v>
      </c>
      <c r="F30" s="10" t="n">
        <v>0.33</v>
      </c>
      <c r="G30" s="10" t="n">
        <v>0.4</v>
      </c>
      <c r="H30" s="2" t="s">
        <v>93</v>
      </c>
    </row>
    <row r="31" customFormat="false" ht="15" hidden="false" customHeight="false" outlineLevel="0" collapsed="false">
      <c r="A31" s="6" t="s">
        <v>87</v>
      </c>
      <c r="B31" s="2" t="s">
        <v>94</v>
      </c>
      <c r="C31" s="6" t="s">
        <v>95</v>
      </c>
      <c r="D31" s="6" t="s">
        <v>42</v>
      </c>
      <c r="E31" s="10" t="n">
        <v>0.35</v>
      </c>
      <c r="F31" s="10" t="n">
        <v>0.4</v>
      </c>
      <c r="G31" s="10" t="n">
        <v>0.3</v>
      </c>
      <c r="H31" s="2" t="s">
        <v>96</v>
      </c>
    </row>
    <row r="32" customFormat="false" ht="15" hidden="false" customHeight="false" outlineLevel="0" collapsed="false">
      <c r="A32" s="6" t="s">
        <v>87</v>
      </c>
      <c r="B32" s="2" t="s">
        <v>97</v>
      </c>
      <c r="C32" s="6" t="s">
        <v>98</v>
      </c>
      <c r="D32" s="6" t="s">
        <v>42</v>
      </c>
      <c r="E32" s="10" t="n">
        <v>0.5</v>
      </c>
      <c r="F32" s="10" t="n">
        <v>0.45</v>
      </c>
      <c r="G32" s="10" t="n">
        <v>0.55</v>
      </c>
      <c r="H32" s="2" t="s">
        <v>99</v>
      </c>
    </row>
    <row r="33" customFormat="false" ht="15" hidden="false" customHeight="false" outlineLevel="0" collapsed="false">
      <c r="A33" s="6" t="s">
        <v>87</v>
      </c>
      <c r="B33" s="2" t="s">
        <v>100</v>
      </c>
      <c r="C33" s="6" t="s">
        <v>101</v>
      </c>
      <c r="D33" s="6" t="s">
        <v>42</v>
      </c>
      <c r="E33" s="10" t="n">
        <v>0.004</v>
      </c>
      <c r="F33" s="10" t="n">
        <v>0.002</v>
      </c>
      <c r="G33" s="10" t="n">
        <v>0.008</v>
      </c>
      <c r="H33" s="2" t="s">
        <v>102</v>
      </c>
    </row>
    <row r="34" customFormat="false" ht="15" hidden="false" customHeight="false" outlineLevel="0" collapsed="false">
      <c r="A34" s="4" t="s">
        <v>103</v>
      </c>
      <c r="B34" s="5"/>
      <c r="C34" s="5"/>
      <c r="D34" s="5"/>
      <c r="E34" s="5"/>
      <c r="F34" s="5"/>
      <c r="G34" s="5"/>
      <c r="H34" s="5"/>
    </row>
    <row r="35" customFormat="false" ht="15" hidden="false" customHeight="false" outlineLevel="0" collapsed="false">
      <c r="A35" s="6" t="s">
        <v>104</v>
      </c>
      <c r="B35" s="2" t="s">
        <v>105</v>
      </c>
      <c r="C35" s="6" t="s">
        <v>106</v>
      </c>
      <c r="D35" s="6" t="s">
        <v>61</v>
      </c>
      <c r="E35" s="13" t="n">
        <v>12.99</v>
      </c>
      <c r="F35" s="13" t="n">
        <v>9.99</v>
      </c>
      <c r="G35" s="13" t="n">
        <v>14.99</v>
      </c>
      <c r="H35" s="2" t="s">
        <v>107</v>
      </c>
    </row>
    <row r="36" customFormat="false" ht="15" hidden="false" customHeight="false" outlineLevel="0" collapsed="false">
      <c r="A36" s="6" t="s">
        <v>104</v>
      </c>
      <c r="B36" s="2" t="s">
        <v>108</v>
      </c>
      <c r="C36" s="6" t="s">
        <v>109</v>
      </c>
      <c r="D36" s="6" t="s">
        <v>61</v>
      </c>
      <c r="E36" s="13" t="n">
        <v>79.99</v>
      </c>
      <c r="F36" s="13" t="n">
        <v>59.99</v>
      </c>
      <c r="G36" s="13" t="n">
        <v>99.99</v>
      </c>
      <c r="H36" s="2" t="s">
        <v>110</v>
      </c>
    </row>
    <row r="37" customFormat="false" ht="15" hidden="false" customHeight="false" outlineLevel="0" collapsed="false">
      <c r="A37" s="6" t="s">
        <v>104</v>
      </c>
      <c r="B37" s="2" t="s">
        <v>111</v>
      </c>
      <c r="C37" s="6" t="s">
        <v>112</v>
      </c>
      <c r="D37" s="6" t="s">
        <v>61</v>
      </c>
      <c r="E37" s="13" t="n">
        <v>39.99</v>
      </c>
      <c r="F37" s="15" t="n">
        <f aca="false">$E37</f>
        <v>39.99</v>
      </c>
      <c r="G37" s="15" t="n">
        <f aca="false">$E37</f>
        <v>39.99</v>
      </c>
      <c r="H37" s="2" t="s">
        <v>113</v>
      </c>
    </row>
    <row r="38" customFormat="false" ht="15" hidden="false" customHeight="false" outlineLevel="0" collapsed="false">
      <c r="A38" s="6" t="s">
        <v>104</v>
      </c>
      <c r="B38" s="2" t="s">
        <v>114</v>
      </c>
      <c r="C38" s="6" t="s">
        <v>115</v>
      </c>
      <c r="D38" s="6" t="s">
        <v>61</v>
      </c>
      <c r="E38" s="13" t="n">
        <v>49</v>
      </c>
      <c r="F38" s="15" t="n">
        <f aca="false">$E38</f>
        <v>49</v>
      </c>
      <c r="G38" s="15" t="n">
        <f aca="false">$E38</f>
        <v>49</v>
      </c>
      <c r="H38" s="2" t="s">
        <v>116</v>
      </c>
    </row>
    <row r="39" customFormat="false" ht="15" hidden="false" customHeight="false" outlineLevel="0" collapsed="false">
      <c r="A39" s="6" t="s">
        <v>104</v>
      </c>
      <c r="B39" s="2" t="s">
        <v>117</v>
      </c>
      <c r="C39" s="6" t="s">
        <v>118</v>
      </c>
      <c r="D39" s="6" t="s">
        <v>42</v>
      </c>
      <c r="E39" s="10" t="n">
        <v>0.15</v>
      </c>
      <c r="F39" s="16" t="n">
        <f aca="false">$E39</f>
        <v>0.15</v>
      </c>
      <c r="G39" s="16" t="n">
        <f aca="false">$E39</f>
        <v>0.15</v>
      </c>
      <c r="H39" s="2" t="s">
        <v>119</v>
      </c>
    </row>
    <row r="40" customFormat="false" ht="15" hidden="false" customHeight="false" outlineLevel="0" collapsed="false">
      <c r="A40" s="6" t="s">
        <v>104</v>
      </c>
      <c r="B40" s="2" t="s">
        <v>120</v>
      </c>
      <c r="C40" s="6" t="s">
        <v>121</v>
      </c>
      <c r="D40" s="6" t="s">
        <v>42</v>
      </c>
      <c r="E40" s="10" t="n">
        <v>0.02</v>
      </c>
      <c r="F40" s="10" t="n">
        <v>0.03</v>
      </c>
      <c r="G40" s="10" t="n">
        <v>0.015</v>
      </c>
      <c r="H40" s="2" t="s">
        <v>122</v>
      </c>
    </row>
    <row r="41" customFormat="false" ht="15" hidden="false" customHeight="false" outlineLevel="0" collapsed="false">
      <c r="A41" s="4" t="s">
        <v>123</v>
      </c>
      <c r="B41" s="5"/>
      <c r="C41" s="5"/>
      <c r="D41" s="5"/>
      <c r="E41" s="5"/>
      <c r="F41" s="5"/>
      <c r="G41" s="5"/>
      <c r="H41" s="5"/>
    </row>
    <row r="42" customFormat="false" ht="15" hidden="false" customHeight="false" outlineLevel="0" collapsed="false">
      <c r="A42" s="6" t="s">
        <v>124</v>
      </c>
      <c r="B42" s="2" t="s">
        <v>125</v>
      </c>
      <c r="C42" s="6" t="s">
        <v>126</v>
      </c>
      <c r="D42" s="6" t="s">
        <v>42</v>
      </c>
      <c r="E42" s="10" t="n">
        <v>0.17</v>
      </c>
      <c r="F42" s="10" t="n">
        <v>0.095</v>
      </c>
      <c r="G42" s="10" t="n">
        <v>0.25</v>
      </c>
      <c r="H42" s="2" t="s">
        <v>127</v>
      </c>
    </row>
    <row r="43" customFormat="false" ht="15" hidden="false" customHeight="false" outlineLevel="0" collapsed="false">
      <c r="A43" s="6" t="s">
        <v>124</v>
      </c>
      <c r="B43" s="2" t="s">
        <v>128</v>
      </c>
      <c r="C43" s="6" t="s">
        <v>129</v>
      </c>
      <c r="D43" s="6" t="s">
        <v>42</v>
      </c>
      <c r="E43" s="10" t="n">
        <v>0.441</v>
      </c>
      <c r="F43" s="10" t="n">
        <v>0.307</v>
      </c>
      <c r="G43" s="10" t="n">
        <v>0.54</v>
      </c>
      <c r="H43" s="2" t="s">
        <v>130</v>
      </c>
    </row>
    <row r="44" customFormat="false" ht="15" hidden="false" customHeight="false" outlineLevel="0" collapsed="false">
      <c r="A44" s="6" t="s">
        <v>124</v>
      </c>
      <c r="B44" s="2" t="s">
        <v>131</v>
      </c>
      <c r="C44" s="6" t="s">
        <v>132</v>
      </c>
      <c r="D44" s="6" t="s">
        <v>42</v>
      </c>
      <c r="E44" s="10" t="n">
        <v>0.35</v>
      </c>
      <c r="F44" s="10" t="n">
        <v>0.25</v>
      </c>
      <c r="G44" s="10" t="n">
        <v>0.45</v>
      </c>
      <c r="H44" s="2" t="s">
        <v>133</v>
      </c>
    </row>
    <row r="45" customFormat="false" ht="15" hidden="false" customHeight="false" outlineLevel="0" collapsed="false">
      <c r="A45" s="4" t="s">
        <v>134</v>
      </c>
      <c r="B45" s="5"/>
      <c r="C45" s="5"/>
      <c r="D45" s="5"/>
      <c r="E45" s="5"/>
      <c r="F45" s="5"/>
      <c r="G45" s="5"/>
      <c r="H45" s="5"/>
    </row>
    <row r="46" customFormat="false" ht="15" hidden="false" customHeight="false" outlineLevel="0" collapsed="false">
      <c r="A46" s="6" t="s">
        <v>135</v>
      </c>
      <c r="B46" s="2" t="s">
        <v>136</v>
      </c>
      <c r="C46" s="6" t="s">
        <v>137</v>
      </c>
      <c r="D46" s="6" t="s">
        <v>50</v>
      </c>
      <c r="E46" s="7" t="n">
        <v>4</v>
      </c>
      <c r="F46" s="8" t="n">
        <f aca="false">$E46</f>
        <v>4</v>
      </c>
      <c r="G46" s="8" t="n">
        <f aca="false">$E46</f>
        <v>4</v>
      </c>
      <c r="H46" s="2" t="s">
        <v>138</v>
      </c>
    </row>
    <row r="47" customFormat="false" ht="15" hidden="false" customHeight="false" outlineLevel="0" collapsed="false">
      <c r="A47" s="6" t="s">
        <v>135</v>
      </c>
      <c r="B47" s="2" t="s">
        <v>139</v>
      </c>
      <c r="C47" s="6" t="s">
        <v>140</v>
      </c>
      <c r="D47" s="6" t="s">
        <v>42</v>
      </c>
      <c r="E47" s="10" t="n">
        <v>0.7</v>
      </c>
      <c r="F47" s="10" t="n">
        <v>0.6</v>
      </c>
      <c r="G47" s="10" t="n">
        <v>0.8</v>
      </c>
      <c r="H47" s="2" t="s">
        <v>141</v>
      </c>
    </row>
    <row r="48" customFormat="false" ht="15" hidden="false" customHeight="false" outlineLevel="0" collapsed="false">
      <c r="A48" s="6" t="s">
        <v>135</v>
      </c>
      <c r="B48" s="2" t="s">
        <v>142</v>
      </c>
      <c r="C48" s="6" t="s">
        <v>143</v>
      </c>
      <c r="D48" s="6" t="s">
        <v>46</v>
      </c>
      <c r="E48" s="11" t="n">
        <v>8</v>
      </c>
      <c r="F48" s="11" t="n">
        <v>5</v>
      </c>
      <c r="G48" s="11" t="n">
        <v>12</v>
      </c>
      <c r="H48" s="2" t="s">
        <v>144</v>
      </c>
    </row>
    <row r="49" customFormat="false" ht="15" hidden="false" customHeight="false" outlineLevel="0" collapsed="false">
      <c r="A49" s="6" t="s">
        <v>135</v>
      </c>
      <c r="B49" s="2" t="s">
        <v>145</v>
      </c>
      <c r="C49" s="6" t="s">
        <v>146</v>
      </c>
      <c r="D49" s="6" t="s">
        <v>46</v>
      </c>
      <c r="E49" s="11" t="n">
        <v>4</v>
      </c>
      <c r="F49" s="11" t="n">
        <v>2</v>
      </c>
      <c r="G49" s="11" t="n">
        <v>6</v>
      </c>
      <c r="H49" s="2" t="s">
        <v>58</v>
      </c>
    </row>
    <row r="50" customFormat="false" ht="15" hidden="false" customHeight="false" outlineLevel="0" collapsed="false">
      <c r="A50" s="6" t="s">
        <v>135</v>
      </c>
      <c r="B50" s="2" t="s">
        <v>147</v>
      </c>
      <c r="C50" s="6" t="s">
        <v>148</v>
      </c>
      <c r="D50" s="6" t="s">
        <v>46</v>
      </c>
      <c r="E50" s="11" t="n">
        <v>1</v>
      </c>
      <c r="F50" s="11" t="n">
        <v>0.5</v>
      </c>
      <c r="G50" s="11" t="n">
        <v>2</v>
      </c>
      <c r="H50" s="2" t="s">
        <v>58</v>
      </c>
    </row>
    <row r="51" customFormat="false" ht="15" hidden="false" customHeight="false" outlineLevel="0" collapsed="false">
      <c r="A51" s="6" t="s">
        <v>135</v>
      </c>
      <c r="B51" s="2" t="s">
        <v>149</v>
      </c>
      <c r="C51" s="6" t="s">
        <v>150</v>
      </c>
      <c r="D51" s="6" t="s">
        <v>61</v>
      </c>
      <c r="E51" s="13" t="n">
        <v>2.5</v>
      </c>
      <c r="F51" s="13" t="n">
        <v>1.5</v>
      </c>
      <c r="G51" s="13" t="n">
        <v>4</v>
      </c>
      <c r="H51" s="2" t="s">
        <v>151</v>
      </c>
    </row>
    <row r="52" customFormat="false" ht="15" hidden="false" customHeight="false" outlineLevel="0" collapsed="false">
      <c r="A52" s="6" t="s">
        <v>135</v>
      </c>
      <c r="B52" s="2" t="s">
        <v>152</v>
      </c>
      <c r="C52" s="6" t="s">
        <v>153</v>
      </c>
      <c r="D52" s="6" t="s">
        <v>61</v>
      </c>
      <c r="E52" s="13" t="n">
        <v>3</v>
      </c>
      <c r="F52" s="13" t="n">
        <v>2</v>
      </c>
      <c r="G52" s="13" t="n">
        <v>5</v>
      </c>
      <c r="H52" s="2" t="s">
        <v>154</v>
      </c>
    </row>
    <row r="53" customFormat="false" ht="15" hidden="false" customHeight="false" outlineLevel="0" collapsed="false">
      <c r="A53" s="6" t="s">
        <v>135</v>
      </c>
      <c r="B53" s="2" t="s">
        <v>155</v>
      </c>
      <c r="C53" s="6" t="s">
        <v>156</v>
      </c>
      <c r="D53" s="6" t="s">
        <v>61</v>
      </c>
      <c r="E53" s="13" t="n">
        <v>12</v>
      </c>
      <c r="F53" s="13" t="n">
        <v>8</v>
      </c>
      <c r="G53" s="13" t="n">
        <v>18</v>
      </c>
      <c r="H53" s="2" t="s">
        <v>157</v>
      </c>
    </row>
    <row r="54" customFormat="false" ht="15" hidden="false" customHeight="false" outlineLevel="0" collapsed="false">
      <c r="A54" s="6" t="s">
        <v>135</v>
      </c>
      <c r="B54" s="2" t="s">
        <v>158</v>
      </c>
      <c r="C54" s="6" t="s">
        <v>159</v>
      </c>
      <c r="D54" s="6" t="s">
        <v>42</v>
      </c>
      <c r="E54" s="10" t="n">
        <v>0.85</v>
      </c>
      <c r="F54" s="10" t="n">
        <v>0.7</v>
      </c>
      <c r="G54" s="10" t="n">
        <v>0.95</v>
      </c>
      <c r="H54" s="2" t="s">
        <v>160</v>
      </c>
    </row>
    <row r="55" customFormat="false" ht="15" hidden="false" customHeight="false" outlineLevel="0" collapsed="false">
      <c r="A55" s="4" t="s">
        <v>161</v>
      </c>
      <c r="B55" s="5"/>
      <c r="C55" s="5"/>
      <c r="D55" s="5"/>
      <c r="E55" s="5"/>
      <c r="F55" s="5"/>
      <c r="G55" s="5"/>
      <c r="H55" s="5"/>
    </row>
    <row r="56" customFormat="false" ht="15" hidden="false" customHeight="false" outlineLevel="0" collapsed="false">
      <c r="A56" s="6" t="s">
        <v>162</v>
      </c>
      <c r="B56" s="2" t="s">
        <v>163</v>
      </c>
      <c r="C56" s="6" t="s">
        <v>164</v>
      </c>
      <c r="D56" s="6" t="s">
        <v>50</v>
      </c>
      <c r="E56" s="7" t="n">
        <v>7</v>
      </c>
      <c r="F56" s="8" t="n">
        <f aca="false">$E56</f>
        <v>7</v>
      </c>
      <c r="G56" s="8" t="n">
        <f aca="false">$E56</f>
        <v>7</v>
      </c>
      <c r="H56" s="2" t="s">
        <v>165</v>
      </c>
    </row>
    <row r="57" customFormat="false" ht="15" hidden="false" customHeight="false" outlineLevel="0" collapsed="false">
      <c r="A57" s="6" t="s">
        <v>162</v>
      </c>
      <c r="B57" s="2" t="s">
        <v>166</v>
      </c>
      <c r="C57" s="6" t="s">
        <v>167</v>
      </c>
      <c r="D57" s="6" t="s">
        <v>46</v>
      </c>
      <c r="E57" s="11" t="n">
        <v>5</v>
      </c>
      <c r="F57" s="11" t="n">
        <v>3</v>
      </c>
      <c r="G57" s="11" t="n">
        <v>10</v>
      </c>
      <c r="H57" s="2" t="s">
        <v>168</v>
      </c>
    </row>
    <row r="58" customFormat="false" ht="15" hidden="false" customHeight="false" outlineLevel="0" collapsed="false">
      <c r="A58" s="6" t="s">
        <v>162</v>
      </c>
      <c r="B58" s="2" t="s">
        <v>169</v>
      </c>
      <c r="C58" s="6" t="s">
        <v>170</v>
      </c>
      <c r="D58" s="6" t="s">
        <v>42</v>
      </c>
      <c r="E58" s="10" t="n">
        <v>0.04</v>
      </c>
      <c r="F58" s="10" t="n">
        <v>0.02</v>
      </c>
      <c r="G58" s="10" t="n">
        <v>0.06</v>
      </c>
      <c r="H58" s="2" t="s">
        <v>58</v>
      </c>
    </row>
    <row r="59" customFormat="false" ht="15" hidden="false" customHeight="false" outlineLevel="0" collapsed="false">
      <c r="A59" s="6" t="s">
        <v>162</v>
      </c>
      <c r="B59" s="2" t="s">
        <v>171</v>
      </c>
      <c r="C59" s="6" t="s">
        <v>172</v>
      </c>
      <c r="D59" s="6" t="s">
        <v>54</v>
      </c>
      <c r="E59" s="12" t="n">
        <v>50</v>
      </c>
      <c r="F59" s="12" t="n">
        <v>30</v>
      </c>
      <c r="G59" s="12" t="n">
        <v>75</v>
      </c>
      <c r="H59" s="2" t="s">
        <v>173</v>
      </c>
    </row>
    <row r="60" customFormat="false" ht="15" hidden="false" customHeight="false" outlineLevel="0" collapsed="false">
      <c r="A60" s="4" t="s">
        <v>174</v>
      </c>
      <c r="B60" s="5"/>
      <c r="C60" s="5"/>
      <c r="D60" s="5"/>
      <c r="E60" s="5"/>
      <c r="F60" s="5"/>
      <c r="G60" s="5"/>
      <c r="H60" s="5"/>
    </row>
    <row r="61" customFormat="false" ht="15" hidden="false" customHeight="false" outlineLevel="0" collapsed="false">
      <c r="A61" s="6" t="s">
        <v>174</v>
      </c>
      <c r="B61" s="2" t="s">
        <v>175</v>
      </c>
      <c r="C61" s="6" t="s">
        <v>176</v>
      </c>
      <c r="D61" s="6" t="s">
        <v>50</v>
      </c>
      <c r="E61" s="7" t="n">
        <v>19</v>
      </c>
      <c r="F61" s="8" t="n">
        <f aca="false">$E61</f>
        <v>19</v>
      </c>
      <c r="G61" s="8" t="n">
        <f aca="false">$E61</f>
        <v>19</v>
      </c>
      <c r="H61" s="2" t="s">
        <v>177</v>
      </c>
    </row>
    <row r="62" customFormat="false" ht="15" hidden="false" customHeight="false" outlineLevel="0" collapsed="false">
      <c r="A62" s="6" t="s">
        <v>174</v>
      </c>
      <c r="B62" s="2" t="s">
        <v>178</v>
      </c>
      <c r="C62" s="6" t="s">
        <v>179</v>
      </c>
      <c r="D62" s="6" t="s">
        <v>38</v>
      </c>
      <c r="E62" s="9" t="n">
        <v>5</v>
      </c>
      <c r="F62" s="17" t="n">
        <f aca="false">$E62</f>
        <v>5</v>
      </c>
      <c r="G62" s="17" t="n">
        <f aca="false">$E62</f>
        <v>5</v>
      </c>
      <c r="H62" s="2" t="s">
        <v>65</v>
      </c>
    </row>
    <row r="63" customFormat="false" ht="15" hidden="false" customHeight="false" outlineLevel="0" collapsed="false">
      <c r="A63" s="6" t="s">
        <v>174</v>
      </c>
      <c r="B63" s="2" t="s">
        <v>180</v>
      </c>
      <c r="C63" s="6" t="s">
        <v>181</v>
      </c>
      <c r="D63" s="6" t="s">
        <v>38</v>
      </c>
      <c r="E63" s="9" t="n">
        <v>3</v>
      </c>
      <c r="F63" s="17" t="n">
        <f aca="false">$E63</f>
        <v>3</v>
      </c>
      <c r="G63" s="17" t="n">
        <f aca="false">$E63</f>
        <v>3</v>
      </c>
      <c r="H63" s="2" t="s">
        <v>65</v>
      </c>
    </row>
    <row r="64" customFormat="false" ht="15" hidden="false" customHeight="false" outlineLevel="0" collapsed="false">
      <c r="A64" s="6" t="s">
        <v>174</v>
      </c>
      <c r="B64" s="2" t="s">
        <v>182</v>
      </c>
      <c r="C64" s="6" t="s">
        <v>183</v>
      </c>
      <c r="D64" s="6" t="s">
        <v>54</v>
      </c>
      <c r="E64" s="12" t="n">
        <v>149</v>
      </c>
      <c r="F64" s="14" t="n">
        <f aca="false">$E64</f>
        <v>149</v>
      </c>
      <c r="G64" s="14" t="n">
        <f aca="false">$E64</f>
        <v>149</v>
      </c>
      <c r="H64" s="2" t="s">
        <v>184</v>
      </c>
    </row>
    <row r="65" customFormat="false" ht="15" hidden="false" customHeight="false" outlineLevel="0" collapsed="false">
      <c r="A65" s="6" t="s">
        <v>174</v>
      </c>
      <c r="B65" s="2" t="s">
        <v>185</v>
      </c>
      <c r="C65" s="6" t="s">
        <v>186</v>
      </c>
      <c r="D65" s="6" t="s">
        <v>38</v>
      </c>
      <c r="E65" s="9" t="n">
        <v>1</v>
      </c>
      <c r="F65" s="17" t="n">
        <f aca="false">$E65</f>
        <v>1</v>
      </c>
      <c r="G65" s="17" t="n">
        <f aca="false">$E65</f>
        <v>1</v>
      </c>
      <c r="H65" s="2" t="s">
        <v>65</v>
      </c>
    </row>
    <row r="66" customFormat="false" ht="15" hidden="false" customHeight="false" outlineLevel="0" collapsed="false">
      <c r="A66" s="6" t="s">
        <v>174</v>
      </c>
      <c r="B66" s="2" t="s">
        <v>187</v>
      </c>
      <c r="C66" s="6" t="s">
        <v>188</v>
      </c>
      <c r="D66" s="6" t="s">
        <v>38</v>
      </c>
      <c r="E66" s="9" t="n">
        <v>0.25</v>
      </c>
      <c r="F66" s="17" t="n">
        <f aca="false">$E66</f>
        <v>0.25</v>
      </c>
      <c r="G66" s="17" t="n">
        <f aca="false">$E66</f>
        <v>0.25</v>
      </c>
      <c r="H66" s="2" t="s">
        <v>189</v>
      </c>
    </row>
    <row r="67" customFormat="false" ht="15" hidden="false" customHeight="false" outlineLevel="0" collapsed="false">
      <c r="A67" s="6" t="s">
        <v>174</v>
      </c>
      <c r="B67" s="2" t="s">
        <v>190</v>
      </c>
      <c r="C67" s="6" t="s">
        <v>191</v>
      </c>
      <c r="D67" s="6" t="s">
        <v>54</v>
      </c>
      <c r="E67" s="12" t="n">
        <v>3000</v>
      </c>
      <c r="F67" s="14" t="n">
        <f aca="false">$E67</f>
        <v>3000</v>
      </c>
      <c r="G67" s="14" t="n">
        <f aca="false">$E67</f>
        <v>3000</v>
      </c>
      <c r="H67" s="2" t="s">
        <v>192</v>
      </c>
    </row>
    <row r="68" customFormat="false" ht="15" hidden="false" customHeight="false" outlineLevel="0" collapsed="false">
      <c r="A68" s="6" t="s">
        <v>174</v>
      </c>
      <c r="B68" s="2" t="s">
        <v>193</v>
      </c>
      <c r="C68" s="6" t="s">
        <v>194</v>
      </c>
      <c r="D68" s="6" t="s">
        <v>42</v>
      </c>
      <c r="E68" s="10" t="n">
        <v>0.03</v>
      </c>
      <c r="F68" s="16" t="n">
        <f aca="false">$E68</f>
        <v>0.03</v>
      </c>
      <c r="G68" s="16" t="n">
        <f aca="false">$E68</f>
        <v>0.03</v>
      </c>
      <c r="H68" s="2" t="s">
        <v>195</v>
      </c>
    </row>
    <row r="69" customFormat="false" ht="15" hidden="false" customHeight="false" outlineLevel="0" collapsed="false">
      <c r="A69" s="4" t="s">
        <v>196</v>
      </c>
      <c r="B69" s="5"/>
      <c r="C69" s="5"/>
      <c r="D69" s="5"/>
      <c r="E69" s="5"/>
      <c r="F69" s="5"/>
      <c r="G69" s="5"/>
      <c r="H69" s="5"/>
    </row>
    <row r="70" customFormat="false" ht="15" hidden="false" customHeight="false" outlineLevel="0" collapsed="false">
      <c r="A70" s="6" t="s">
        <v>196</v>
      </c>
      <c r="B70" s="2" t="s">
        <v>197</v>
      </c>
      <c r="C70" s="6" t="s">
        <v>198</v>
      </c>
      <c r="D70" s="6" t="s">
        <v>54</v>
      </c>
      <c r="E70" s="12" t="n">
        <v>400</v>
      </c>
      <c r="F70" s="12" t="n">
        <v>450</v>
      </c>
      <c r="G70" s="12" t="n">
        <v>350</v>
      </c>
      <c r="H70" s="2" t="s">
        <v>199</v>
      </c>
    </row>
    <row r="71" customFormat="false" ht="15" hidden="false" customHeight="false" outlineLevel="0" collapsed="false">
      <c r="A71" s="6" t="s">
        <v>196</v>
      </c>
      <c r="B71" s="2" t="s">
        <v>200</v>
      </c>
      <c r="C71" s="6" t="s">
        <v>201</v>
      </c>
      <c r="D71" s="6" t="s">
        <v>54</v>
      </c>
      <c r="E71" s="12" t="n">
        <v>3000</v>
      </c>
      <c r="F71" s="12" t="n">
        <v>3500</v>
      </c>
      <c r="G71" s="12" t="n">
        <v>2500</v>
      </c>
      <c r="H71" s="2" t="s">
        <v>202</v>
      </c>
    </row>
    <row r="72" customFormat="false" ht="15" hidden="false" customHeight="false" outlineLevel="0" collapsed="false">
      <c r="A72" s="6" t="s">
        <v>196</v>
      </c>
      <c r="B72" s="2" t="s">
        <v>203</v>
      </c>
      <c r="C72" s="6" t="s">
        <v>204</v>
      </c>
      <c r="D72" s="6" t="s">
        <v>38</v>
      </c>
      <c r="E72" s="9" t="n">
        <v>100000</v>
      </c>
      <c r="F72" s="17" t="n">
        <f aca="false">$E72</f>
        <v>100000</v>
      </c>
      <c r="G72" s="17" t="n">
        <f aca="false">$E72</f>
        <v>100000</v>
      </c>
      <c r="H72" s="2" t="s">
        <v>205</v>
      </c>
    </row>
    <row r="73" customFormat="false" ht="15" hidden="false" customHeight="false" outlineLevel="0" collapsed="false">
      <c r="A73" s="6" t="s">
        <v>196</v>
      </c>
      <c r="B73" s="2" t="s">
        <v>206</v>
      </c>
      <c r="C73" s="6" t="s">
        <v>207</v>
      </c>
      <c r="D73" s="6" t="s">
        <v>50</v>
      </c>
      <c r="E73" s="7" t="n">
        <v>13</v>
      </c>
      <c r="F73" s="8" t="n">
        <f aca="false">$E73</f>
        <v>13</v>
      </c>
      <c r="G73" s="8" t="n">
        <f aca="false">$E73</f>
        <v>13</v>
      </c>
      <c r="H73" s="2" t="s">
        <v>208</v>
      </c>
    </row>
    <row r="74" customFormat="false" ht="15" hidden="false" customHeight="false" outlineLevel="0" collapsed="false">
      <c r="A74" s="6" t="s">
        <v>196</v>
      </c>
      <c r="B74" s="2" t="s">
        <v>209</v>
      </c>
      <c r="C74" s="6" t="s">
        <v>210</v>
      </c>
      <c r="D74" s="6" t="s">
        <v>42</v>
      </c>
      <c r="E74" s="10" t="n">
        <v>0.1</v>
      </c>
      <c r="F74" s="10" t="n">
        <v>0.12</v>
      </c>
      <c r="G74" s="10" t="n">
        <v>0.08</v>
      </c>
      <c r="H74" s="2" t="s">
        <v>211</v>
      </c>
    </row>
    <row r="75" customFormat="false" ht="15" hidden="false" customHeight="false" outlineLevel="0" collapsed="false">
      <c r="A75" s="6" t="s">
        <v>196</v>
      </c>
      <c r="B75" s="2" t="s">
        <v>212</v>
      </c>
      <c r="C75" s="6" t="s">
        <v>213</v>
      </c>
      <c r="D75" s="6" t="s">
        <v>61</v>
      </c>
      <c r="E75" s="13" t="n">
        <v>0.45</v>
      </c>
      <c r="F75" s="13" t="n">
        <v>0.6</v>
      </c>
      <c r="G75" s="13" t="n">
        <v>0.3</v>
      </c>
      <c r="H75" s="2" t="s">
        <v>214</v>
      </c>
    </row>
    <row r="76" customFormat="false" ht="15" hidden="false" customHeight="false" outlineLevel="0" collapsed="false">
      <c r="A76" s="6" t="s">
        <v>196</v>
      </c>
      <c r="B76" s="2" t="s">
        <v>215</v>
      </c>
      <c r="C76" s="6" t="s">
        <v>216</v>
      </c>
      <c r="D76" s="6" t="s">
        <v>42</v>
      </c>
      <c r="E76" s="10" t="n">
        <v>0.4</v>
      </c>
      <c r="F76" s="10" t="n">
        <v>0.35</v>
      </c>
      <c r="G76" s="10" t="n">
        <v>0.5</v>
      </c>
      <c r="H76" s="2" t="s">
        <v>217</v>
      </c>
    </row>
    <row r="77" customFormat="false" ht="15" hidden="false" customHeight="false" outlineLevel="0" collapsed="false">
      <c r="A77" s="6" t="s">
        <v>196</v>
      </c>
      <c r="B77" s="2" t="s">
        <v>218</v>
      </c>
      <c r="C77" s="6" t="s">
        <v>219</v>
      </c>
      <c r="D77" s="6" t="s">
        <v>46</v>
      </c>
      <c r="E77" s="11" t="n">
        <v>2.5</v>
      </c>
      <c r="F77" s="18" t="n">
        <f aca="false">$E77</f>
        <v>2.5</v>
      </c>
      <c r="G77" s="11" t="n">
        <v>3</v>
      </c>
      <c r="H77" s="2" t="s">
        <v>220</v>
      </c>
    </row>
    <row r="78" customFormat="false" ht="15" hidden="false" customHeight="false" outlineLevel="0" collapsed="false">
      <c r="A78" s="6" t="s">
        <v>196</v>
      </c>
      <c r="B78" s="2" t="s">
        <v>221</v>
      </c>
      <c r="C78" s="6" t="s">
        <v>222</v>
      </c>
      <c r="D78" s="6" t="s">
        <v>61</v>
      </c>
      <c r="E78" s="13" t="n">
        <v>0.7</v>
      </c>
      <c r="F78" s="13" t="n">
        <v>0.9</v>
      </c>
      <c r="G78" s="13" t="n">
        <v>0.55</v>
      </c>
      <c r="H78" s="2" t="s">
        <v>223</v>
      </c>
    </row>
    <row r="79" customFormat="false" ht="15" hidden="false" customHeight="false" outlineLevel="0" collapsed="false">
      <c r="A79" s="6" t="s">
        <v>196</v>
      </c>
      <c r="B79" s="2" t="s">
        <v>224</v>
      </c>
      <c r="C79" s="6" t="s">
        <v>225</v>
      </c>
      <c r="D79" s="6" t="s">
        <v>54</v>
      </c>
      <c r="E79" s="12" t="n">
        <v>100</v>
      </c>
      <c r="F79" s="14" t="n">
        <f aca="false">$E79</f>
        <v>100</v>
      </c>
      <c r="G79" s="14" t="n">
        <f aca="false">$E79</f>
        <v>100</v>
      </c>
      <c r="H79" s="2" t="s">
        <v>226</v>
      </c>
    </row>
    <row r="80" customFormat="false" ht="15" hidden="false" customHeight="false" outlineLevel="0" collapsed="false">
      <c r="A80" s="6" t="s">
        <v>196</v>
      </c>
      <c r="B80" s="2" t="s">
        <v>227</v>
      </c>
      <c r="C80" s="6" t="s">
        <v>228</v>
      </c>
      <c r="D80" s="6" t="s">
        <v>54</v>
      </c>
      <c r="E80" s="12" t="n">
        <v>50</v>
      </c>
      <c r="F80" s="14" t="n">
        <f aca="false">$E80</f>
        <v>50</v>
      </c>
      <c r="G80" s="14" t="n">
        <f aca="false">$E80</f>
        <v>50</v>
      </c>
      <c r="H80" s="2" t="s">
        <v>229</v>
      </c>
    </row>
    <row r="81" customFormat="false" ht="15" hidden="false" customHeight="false" outlineLevel="0" collapsed="false">
      <c r="A81" s="6" t="s">
        <v>196</v>
      </c>
      <c r="B81" s="2" t="s">
        <v>230</v>
      </c>
      <c r="C81" s="6" t="s">
        <v>231</v>
      </c>
      <c r="D81" s="6" t="s">
        <v>61</v>
      </c>
      <c r="E81" s="13" t="n">
        <v>0.01</v>
      </c>
      <c r="F81" s="15" t="n">
        <f aca="false">$E81</f>
        <v>0.01</v>
      </c>
      <c r="G81" s="15" t="n">
        <f aca="false">$E81</f>
        <v>0.01</v>
      </c>
      <c r="H81" s="2" t="s">
        <v>232</v>
      </c>
    </row>
    <row r="82" customFormat="false" ht="15" hidden="false" customHeight="false" outlineLevel="0" collapsed="false">
      <c r="A82" s="6" t="s">
        <v>196</v>
      </c>
      <c r="B82" s="2" t="s">
        <v>233</v>
      </c>
      <c r="C82" s="6" t="s">
        <v>234</v>
      </c>
      <c r="D82" s="6" t="s">
        <v>50</v>
      </c>
      <c r="E82" s="7" t="n">
        <v>7</v>
      </c>
      <c r="F82" s="8" t="n">
        <f aca="false">$E82</f>
        <v>7</v>
      </c>
      <c r="G82" s="8" t="n">
        <f aca="false">$E82</f>
        <v>7</v>
      </c>
      <c r="H82" s="2" t="s">
        <v>235</v>
      </c>
    </row>
    <row r="83" customFormat="false" ht="15" hidden="false" customHeight="false" outlineLevel="0" collapsed="false">
      <c r="A83" s="6" t="s">
        <v>196</v>
      </c>
      <c r="B83" s="2" t="s">
        <v>236</v>
      </c>
      <c r="C83" s="6" t="s">
        <v>237</v>
      </c>
      <c r="D83" s="6" t="s">
        <v>61</v>
      </c>
      <c r="E83" s="13" t="n">
        <v>0.45</v>
      </c>
      <c r="F83" s="13" t="n">
        <v>0.65</v>
      </c>
      <c r="G83" s="13" t="n">
        <v>0.3</v>
      </c>
      <c r="H83" s="2" t="s">
        <v>238</v>
      </c>
    </row>
    <row r="84" customFormat="false" ht="15" hidden="false" customHeight="false" outlineLevel="0" collapsed="false">
      <c r="A84" s="6" t="s">
        <v>196</v>
      </c>
      <c r="B84" s="2" t="s">
        <v>239</v>
      </c>
      <c r="C84" s="6" t="s">
        <v>240</v>
      </c>
      <c r="D84" s="6" t="s">
        <v>61</v>
      </c>
      <c r="E84" s="13" t="n">
        <v>0.01</v>
      </c>
      <c r="F84" s="15" t="n">
        <f aca="false">$E84</f>
        <v>0.01</v>
      </c>
      <c r="G84" s="15" t="n">
        <f aca="false">$E84</f>
        <v>0.01</v>
      </c>
      <c r="H84" s="2" t="s">
        <v>241</v>
      </c>
    </row>
    <row r="85" customFormat="false" ht="15" hidden="false" customHeight="false" outlineLevel="0" collapsed="false">
      <c r="A85" s="6" t="s">
        <v>196</v>
      </c>
      <c r="B85" s="2" t="s">
        <v>242</v>
      </c>
      <c r="C85" s="6" t="s">
        <v>243</v>
      </c>
      <c r="D85" s="6" t="s">
        <v>54</v>
      </c>
      <c r="E85" s="12" t="n">
        <v>2500</v>
      </c>
      <c r="F85" s="14" t="n">
        <f aca="false">$E85</f>
        <v>2500</v>
      </c>
      <c r="G85" s="14" t="n">
        <f aca="false">$E85</f>
        <v>2500</v>
      </c>
      <c r="H85" s="2" t="s">
        <v>244</v>
      </c>
    </row>
    <row r="86" customFormat="false" ht="15" hidden="false" customHeight="false" outlineLevel="0" collapsed="false">
      <c r="A86" s="6" t="s">
        <v>196</v>
      </c>
      <c r="B86" s="2" t="s">
        <v>245</v>
      </c>
      <c r="C86" s="6" t="s">
        <v>246</v>
      </c>
      <c r="D86" s="6" t="s">
        <v>42</v>
      </c>
      <c r="E86" s="10" t="n">
        <v>0.01</v>
      </c>
      <c r="F86" s="16" t="n">
        <f aca="false">$E86</f>
        <v>0.01</v>
      </c>
      <c r="G86" s="16" t="n">
        <f aca="false">$E86</f>
        <v>0.01</v>
      </c>
      <c r="H86" s="2" t="s">
        <v>244</v>
      </c>
    </row>
    <row r="87" customFormat="false" ht="15" hidden="false" customHeight="false" outlineLevel="0" collapsed="false">
      <c r="A87" s="4" t="s">
        <v>247</v>
      </c>
      <c r="B87" s="5"/>
      <c r="C87" s="5"/>
      <c r="D87" s="5"/>
      <c r="E87" s="5"/>
      <c r="F87" s="5"/>
      <c r="G87" s="5"/>
      <c r="H87" s="5"/>
    </row>
    <row r="88" customFormat="false" ht="15" hidden="false" customHeight="false" outlineLevel="0" collapsed="false">
      <c r="A88" s="6" t="s">
        <v>248</v>
      </c>
      <c r="B88" s="2" t="s">
        <v>249</v>
      </c>
      <c r="C88" s="6" t="s">
        <v>250</v>
      </c>
      <c r="D88" s="6" t="s">
        <v>54</v>
      </c>
      <c r="E88" s="12" t="n">
        <v>5000</v>
      </c>
      <c r="F88" s="14" t="n">
        <f aca="false">$E88</f>
        <v>5000</v>
      </c>
      <c r="G88" s="14" t="n">
        <f aca="false">$E88</f>
        <v>5000</v>
      </c>
      <c r="H88" s="2" t="s">
        <v>251</v>
      </c>
    </row>
    <row r="89" customFormat="false" ht="15" hidden="false" customHeight="false" outlineLevel="0" collapsed="false">
      <c r="A89" s="6" t="s">
        <v>248</v>
      </c>
      <c r="B89" s="2" t="s">
        <v>252</v>
      </c>
      <c r="C89" s="6" t="s">
        <v>253</v>
      </c>
      <c r="D89" s="6" t="s">
        <v>54</v>
      </c>
      <c r="E89" s="12" t="n">
        <v>500</v>
      </c>
      <c r="F89" s="12" t="n">
        <v>300</v>
      </c>
      <c r="G89" s="12" t="n">
        <v>1000</v>
      </c>
      <c r="H89" s="2" t="s">
        <v>58</v>
      </c>
    </row>
    <row r="90" customFormat="false" ht="15" hidden="false" customHeight="false" outlineLevel="0" collapsed="false">
      <c r="A90" s="6" t="s">
        <v>248</v>
      </c>
      <c r="B90" s="2" t="s">
        <v>254</v>
      </c>
      <c r="C90" s="6" t="s">
        <v>255</v>
      </c>
      <c r="D90" s="6" t="s">
        <v>54</v>
      </c>
      <c r="E90" s="12" t="n">
        <v>1500</v>
      </c>
      <c r="F90" s="12" t="n">
        <v>800</v>
      </c>
      <c r="G90" s="12" t="n">
        <v>3000</v>
      </c>
      <c r="H90" s="2" t="s">
        <v>58</v>
      </c>
    </row>
    <row r="91" customFormat="false" ht="15" hidden="false" customHeight="false" outlineLevel="0" collapsed="false">
      <c r="A91" s="6" t="s">
        <v>248</v>
      </c>
      <c r="B91" s="2" t="s">
        <v>256</v>
      </c>
      <c r="C91" s="6" t="s">
        <v>257</v>
      </c>
      <c r="D91" s="6" t="s">
        <v>54</v>
      </c>
      <c r="E91" s="12" t="n">
        <v>3000</v>
      </c>
      <c r="F91" s="12" t="n">
        <v>1500</v>
      </c>
      <c r="G91" s="12" t="n">
        <v>6000</v>
      </c>
      <c r="H91" s="2" t="s">
        <v>58</v>
      </c>
    </row>
    <row r="92" customFormat="false" ht="15" hidden="false" customHeight="false" outlineLevel="0" collapsed="false">
      <c r="A92" s="6" t="s">
        <v>248</v>
      </c>
      <c r="B92" s="2" t="s">
        <v>258</v>
      </c>
      <c r="C92" s="6" t="s">
        <v>259</v>
      </c>
      <c r="D92" s="6" t="s">
        <v>54</v>
      </c>
      <c r="E92" s="12" t="n">
        <v>150</v>
      </c>
      <c r="F92" s="14" t="n">
        <f aca="false">$E92</f>
        <v>150</v>
      </c>
      <c r="G92" s="14" t="n">
        <f aca="false">$E92</f>
        <v>150</v>
      </c>
      <c r="H92" s="2" t="s">
        <v>260</v>
      </c>
    </row>
    <row r="93" customFormat="false" ht="15" hidden="false" customHeight="false" outlineLevel="0" collapsed="false">
      <c r="A93" s="6" t="s">
        <v>248</v>
      </c>
      <c r="B93" s="2" t="s">
        <v>261</v>
      </c>
      <c r="C93" s="6" t="s">
        <v>262</v>
      </c>
      <c r="D93" s="6" t="s">
        <v>54</v>
      </c>
      <c r="E93" s="12" t="n">
        <v>500</v>
      </c>
      <c r="F93" s="14" t="n">
        <f aca="false">$E93</f>
        <v>500</v>
      </c>
      <c r="G93" s="14" t="n">
        <f aca="false">$E93</f>
        <v>500</v>
      </c>
      <c r="H93" s="2" t="s">
        <v>263</v>
      </c>
    </row>
    <row r="94" customFormat="false" ht="15" hidden="false" customHeight="false" outlineLevel="0" collapsed="false">
      <c r="A94" s="6" t="s">
        <v>248</v>
      </c>
      <c r="B94" s="2" t="s">
        <v>264</v>
      </c>
      <c r="C94" s="6" t="s">
        <v>265</v>
      </c>
      <c r="D94" s="6" t="s">
        <v>54</v>
      </c>
      <c r="E94" s="12" t="n">
        <v>2000</v>
      </c>
      <c r="F94" s="14" t="n">
        <f aca="false">$E94</f>
        <v>2000</v>
      </c>
      <c r="G94" s="14" t="n">
        <f aca="false">$E94</f>
        <v>2000</v>
      </c>
      <c r="H94" s="2" t="s">
        <v>266</v>
      </c>
    </row>
    <row r="95" customFormat="false" ht="15" hidden="false" customHeight="false" outlineLevel="0" collapsed="false">
      <c r="A95" s="6" t="s">
        <v>248</v>
      </c>
      <c r="B95" s="2" t="s">
        <v>267</v>
      </c>
      <c r="C95" s="6" t="s">
        <v>268</v>
      </c>
      <c r="D95" s="6" t="s">
        <v>54</v>
      </c>
      <c r="E95" s="12" t="n">
        <v>500</v>
      </c>
      <c r="F95" s="14" t="n">
        <f aca="false">$E95</f>
        <v>500</v>
      </c>
      <c r="G95" s="14" t="n">
        <f aca="false">$E95</f>
        <v>500</v>
      </c>
      <c r="H95" s="2" t="s">
        <v>269</v>
      </c>
    </row>
    <row r="96" customFormat="false" ht="15" hidden="false" customHeight="false" outlineLevel="0" collapsed="false">
      <c r="A96" s="6" t="s">
        <v>248</v>
      </c>
      <c r="B96" s="2" t="s">
        <v>270</v>
      </c>
      <c r="C96" s="6" t="s">
        <v>271</v>
      </c>
      <c r="D96" s="6" t="s">
        <v>54</v>
      </c>
      <c r="E96" s="12" t="n">
        <v>700</v>
      </c>
      <c r="F96" s="14" t="n">
        <f aca="false">$E96</f>
        <v>700</v>
      </c>
      <c r="G96" s="14" t="n">
        <f aca="false">$E96</f>
        <v>700</v>
      </c>
      <c r="H96" s="2" t="s">
        <v>272</v>
      </c>
    </row>
    <row r="97" customFormat="false" ht="15" hidden="false" customHeight="false" outlineLevel="0" collapsed="false">
      <c r="A97" s="6" t="s">
        <v>248</v>
      </c>
      <c r="B97" s="2" t="s">
        <v>273</v>
      </c>
      <c r="C97" s="6" t="s">
        <v>274</v>
      </c>
      <c r="D97" s="6" t="s">
        <v>54</v>
      </c>
      <c r="E97" s="12" t="n">
        <v>100</v>
      </c>
      <c r="F97" s="14" t="n">
        <f aca="false">$E97</f>
        <v>100</v>
      </c>
      <c r="G97" s="14" t="n">
        <f aca="false">$E97</f>
        <v>100</v>
      </c>
      <c r="H97" s="2" t="s">
        <v>65</v>
      </c>
    </row>
    <row r="98" customFormat="false" ht="15" hidden="false" customHeight="false" outlineLevel="0" collapsed="false">
      <c r="A98" s="6" t="s">
        <v>248</v>
      </c>
      <c r="B98" s="2" t="s">
        <v>275</v>
      </c>
      <c r="C98" s="6" t="s">
        <v>276</v>
      </c>
      <c r="D98" s="6" t="s">
        <v>54</v>
      </c>
      <c r="E98" s="12" t="n">
        <v>1000</v>
      </c>
      <c r="F98" s="14" t="n">
        <f aca="false">$E98</f>
        <v>1000</v>
      </c>
      <c r="G98" s="14" t="n">
        <f aca="false">$E98</f>
        <v>1000</v>
      </c>
      <c r="H98" s="2" t="s">
        <v>65</v>
      </c>
    </row>
    <row r="99" customFormat="false" ht="15" hidden="false" customHeight="false" outlineLevel="0" collapsed="false">
      <c r="A99" s="6" t="s">
        <v>248</v>
      </c>
      <c r="B99" s="2" t="s">
        <v>277</v>
      </c>
      <c r="C99" s="6" t="s">
        <v>278</v>
      </c>
      <c r="D99" s="6" t="s">
        <v>50</v>
      </c>
      <c r="E99" s="7" t="n">
        <v>25</v>
      </c>
      <c r="F99" s="8" t="n">
        <f aca="false">$E99</f>
        <v>25</v>
      </c>
      <c r="G99" s="8" t="n">
        <f aca="false">$E99</f>
        <v>25</v>
      </c>
      <c r="H99" s="2" t="s">
        <v>65</v>
      </c>
    </row>
    <row r="100" customFormat="false" ht="15" hidden="false" customHeight="false" outlineLevel="0" collapsed="false">
      <c r="A100" s="6" t="s">
        <v>248</v>
      </c>
      <c r="B100" s="2" t="s">
        <v>279</v>
      </c>
      <c r="C100" s="6" t="s">
        <v>280</v>
      </c>
      <c r="D100" s="6" t="s">
        <v>54</v>
      </c>
      <c r="E100" s="12" t="n">
        <v>1500</v>
      </c>
      <c r="F100" s="14" t="n">
        <f aca="false">$E100</f>
        <v>1500</v>
      </c>
      <c r="G100" s="14" t="n">
        <f aca="false">$E100</f>
        <v>1500</v>
      </c>
      <c r="H100" s="2" t="s">
        <v>281</v>
      </c>
    </row>
    <row r="101" customFormat="false" ht="15" hidden="false" customHeight="false" outlineLevel="0" collapsed="false">
      <c r="A101" s="6" t="s">
        <v>248</v>
      </c>
      <c r="B101" s="2" t="s">
        <v>282</v>
      </c>
      <c r="C101" s="6" t="s">
        <v>283</v>
      </c>
      <c r="D101" s="6" t="s">
        <v>54</v>
      </c>
      <c r="E101" s="12" t="n">
        <v>150</v>
      </c>
      <c r="F101" s="14" t="n">
        <f aca="false">$E101</f>
        <v>150</v>
      </c>
      <c r="G101" s="14" t="n">
        <f aca="false">$E101</f>
        <v>150</v>
      </c>
      <c r="H101" s="2" t="s">
        <v>284</v>
      </c>
    </row>
    <row r="102" customFormat="false" ht="15" hidden="false" customHeight="false" outlineLevel="0" collapsed="false">
      <c r="A102" s="6" t="s">
        <v>248</v>
      </c>
      <c r="B102" s="2" t="s">
        <v>285</v>
      </c>
      <c r="C102" s="6" t="s">
        <v>286</v>
      </c>
      <c r="D102" s="6" t="s">
        <v>54</v>
      </c>
      <c r="E102" s="12" t="n">
        <v>250</v>
      </c>
      <c r="F102" s="14" t="n">
        <f aca="false">$E102</f>
        <v>250</v>
      </c>
      <c r="G102" s="14" t="n">
        <f aca="false">$E102</f>
        <v>250</v>
      </c>
      <c r="H102" s="2" t="s">
        <v>65</v>
      </c>
    </row>
    <row r="103" customFormat="false" ht="15" hidden="false" customHeight="false" outlineLevel="0" collapsed="false">
      <c r="A103" s="6" t="s">
        <v>248</v>
      </c>
      <c r="B103" s="2" t="s">
        <v>287</v>
      </c>
      <c r="C103" s="6" t="s">
        <v>288</v>
      </c>
      <c r="D103" s="6" t="s">
        <v>54</v>
      </c>
      <c r="E103" s="12" t="n">
        <v>400</v>
      </c>
      <c r="F103" s="14" t="n">
        <f aca="false">$E103</f>
        <v>400</v>
      </c>
      <c r="G103" s="14" t="n">
        <f aca="false">$E103</f>
        <v>400</v>
      </c>
      <c r="H103" s="2" t="s">
        <v>65</v>
      </c>
    </row>
    <row r="104" customFormat="false" ht="15" hidden="false" customHeight="false" outlineLevel="0" collapsed="false">
      <c r="A104" s="6" t="s">
        <v>248</v>
      </c>
      <c r="B104" s="2" t="s">
        <v>289</v>
      </c>
      <c r="C104" s="6" t="s">
        <v>290</v>
      </c>
      <c r="D104" s="6" t="s">
        <v>54</v>
      </c>
      <c r="E104" s="12" t="n">
        <v>99</v>
      </c>
      <c r="F104" s="14" t="n">
        <f aca="false">$E104</f>
        <v>99</v>
      </c>
      <c r="G104" s="14" t="n">
        <f aca="false">$E104</f>
        <v>99</v>
      </c>
      <c r="H104" s="2" t="s">
        <v>291</v>
      </c>
    </row>
    <row r="105" customFormat="false" ht="15" hidden="false" customHeight="false" outlineLevel="0" collapsed="false">
      <c r="A105" s="6" t="s">
        <v>248</v>
      </c>
      <c r="B105" s="2" t="s">
        <v>292</v>
      </c>
      <c r="C105" s="6" t="s">
        <v>293</v>
      </c>
      <c r="D105" s="6" t="s">
        <v>54</v>
      </c>
      <c r="E105" s="12" t="n">
        <v>25</v>
      </c>
      <c r="F105" s="14" t="n">
        <f aca="false">$E105</f>
        <v>25</v>
      </c>
      <c r="G105" s="14" t="n">
        <f aca="false">$E105</f>
        <v>25</v>
      </c>
      <c r="H105" s="2" t="s">
        <v>294</v>
      </c>
    </row>
    <row r="106" customFormat="false" ht="15" hidden="false" customHeight="false" outlineLevel="0" collapsed="false">
      <c r="A106" s="6" t="s">
        <v>248</v>
      </c>
      <c r="B106" s="2" t="s">
        <v>295</v>
      </c>
      <c r="C106" s="6" t="s">
        <v>296</v>
      </c>
      <c r="D106" s="6" t="s">
        <v>54</v>
      </c>
      <c r="E106" s="12" t="n">
        <v>100</v>
      </c>
      <c r="F106" s="14" t="n">
        <f aca="false">$E106</f>
        <v>100</v>
      </c>
      <c r="G106" s="14" t="n">
        <f aca="false">$E106</f>
        <v>100</v>
      </c>
      <c r="H106" s="2" t="s">
        <v>58</v>
      </c>
    </row>
    <row r="108" customFormat="false" ht="15" hidden="false" customHeight="false" outlineLevel="0" collapsed="false">
      <c r="A108" s="4" t="s">
        <v>297</v>
      </c>
      <c r="B108" s="5"/>
      <c r="C108" s="5"/>
      <c r="D108" s="5"/>
      <c r="E108" s="5"/>
      <c r="F108" s="5"/>
      <c r="G108" s="5"/>
      <c r="H108" s="5"/>
    </row>
    <row r="109" customFormat="false" ht="15" hidden="false" customHeight="false" outlineLevel="0" collapsed="false">
      <c r="A109" s="6" t="s">
        <v>298</v>
      </c>
      <c r="B109" s="2" t="s">
        <v>299</v>
      </c>
      <c r="C109" s="6" t="s">
        <v>300</v>
      </c>
      <c r="D109" s="6" t="s">
        <v>42</v>
      </c>
      <c r="E109" s="16" t="n">
        <f aca="false">((1-E31)-E32)</f>
        <v>0.15</v>
      </c>
      <c r="F109" s="16" t="n">
        <f aca="false">((1-F31)-F32)</f>
        <v>0.15</v>
      </c>
      <c r="G109" s="16" t="n">
        <f aca="false">((1-G31)-G32)</f>
        <v>0.15</v>
      </c>
    </row>
    <row r="110" customFormat="false" ht="15" hidden="false" customHeight="false" outlineLevel="0" collapsed="false">
      <c r="A110" s="6" t="s">
        <v>298</v>
      </c>
      <c r="B110" s="2" t="s">
        <v>301</v>
      </c>
      <c r="C110" s="6" t="s">
        <v>302</v>
      </c>
      <c r="D110" s="6" t="s">
        <v>42</v>
      </c>
      <c r="E110" s="16" t="n">
        <f aca="false">(1-(E42^(1/12)))</f>
        <v>0.137278257323411</v>
      </c>
      <c r="F110" s="16" t="n">
        <f aca="false">(1-(F42^(1/12)))</f>
        <v>0.178116426702482</v>
      </c>
      <c r="G110" s="16" t="n">
        <f aca="false">(1-(G42^(1/12)))</f>
        <v>0.109101281859661</v>
      </c>
    </row>
    <row r="111" customFormat="false" ht="15" hidden="false" customHeight="false" outlineLevel="0" collapsed="false">
      <c r="A111" s="6" t="s">
        <v>298</v>
      </c>
      <c r="B111" s="2" t="s">
        <v>303</v>
      </c>
      <c r="C111" s="6" t="s">
        <v>304</v>
      </c>
      <c r="D111" s="6" t="s">
        <v>42</v>
      </c>
      <c r="E111" s="16" t="n">
        <f aca="false">((E25*E29)*E30)</f>
        <v>0.0247</v>
      </c>
      <c r="F111" s="16" t="n">
        <f aca="false">((F25*F29)*F30)</f>
        <v>0.01452</v>
      </c>
      <c r="G111" s="16" t="n">
        <f aca="false">((G25*G29)*G30)</f>
        <v>0.042</v>
      </c>
    </row>
    <row r="112" customFormat="false" ht="15" hidden="false" customHeight="false" outlineLevel="0" collapsed="false">
      <c r="A112" s="6" t="s">
        <v>298</v>
      </c>
      <c r="B112" s="2" t="s">
        <v>305</v>
      </c>
      <c r="C112" s="6" t="s">
        <v>306</v>
      </c>
      <c r="D112" s="6" t="s">
        <v>42</v>
      </c>
      <c r="E112" s="16" t="n">
        <f aca="false">((1-E40)*(1-E39))</f>
        <v>0.833</v>
      </c>
      <c r="F112" s="16" t="n">
        <f aca="false">((1-F40)*(1-F39))</f>
        <v>0.8245</v>
      </c>
      <c r="G112" s="16" t="n">
        <f aca="false">((1-G40)*(1-G39))</f>
        <v>0.83725</v>
      </c>
    </row>
    <row r="113" customFormat="false" ht="15" hidden="false" customHeight="false" outlineLevel="0" collapsed="false">
      <c r="A113" s="6" t="s">
        <v>298</v>
      </c>
      <c r="B113" s="2" t="s">
        <v>307</v>
      </c>
      <c r="C113" s="6" t="s">
        <v>308</v>
      </c>
      <c r="D113" s="6" t="s">
        <v>61</v>
      </c>
      <c r="E113" s="15" t="n">
        <f aca="false">(((((E48*E51)+(E49*E52))+(E50*E53))/1000)*E54)</f>
        <v>0.0374</v>
      </c>
      <c r="F113" s="15" t="n">
        <f aca="false">(((((F48*F51)+(F49*F52))+(F50*F53))/1000)*F54)</f>
        <v>0.01085</v>
      </c>
      <c r="G113" s="15" t="n">
        <f aca="false">(((((G48*G51)+(G49*G52))+(G50*G53))/1000)*G54)</f>
        <v>0.1083</v>
      </c>
    </row>
    <row r="114" customFormat="false" ht="15" hidden="false" customHeight="false" outlineLevel="0" collapsed="false">
      <c r="A114" s="6" t="s">
        <v>298</v>
      </c>
      <c r="B114" s="2" t="s">
        <v>309</v>
      </c>
      <c r="C114" s="6" t="s">
        <v>310</v>
      </c>
      <c r="D114" s="6" t="s">
        <v>61</v>
      </c>
      <c r="E114" s="15" t="n">
        <f aca="false">((E8*E83)+(((E9*E76)*E77)*E78))</f>
        <v>1.15</v>
      </c>
      <c r="F114" s="15" t="n">
        <f aca="false">((F8*F83)+(((F9*F76)*F77)*F78))</f>
        <v>1.4375</v>
      </c>
      <c r="G114" s="15" t="n">
        <f aca="false">((G8*G83)+(((G9*G76)*G77)*G78))</f>
        <v>1.125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8" min="3" style="0" width="11"/>
  </cols>
  <sheetData>
    <row r="1" customFormat="false" ht="16.15" hidden="false" customHeight="false" outlineLevel="0" collapsed="false">
      <c r="A1" s="1" t="s">
        <v>311</v>
      </c>
    </row>
    <row r="2" customFormat="false" ht="15" hidden="false" customHeight="false" outlineLevel="0" collapsed="false">
      <c r="A2" s="3" t="s">
        <v>312</v>
      </c>
      <c r="B2" s="19"/>
      <c r="C2" s="20" t="n">
        <v>1</v>
      </c>
      <c r="D2" s="20" t="n">
        <v>2</v>
      </c>
      <c r="E2" s="20" t="n">
        <v>3</v>
      </c>
      <c r="F2" s="20" t="n">
        <v>4</v>
      </c>
      <c r="G2" s="20" t="n">
        <v>5</v>
      </c>
      <c r="H2" s="20" t="n">
        <v>6</v>
      </c>
      <c r="I2" s="20" t="n">
        <v>7</v>
      </c>
      <c r="J2" s="20" t="n">
        <v>8</v>
      </c>
      <c r="K2" s="20" t="n">
        <v>9</v>
      </c>
      <c r="L2" s="20" t="n">
        <v>10</v>
      </c>
      <c r="M2" s="20" t="n">
        <v>11</v>
      </c>
      <c r="N2" s="20" t="n">
        <v>12</v>
      </c>
      <c r="O2" s="20" t="n">
        <v>13</v>
      </c>
      <c r="P2" s="20" t="n">
        <v>14</v>
      </c>
      <c r="Q2" s="20" t="n">
        <v>15</v>
      </c>
      <c r="R2" s="20" t="n">
        <v>16</v>
      </c>
      <c r="S2" s="20" t="n">
        <v>17</v>
      </c>
      <c r="T2" s="20" t="n">
        <v>18</v>
      </c>
      <c r="U2" s="20" t="n">
        <v>19</v>
      </c>
      <c r="V2" s="20" t="n">
        <v>20</v>
      </c>
      <c r="W2" s="20" t="n">
        <v>21</v>
      </c>
      <c r="X2" s="20" t="n">
        <v>22</v>
      </c>
      <c r="Y2" s="20" t="n">
        <v>23</v>
      </c>
      <c r="Z2" s="20" t="n">
        <v>24</v>
      </c>
      <c r="AA2" s="20" t="n">
        <v>25</v>
      </c>
      <c r="AB2" s="20" t="n">
        <v>26</v>
      </c>
      <c r="AC2" s="20" t="n">
        <v>27</v>
      </c>
      <c r="AD2" s="20" t="n">
        <v>28</v>
      </c>
      <c r="AE2" s="20" t="n">
        <v>29</v>
      </c>
      <c r="AF2" s="20" t="n">
        <v>30</v>
      </c>
      <c r="AG2" s="20" t="n">
        <v>31</v>
      </c>
      <c r="AH2" s="20" t="n">
        <v>32</v>
      </c>
      <c r="AI2" s="20" t="n">
        <v>33</v>
      </c>
      <c r="AJ2" s="20" t="n">
        <v>34</v>
      </c>
      <c r="AK2" s="20" t="n">
        <v>35</v>
      </c>
      <c r="AL2" s="20" t="n">
        <v>36</v>
      </c>
    </row>
    <row r="3" customFormat="false" ht="15" hidden="false" customHeight="false" outlineLevel="0" collapsed="false">
      <c r="A3" s="3" t="s">
        <v>313</v>
      </c>
      <c r="B3" s="19"/>
      <c r="C3" s="20" t="n">
        <v>1</v>
      </c>
      <c r="D3" s="20" t="n">
        <v>1</v>
      </c>
      <c r="E3" s="20" t="n">
        <v>1</v>
      </c>
      <c r="F3" s="20" t="n">
        <v>1</v>
      </c>
      <c r="G3" s="20" t="n">
        <v>1</v>
      </c>
      <c r="H3" s="20" t="n">
        <v>1</v>
      </c>
      <c r="I3" s="20" t="n">
        <v>1</v>
      </c>
      <c r="J3" s="20" t="n">
        <v>1</v>
      </c>
      <c r="K3" s="20" t="n">
        <v>1</v>
      </c>
      <c r="L3" s="20" t="n">
        <v>1</v>
      </c>
      <c r="M3" s="20" t="n">
        <v>1</v>
      </c>
      <c r="N3" s="20" t="n">
        <v>1</v>
      </c>
      <c r="O3" s="20" t="n">
        <v>2</v>
      </c>
      <c r="P3" s="20" t="n">
        <v>2</v>
      </c>
      <c r="Q3" s="20" t="n">
        <v>2</v>
      </c>
      <c r="R3" s="20" t="n">
        <v>2</v>
      </c>
      <c r="S3" s="20" t="n">
        <v>2</v>
      </c>
      <c r="T3" s="20" t="n">
        <v>2</v>
      </c>
      <c r="U3" s="20" t="n">
        <v>2</v>
      </c>
      <c r="V3" s="20" t="n">
        <v>2</v>
      </c>
      <c r="W3" s="20" t="n">
        <v>2</v>
      </c>
      <c r="X3" s="20" t="n">
        <v>2</v>
      </c>
      <c r="Y3" s="20" t="n">
        <v>2</v>
      </c>
      <c r="Z3" s="20" t="n">
        <v>2</v>
      </c>
      <c r="AA3" s="20" t="n">
        <v>3</v>
      </c>
      <c r="AB3" s="20" t="n">
        <v>3</v>
      </c>
      <c r="AC3" s="20" t="n">
        <v>3</v>
      </c>
      <c r="AD3" s="20" t="n">
        <v>3</v>
      </c>
      <c r="AE3" s="20" t="n">
        <v>3</v>
      </c>
      <c r="AF3" s="20" t="n">
        <v>3</v>
      </c>
      <c r="AG3" s="20" t="n">
        <v>3</v>
      </c>
      <c r="AH3" s="20" t="n">
        <v>3</v>
      </c>
      <c r="AI3" s="20" t="n">
        <v>3</v>
      </c>
      <c r="AJ3" s="20" t="n">
        <v>3</v>
      </c>
      <c r="AK3" s="20" t="n">
        <v>3</v>
      </c>
      <c r="AL3" s="20" t="n">
        <v>3</v>
      </c>
    </row>
    <row r="4" customFormat="false" ht="15" hidden="false" customHeight="false" outlineLevel="0" collapsed="false">
      <c r="A4" s="3" t="s">
        <v>314</v>
      </c>
      <c r="B4" s="19"/>
      <c r="C4" s="20" t="s">
        <v>315</v>
      </c>
      <c r="D4" s="20" t="s">
        <v>316</v>
      </c>
      <c r="E4" s="20" t="s">
        <v>317</v>
      </c>
      <c r="F4" s="20" t="s">
        <v>318</v>
      </c>
      <c r="G4" s="20" t="s">
        <v>319</v>
      </c>
      <c r="H4" s="20" t="s">
        <v>320</v>
      </c>
      <c r="I4" s="20" t="s">
        <v>321</v>
      </c>
      <c r="J4" s="20" t="s">
        <v>322</v>
      </c>
      <c r="K4" s="20" t="s">
        <v>323</v>
      </c>
      <c r="L4" s="20" t="s">
        <v>324</v>
      </c>
      <c r="M4" s="20" t="s">
        <v>325</v>
      </c>
      <c r="N4" s="20" t="s">
        <v>326</v>
      </c>
      <c r="O4" s="20" t="s">
        <v>327</v>
      </c>
      <c r="P4" s="20" t="s">
        <v>328</v>
      </c>
      <c r="Q4" s="20" t="s">
        <v>329</v>
      </c>
      <c r="R4" s="20" t="s">
        <v>330</v>
      </c>
      <c r="S4" s="20" t="s">
        <v>331</v>
      </c>
      <c r="T4" s="20" t="s">
        <v>332</v>
      </c>
      <c r="U4" s="20" t="s">
        <v>333</v>
      </c>
      <c r="V4" s="20" t="s">
        <v>334</v>
      </c>
      <c r="W4" s="20" t="s">
        <v>335</v>
      </c>
      <c r="X4" s="20" t="s">
        <v>336</v>
      </c>
      <c r="Y4" s="20" t="s">
        <v>337</v>
      </c>
      <c r="Z4" s="20" t="s">
        <v>338</v>
      </c>
      <c r="AA4" s="20" t="s">
        <v>339</v>
      </c>
      <c r="AB4" s="20" t="s">
        <v>340</v>
      </c>
      <c r="AC4" s="20" t="s">
        <v>341</v>
      </c>
      <c r="AD4" s="20" t="s">
        <v>342</v>
      </c>
      <c r="AE4" s="20" t="s">
        <v>343</v>
      </c>
      <c r="AF4" s="20" t="s">
        <v>344</v>
      </c>
      <c r="AG4" s="20" t="s">
        <v>345</v>
      </c>
      <c r="AH4" s="20" t="s">
        <v>346</v>
      </c>
      <c r="AI4" s="20" t="s">
        <v>347</v>
      </c>
      <c r="AJ4" s="20" t="s">
        <v>348</v>
      </c>
      <c r="AK4" s="20" t="s">
        <v>349</v>
      </c>
      <c r="AL4" s="20" t="s">
        <v>350</v>
      </c>
    </row>
    <row r="5" customFormat="false" ht="15" hidden="false" customHeight="false" outlineLevel="0" collapsed="false">
      <c r="A5" s="4" t="s">
        <v>34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customFormat="false" ht="15" hidden="false" customHeight="false" outlineLevel="0" collapsed="false">
      <c r="A6" s="6" t="s">
        <v>351</v>
      </c>
      <c r="B6" s="2" t="s">
        <v>352</v>
      </c>
      <c r="C6" s="17" t="n">
        <f aca="false">(Assumptions!$E$13*((1+Assumptions!$E$14)^(C$2-1)))</f>
        <v>1050</v>
      </c>
      <c r="D6" s="17" t="n">
        <f aca="false">(Assumptions!$E$13*((1+Assumptions!$E$14)^(D$2-1)))</f>
        <v>1123.5</v>
      </c>
      <c r="E6" s="17" t="n">
        <f aca="false">(Assumptions!$E$13*((1+Assumptions!$E$14)^(E$2-1)))</f>
        <v>1202.145</v>
      </c>
      <c r="F6" s="17" t="n">
        <f aca="false">(Assumptions!$E$13*((1+Assumptions!$E$14)^(F$2-1)))</f>
        <v>1286.29515</v>
      </c>
      <c r="G6" s="17" t="n">
        <f aca="false">(Assumptions!$E$13*((1+Assumptions!$E$14)^(G$2-1)))</f>
        <v>1376.3358105</v>
      </c>
      <c r="H6" s="17" t="n">
        <f aca="false">(Assumptions!$E$13*((1+Assumptions!$E$14)^(H$2-1)))</f>
        <v>1472.679317235</v>
      </c>
      <c r="I6" s="17" t="n">
        <f aca="false">(Assumptions!$E$13*((1+Assumptions!$E$14)^(I$2-1)))</f>
        <v>1575.76686944145</v>
      </c>
      <c r="J6" s="17" t="n">
        <f aca="false">(Assumptions!$E$13*((1+Assumptions!$E$14)^(J$2-1)))</f>
        <v>1686.07055030235</v>
      </c>
      <c r="K6" s="17" t="n">
        <f aca="false">(Assumptions!$E$13*((1+Assumptions!$E$14)^(K$2-1)))</f>
        <v>1804.09548882352</v>
      </c>
      <c r="L6" s="17" t="n">
        <f aca="false">(Assumptions!$E$13*((1+Assumptions!$E$14)^(L$2-1)))</f>
        <v>1930.38217304116</v>
      </c>
      <c r="M6" s="17" t="n">
        <f aca="false">(Assumptions!$E$13*((1+Assumptions!$E$14)^(M$2-1)))</f>
        <v>2065.50892515405</v>
      </c>
      <c r="N6" s="17" t="n">
        <f aca="false">(Assumptions!$E$13*((1+Assumptions!$E$14)^(N$2-1)))</f>
        <v>2210.09454991483</v>
      </c>
      <c r="O6" s="17" t="n">
        <f aca="false">(Assumptions!$E$13*((1+Assumptions!$E$14)^(O$2-1)))</f>
        <v>2364.80116840887</v>
      </c>
      <c r="P6" s="17" t="n">
        <f aca="false">(Assumptions!$E$13*((1+Assumptions!$E$14)^(P$2-1)))</f>
        <v>2530.33725019749</v>
      </c>
      <c r="Q6" s="17" t="n">
        <f aca="false">(Assumptions!$E$13*((1+Assumptions!$E$14)^(Q$2-1)))</f>
        <v>2707.46085771131</v>
      </c>
      <c r="R6" s="17" t="n">
        <f aca="false">(Assumptions!$E$13*((1+Assumptions!$E$14)^(R$2-1)))</f>
        <v>2896.9831177511</v>
      </c>
      <c r="S6" s="17" t="n">
        <f aca="false">(Assumptions!$E$13*((1+Assumptions!$E$14)^(S$2-1)))</f>
        <v>3099.77193599368</v>
      </c>
      <c r="T6" s="17" t="n">
        <f aca="false">(Assumptions!$E$13*((1+Assumptions!$E$14)^(T$2-1)))</f>
        <v>3316.75597151324</v>
      </c>
      <c r="U6" s="17" t="n">
        <f aca="false">(Assumptions!$E$13*((1+Assumptions!$E$14)^(U$2-1)))</f>
        <v>3548.92888951917</v>
      </c>
      <c r="V6" s="17" t="n">
        <f aca="false">(Assumptions!$E$13*((1+Assumptions!$E$14)^(V$2-1)))</f>
        <v>3797.35391178551</v>
      </c>
      <c r="W6" s="17" t="n">
        <f aca="false">(Assumptions!$E$13*((1+Assumptions!$E$14)^(W$2-1)))</f>
        <v>4063.16868561049</v>
      </c>
      <c r="X6" s="17" t="n">
        <f aca="false">(Assumptions!$E$13*((1+Assumptions!$E$14)^(X$2-1)))</f>
        <v>4347.59049360323</v>
      </c>
      <c r="Y6" s="17" t="n">
        <f aca="false">(Assumptions!$E$13*((1+Assumptions!$E$14)^(Y$2-1)))</f>
        <v>4651.92182815545</v>
      </c>
      <c r="Z6" s="17" t="n">
        <f aca="false">(Assumptions!$E$13*((1+Assumptions!$E$14)^(Z$2-1)))</f>
        <v>4977.55635612634</v>
      </c>
      <c r="AA6" s="17" t="n">
        <f aca="false">(Assumptions!$E$13*((1+Assumptions!$E$14)^(AA$2-1)))</f>
        <v>5325.98530105518</v>
      </c>
      <c r="AB6" s="17" t="n">
        <f aca="false">(Assumptions!$E$13*((1+Assumptions!$E$14)^(AB$2-1)))</f>
        <v>5698.80427212904</v>
      </c>
      <c r="AC6" s="17" t="n">
        <f aca="false">(Assumptions!$E$13*((1+Assumptions!$E$14)^(AC$2-1)))</f>
        <v>6097.72057117808</v>
      </c>
      <c r="AD6" s="17" t="n">
        <f aca="false">(Assumptions!$E$13*((1+Assumptions!$E$14)^(AD$2-1)))</f>
        <v>6524.56101116054</v>
      </c>
      <c r="AE6" s="17" t="n">
        <f aca="false">(Assumptions!$E$13*((1+Assumptions!$E$14)^(AE$2-1)))</f>
        <v>6981.28028194178</v>
      </c>
      <c r="AF6" s="17" t="n">
        <f aca="false">(Assumptions!$E$13*((1+Assumptions!$E$14)^(AF$2-1)))</f>
        <v>7469.96990167771</v>
      </c>
      <c r="AG6" s="17" t="n">
        <f aca="false">(Assumptions!$E$13*((1+Assumptions!$E$14)^(AG$2-1)))</f>
        <v>7992.86779479515</v>
      </c>
      <c r="AH6" s="17" t="n">
        <f aca="false">(Assumptions!$E$13*((1+Assumptions!$E$14)^(AH$2-1)))</f>
        <v>8552.36854043081</v>
      </c>
      <c r="AI6" s="17" t="n">
        <f aca="false">(Assumptions!$E$13*((1+Assumptions!$E$14)^(AI$2-1)))</f>
        <v>9151.03433826096</v>
      </c>
      <c r="AJ6" s="17" t="n">
        <f aca="false">(Assumptions!$E$13*((1+Assumptions!$E$14)^(AJ$2-1)))</f>
        <v>9791.60674193923</v>
      </c>
      <c r="AK6" s="17" t="n">
        <f aca="false">(Assumptions!$E$13*((1+Assumptions!$E$14)^(AK$2-1)))</f>
        <v>10477.019213875</v>
      </c>
      <c r="AL6" s="17" t="n">
        <f aca="false">(Assumptions!$E$13*((1+Assumptions!$E$14)^(AL$2-1)))</f>
        <v>11210.4105588462</v>
      </c>
    </row>
    <row r="7" customFormat="false" ht="15" hidden="false" customHeight="false" outlineLevel="0" collapsed="false">
      <c r="A7" s="6" t="s">
        <v>353</v>
      </c>
      <c r="B7" s="2" t="s">
        <v>354</v>
      </c>
      <c r="C7" s="17" t="n">
        <f aca="false">(Assumptions!$E$15*0)</f>
        <v>0</v>
      </c>
      <c r="D7" s="17" t="n">
        <f aca="false">(Assumptions!$E$15*C36)</f>
        <v>17</v>
      </c>
      <c r="E7" s="17" t="n">
        <f aca="false">(Assumptions!$E$15*D36)</f>
        <v>20.7843369009125</v>
      </c>
      <c r="F7" s="17" t="n">
        <f aca="false">(Assumptions!$E$15*E36)</f>
        <v>24.4682305737994</v>
      </c>
      <c r="G7" s="17" t="n">
        <f aca="false">(Assumptions!$E$15*F36)</f>
        <v>29.1751219732818</v>
      </c>
      <c r="H7" s="17" t="n">
        <f aca="false">(Assumptions!$E$15*G36)</f>
        <v>33.244648486368</v>
      </c>
      <c r="I7" s="17" t="n">
        <f aca="false">(Assumptions!$E$15*H36)</f>
        <v>37.4316460488733</v>
      </c>
      <c r="J7" s="17" t="n">
        <f aca="false">(Assumptions!$E$15*I36)</f>
        <v>41.7665360884946</v>
      </c>
      <c r="K7" s="17" t="n">
        <f aca="false">(Assumptions!$E$15*J36)</f>
        <v>46.2709419141954</v>
      </c>
      <c r="L7" s="17" t="n">
        <f aca="false">(Assumptions!$E$15*K36)</f>
        <v>50.9668922562123</v>
      </c>
      <c r="M7" s="17" t="n">
        <f aca="false">(Assumptions!$E$15*L36)</f>
        <v>55.877060045118</v>
      </c>
      <c r="N7" s="17" t="n">
        <f aca="false">(Assumptions!$E$15*M36)</f>
        <v>61.0248876765439</v>
      </c>
      <c r="O7" s="17" t="n">
        <f aca="false">(Assumptions!$E$15*N36)</f>
        <v>66.4347119548257</v>
      </c>
      <c r="P7" s="17" t="n">
        <f aca="false">(Assumptions!$E$15*O36)</f>
        <v>71.9735886916421</v>
      </c>
      <c r="Q7" s="17" t="n">
        <f aca="false">(Assumptions!$E$15*P36)</f>
        <v>77.8109646673533</v>
      </c>
      <c r="R7" s="17" t="n">
        <f aca="false">(Assumptions!$E$15*Q36)</f>
        <v>83.9775604501222</v>
      </c>
      <c r="S7" s="17" t="n">
        <f aca="false">(Assumptions!$E$15*R36)</f>
        <v>90.4931320271425</v>
      </c>
      <c r="T7" s="17" t="n">
        <f aca="false">(Assumptions!$E$15*S36)</f>
        <v>97.3956331880481</v>
      </c>
      <c r="U7" s="17" t="n">
        <f aca="false">(Assumptions!$E$15*T36)</f>
        <v>104.716819623828</v>
      </c>
      <c r="V7" s="17" t="n">
        <f aca="false">(Assumptions!$E$15*U36)</f>
        <v>112.49004575228</v>
      </c>
      <c r="W7" s="17" t="n">
        <f aca="false">(Assumptions!$E$15*V36)</f>
        <v>120.750621538978</v>
      </c>
      <c r="X7" s="17" t="n">
        <f aca="false">(Assumptions!$E$15*W36)</f>
        <v>129.535983250583</v>
      </c>
      <c r="Y7" s="17" t="n">
        <f aca="false">(Assumptions!$E$15*X36)</f>
        <v>138.885869449479</v>
      </c>
      <c r="Z7" s="17" t="n">
        <f aca="false">(Assumptions!$E$15*Y36)</f>
        <v>148.842506774989</v>
      </c>
      <c r="AA7" s="17" t="n">
        <f aca="false">(Assumptions!$E$15*Z36)</f>
        <v>159.450806488904</v>
      </c>
      <c r="AB7" s="17" t="n">
        <f aca="false">(Assumptions!$E$15*AA36)</f>
        <v>170.692486991314</v>
      </c>
      <c r="AC7" s="17" t="n">
        <f aca="false">(Assumptions!$E$15*AB36)</f>
        <v>182.678159973708</v>
      </c>
      <c r="AD7" s="17" t="n">
        <f aca="false">(Assumptions!$E$15*AC36)</f>
        <v>195.463316585624</v>
      </c>
      <c r="AE7" s="17" t="n">
        <f aca="false">(Assumptions!$E$15*AD36)</f>
        <v>209.101874666235</v>
      </c>
      <c r="AF7" s="17" t="n">
        <f aca="false">(Assumptions!$E$15*AE36)</f>
        <v>223.658561083244</v>
      </c>
      <c r="AG7" s="17" t="n">
        <f aca="false">(Assumptions!$E$15*AF36)</f>
        <v>239.198945882612</v>
      </c>
      <c r="AH7" s="17" t="n">
        <f aca="false">(Assumptions!$E$15*AG36)</f>
        <v>255.792934957171</v>
      </c>
      <c r="AI7" s="17" t="n">
        <f aca="false">(Assumptions!$E$15*AH36)</f>
        <v>273.515172604553</v>
      </c>
      <c r="AJ7" s="17" t="n">
        <f aca="false">(Assumptions!$E$15*AI36)</f>
        <v>292.445384364148</v>
      </c>
      <c r="AK7" s="17" t="n">
        <f aca="false">(Assumptions!$E$15*AJ36)</f>
        <v>312.668741261464</v>
      </c>
      <c r="AL7" s="17" t="n">
        <f aca="false">(Assumptions!$E$15*AK36)</f>
        <v>334.276248672351</v>
      </c>
    </row>
    <row r="8" customFormat="false" ht="15" hidden="false" customHeight="false" outlineLevel="0" collapsed="false">
      <c r="A8" s="6" t="s">
        <v>355</v>
      </c>
      <c r="B8" s="2" t="s">
        <v>356</v>
      </c>
      <c r="C8" s="14" t="n">
        <f aca="false">IF((C$2&gt;=Assumptions!$E$16),(Assumptions!$E$17*((1+Assumptions!$E$18)^(C$2-Assumptions!$E$16))),0)</f>
        <v>0</v>
      </c>
      <c r="D8" s="14" t="n">
        <f aca="false">IF((D$2&gt;=Assumptions!$E$16),(Assumptions!$E$17*((1+Assumptions!$E$18)^(D$2-Assumptions!$E$16))),0)</f>
        <v>0</v>
      </c>
      <c r="E8" s="14" t="n">
        <f aca="false">IF((E$2&gt;=Assumptions!$E$16),(Assumptions!$E$17*((1+Assumptions!$E$18)^(E$2-Assumptions!$E$16))),0)</f>
        <v>0</v>
      </c>
      <c r="F8" s="14" t="n">
        <f aca="false">IF((F$2&gt;=Assumptions!$E$16),(Assumptions!$E$17*((1+Assumptions!$E$18)^(F$2-Assumptions!$E$16))),0)</f>
        <v>500</v>
      </c>
      <c r="G8" s="14" t="n">
        <f aca="false">IF((G$2&gt;=Assumptions!$E$16),(Assumptions!$E$17*((1+Assumptions!$E$18)^(G$2-Assumptions!$E$16))),0)</f>
        <v>525</v>
      </c>
      <c r="H8" s="14" t="n">
        <f aca="false">IF((H$2&gt;=Assumptions!$E$16),(Assumptions!$E$17*((1+Assumptions!$E$18)^(H$2-Assumptions!$E$16))),0)</f>
        <v>551.25</v>
      </c>
      <c r="I8" s="14" t="n">
        <f aca="false">IF((I$2&gt;=Assumptions!$E$16),(Assumptions!$E$17*((1+Assumptions!$E$18)^(I$2-Assumptions!$E$16))),0)</f>
        <v>578.8125</v>
      </c>
      <c r="J8" s="14" t="n">
        <f aca="false">IF((J$2&gt;=Assumptions!$E$16),(Assumptions!$E$17*((1+Assumptions!$E$18)^(J$2-Assumptions!$E$16))),0)</f>
        <v>607.753125</v>
      </c>
      <c r="K8" s="14" t="n">
        <f aca="false">IF((K$2&gt;=Assumptions!$E$16),(Assumptions!$E$17*((1+Assumptions!$E$18)^(K$2-Assumptions!$E$16))),0)</f>
        <v>638.14078125</v>
      </c>
      <c r="L8" s="14" t="n">
        <f aca="false">IF((L$2&gt;=Assumptions!$E$16),(Assumptions!$E$17*((1+Assumptions!$E$18)^(L$2-Assumptions!$E$16))),0)</f>
        <v>670.0478203125</v>
      </c>
      <c r="M8" s="14" t="n">
        <f aca="false">IF((M$2&gt;=Assumptions!$E$16),(Assumptions!$E$17*((1+Assumptions!$E$18)^(M$2-Assumptions!$E$16))),0)</f>
        <v>703.550211328125</v>
      </c>
      <c r="N8" s="14" t="n">
        <f aca="false">IF((N$2&gt;=Assumptions!$E$16),(Assumptions!$E$17*((1+Assumptions!$E$18)^(N$2-Assumptions!$E$16))),0)</f>
        <v>738.727721894532</v>
      </c>
      <c r="O8" s="14" t="n">
        <f aca="false">IF((O$2&gt;=Assumptions!$E$16),(Assumptions!$E$17*((1+Assumptions!$E$18)^(O$2-Assumptions!$E$16))),0)</f>
        <v>775.664107989258</v>
      </c>
      <c r="P8" s="14" t="n">
        <f aca="false">IF((P$2&gt;=Assumptions!$E$16),(Assumptions!$E$17*((1+Assumptions!$E$18)^(P$2-Assumptions!$E$16))),0)</f>
        <v>814.447313388721</v>
      </c>
      <c r="Q8" s="14" t="n">
        <f aca="false">IF((Q$2&gt;=Assumptions!$E$16),(Assumptions!$E$17*((1+Assumptions!$E$18)^(Q$2-Assumptions!$E$16))),0)</f>
        <v>855.169679058157</v>
      </c>
      <c r="R8" s="14" t="n">
        <f aca="false">IF((R$2&gt;=Assumptions!$E$16),(Assumptions!$E$17*((1+Assumptions!$E$18)^(R$2-Assumptions!$E$16))),0)</f>
        <v>897.928163011065</v>
      </c>
      <c r="S8" s="14" t="n">
        <f aca="false">IF((S$2&gt;=Assumptions!$E$16),(Assumptions!$E$17*((1+Assumptions!$E$18)^(S$2-Assumptions!$E$16))),0)</f>
        <v>942.824571161618</v>
      </c>
      <c r="T8" s="14" t="n">
        <f aca="false">IF((T$2&gt;=Assumptions!$E$16),(Assumptions!$E$17*((1+Assumptions!$E$18)^(T$2-Assumptions!$E$16))),0)</f>
        <v>989.965799719699</v>
      </c>
      <c r="U8" s="14" t="n">
        <f aca="false">IF((U$2&gt;=Assumptions!$E$16),(Assumptions!$E$17*((1+Assumptions!$E$18)^(U$2-Assumptions!$E$16))),0)</f>
        <v>1039.46408970568</v>
      </c>
      <c r="V8" s="14" t="n">
        <f aca="false">IF((V$2&gt;=Assumptions!$E$16),(Assumptions!$E$17*((1+Assumptions!$E$18)^(V$2-Assumptions!$E$16))),0)</f>
        <v>1091.43729419097</v>
      </c>
      <c r="W8" s="14" t="n">
        <f aca="false">IF((W$2&gt;=Assumptions!$E$16),(Assumptions!$E$17*((1+Assumptions!$E$18)^(W$2-Assumptions!$E$16))),0)</f>
        <v>1146.00915890052</v>
      </c>
      <c r="X8" s="14" t="n">
        <f aca="false">IF((X$2&gt;=Assumptions!$E$16),(Assumptions!$E$17*((1+Assumptions!$E$18)^(X$2-Assumptions!$E$16))),0)</f>
        <v>1203.30961684554</v>
      </c>
      <c r="Y8" s="14" t="n">
        <f aca="false">IF((Y$2&gt;=Assumptions!$E$16),(Assumptions!$E$17*((1+Assumptions!$E$18)^(Y$2-Assumptions!$E$16))),0)</f>
        <v>1263.47509768782</v>
      </c>
      <c r="Z8" s="14" t="n">
        <f aca="false">IF((Z$2&gt;=Assumptions!$E$16),(Assumptions!$E$17*((1+Assumptions!$E$18)^(Z$2-Assumptions!$E$16))),0)</f>
        <v>1326.64885257221</v>
      </c>
      <c r="AA8" s="14" t="n">
        <f aca="false">IF((AA$2&gt;=Assumptions!$E$16),(Assumptions!$E$17*((1+Assumptions!$E$18)^(AA$2-Assumptions!$E$16))),0)</f>
        <v>1392.98129520082</v>
      </c>
      <c r="AB8" s="14" t="n">
        <f aca="false">IF((AB$2&gt;=Assumptions!$E$16),(Assumptions!$E$17*((1+Assumptions!$E$18)^(AB$2-Assumptions!$E$16))),0)</f>
        <v>1462.63035996086</v>
      </c>
      <c r="AC8" s="14" t="n">
        <f aca="false">IF((AC$2&gt;=Assumptions!$E$16),(Assumptions!$E$17*((1+Assumptions!$E$18)^(AC$2-Assumptions!$E$16))),0)</f>
        <v>1535.76187795891</v>
      </c>
      <c r="AD8" s="14" t="n">
        <f aca="false">IF((AD$2&gt;=Assumptions!$E$16),(Assumptions!$E$17*((1+Assumptions!$E$18)^(AD$2-Assumptions!$E$16))),0)</f>
        <v>1612.54997185685</v>
      </c>
      <c r="AE8" s="14" t="n">
        <f aca="false">IF((AE$2&gt;=Assumptions!$E$16),(Assumptions!$E$17*((1+Assumptions!$E$18)^(AE$2-Assumptions!$E$16))),0)</f>
        <v>1693.17747044969</v>
      </c>
      <c r="AF8" s="14" t="n">
        <f aca="false">IF((AF$2&gt;=Assumptions!$E$16),(Assumptions!$E$17*((1+Assumptions!$E$18)^(AF$2-Assumptions!$E$16))),0)</f>
        <v>1777.83634397218</v>
      </c>
      <c r="AG8" s="14" t="n">
        <f aca="false">IF((AG$2&gt;=Assumptions!$E$16),(Assumptions!$E$17*((1+Assumptions!$E$18)^(AG$2-Assumptions!$E$16))),0)</f>
        <v>1866.72816117079</v>
      </c>
      <c r="AH8" s="14" t="n">
        <f aca="false">IF((AH$2&gt;=Assumptions!$E$16),(Assumptions!$E$17*((1+Assumptions!$E$18)^(AH$2-Assumptions!$E$16))),0)</f>
        <v>1960.06456922933</v>
      </c>
      <c r="AI8" s="14" t="n">
        <f aca="false">IF((AI$2&gt;=Assumptions!$E$16),(Assumptions!$E$17*((1+Assumptions!$E$18)^(AI$2-Assumptions!$E$16))),0)</f>
        <v>2058.06779769079</v>
      </c>
      <c r="AJ8" s="14" t="n">
        <f aca="false">IF((AJ$2&gt;=Assumptions!$E$16),(Assumptions!$E$17*((1+Assumptions!$E$18)^(AJ$2-Assumptions!$E$16))),0)</f>
        <v>2160.97118757533</v>
      </c>
      <c r="AK8" s="14" t="n">
        <f aca="false">IF((AK$2&gt;=Assumptions!$E$16),(Assumptions!$E$17*((1+Assumptions!$E$18)^(AK$2-Assumptions!$E$16))),0)</f>
        <v>2269.0197469541</v>
      </c>
      <c r="AL8" s="14" t="n">
        <f aca="false">IF((AL$2&gt;=Assumptions!$E$16),(Assumptions!$E$17*((1+Assumptions!$E$18)^(AL$2-Assumptions!$E$16))),0)</f>
        <v>2382.47073430181</v>
      </c>
    </row>
    <row r="9" customFormat="false" ht="15" hidden="false" customHeight="false" outlineLevel="0" collapsed="false">
      <c r="A9" s="6" t="s">
        <v>357</v>
      </c>
      <c r="B9" s="2" t="s">
        <v>358</v>
      </c>
      <c r="C9" s="17" t="n">
        <f aca="false">IF(Assumptions!$E$19=0,0,C8/Assumptions!$E$19)</f>
        <v>0</v>
      </c>
      <c r="D9" s="17" t="n">
        <f aca="false">IF(Assumptions!$E$19=0,0,D8/Assumptions!$E$19)</f>
        <v>0</v>
      </c>
      <c r="E9" s="17" t="n">
        <f aca="false">IF(Assumptions!$E$19=0,0,E8/Assumptions!$E$19)</f>
        <v>0</v>
      </c>
      <c r="F9" s="17" t="n">
        <f aca="false">IF(Assumptions!$E$19=0,0,F8/Assumptions!$E$19)</f>
        <v>62.5</v>
      </c>
      <c r="G9" s="17" t="n">
        <f aca="false">IF(Assumptions!$E$19=0,0,G8/Assumptions!$E$19)</f>
        <v>65.625</v>
      </c>
      <c r="H9" s="17" t="n">
        <f aca="false">IF(Assumptions!$E$19=0,0,H8/Assumptions!$E$19)</f>
        <v>68.90625</v>
      </c>
      <c r="I9" s="17" t="n">
        <f aca="false">IF(Assumptions!$E$19=0,0,I8/Assumptions!$E$19)</f>
        <v>72.3515625</v>
      </c>
      <c r="J9" s="17" t="n">
        <f aca="false">IF(Assumptions!$E$19=0,0,J8/Assumptions!$E$19)</f>
        <v>75.969140625</v>
      </c>
      <c r="K9" s="17" t="n">
        <f aca="false">IF(Assumptions!$E$19=0,0,K8/Assumptions!$E$19)</f>
        <v>79.76759765625</v>
      </c>
      <c r="L9" s="17" t="n">
        <f aca="false">IF(Assumptions!$E$19=0,0,L8/Assumptions!$E$19)</f>
        <v>83.7559775390625</v>
      </c>
      <c r="M9" s="17" t="n">
        <f aca="false">IF(Assumptions!$E$19=0,0,M8/Assumptions!$E$19)</f>
        <v>87.9437764160157</v>
      </c>
      <c r="N9" s="17" t="n">
        <f aca="false">IF(Assumptions!$E$19=0,0,N8/Assumptions!$E$19)</f>
        <v>92.3409652368164</v>
      </c>
      <c r="O9" s="17" t="n">
        <f aca="false">IF(Assumptions!$E$19=0,0,O8/Assumptions!$E$19)</f>
        <v>96.9580134986573</v>
      </c>
      <c r="P9" s="17" t="n">
        <f aca="false">IF(Assumptions!$E$19=0,0,P8/Assumptions!$E$19)</f>
        <v>101.80591417359</v>
      </c>
      <c r="Q9" s="17" t="n">
        <f aca="false">IF(Assumptions!$E$19=0,0,Q8/Assumptions!$E$19)</f>
        <v>106.89620988227</v>
      </c>
      <c r="R9" s="17" t="n">
        <f aca="false">IF(Assumptions!$E$19=0,0,R8/Assumptions!$E$19)</f>
        <v>112.241020376383</v>
      </c>
      <c r="S9" s="17" t="n">
        <f aca="false">IF(Assumptions!$E$19=0,0,S8/Assumptions!$E$19)</f>
        <v>117.853071395202</v>
      </c>
      <c r="T9" s="17" t="n">
        <f aca="false">IF(Assumptions!$E$19=0,0,T8/Assumptions!$E$19)</f>
        <v>123.745724964962</v>
      </c>
      <c r="U9" s="17" t="n">
        <f aca="false">IF(Assumptions!$E$19=0,0,U8/Assumptions!$E$19)</f>
        <v>129.933011213211</v>
      </c>
      <c r="V9" s="17" t="n">
        <f aca="false">IF(Assumptions!$E$19=0,0,V8/Assumptions!$E$19)</f>
        <v>136.429661773871</v>
      </c>
      <c r="W9" s="17" t="n">
        <f aca="false">IF(Assumptions!$E$19=0,0,W8/Assumptions!$E$19)</f>
        <v>143.251144862565</v>
      </c>
      <c r="X9" s="17" t="n">
        <f aca="false">IF(Assumptions!$E$19=0,0,X8/Assumptions!$E$19)</f>
        <v>150.413702105693</v>
      </c>
      <c r="Y9" s="17" t="n">
        <f aca="false">IF(Assumptions!$E$19=0,0,Y8/Assumptions!$E$19)</f>
        <v>157.934387210978</v>
      </c>
      <c r="Z9" s="17" t="n">
        <f aca="false">IF(Assumptions!$E$19=0,0,Z8/Assumptions!$E$19)</f>
        <v>165.831106571526</v>
      </c>
      <c r="AA9" s="17" t="n">
        <f aca="false">IF(Assumptions!$E$19=0,0,AA8/Assumptions!$E$19)</f>
        <v>174.122661900103</v>
      </c>
      <c r="AB9" s="17" t="n">
        <f aca="false">IF(Assumptions!$E$19=0,0,AB8/Assumptions!$E$19)</f>
        <v>182.828794995108</v>
      </c>
      <c r="AC9" s="17" t="n">
        <f aca="false">IF(Assumptions!$E$19=0,0,AC8/Assumptions!$E$19)</f>
        <v>191.970234744863</v>
      </c>
      <c r="AD9" s="17" t="n">
        <f aca="false">IF(Assumptions!$E$19=0,0,AD8/Assumptions!$E$19)</f>
        <v>201.568746482106</v>
      </c>
      <c r="AE9" s="17" t="n">
        <f aca="false">IF(Assumptions!$E$19=0,0,AE8/Assumptions!$E$19)</f>
        <v>211.647183806212</v>
      </c>
      <c r="AF9" s="17" t="n">
        <f aca="false">IF(Assumptions!$E$19=0,0,AF8/Assumptions!$E$19)</f>
        <v>222.229542996522</v>
      </c>
      <c r="AG9" s="17" t="n">
        <f aca="false">IF(Assumptions!$E$19=0,0,AG8/Assumptions!$E$19)</f>
        <v>233.341020146349</v>
      </c>
      <c r="AH9" s="17" t="n">
        <f aca="false">IF(Assumptions!$E$19=0,0,AH8/Assumptions!$E$19)</f>
        <v>245.008071153666</v>
      </c>
      <c r="AI9" s="17" t="n">
        <f aca="false">IF(Assumptions!$E$19=0,0,AI8/Assumptions!$E$19)</f>
        <v>257.258474711349</v>
      </c>
      <c r="AJ9" s="17" t="n">
        <f aca="false">IF(Assumptions!$E$19=0,0,AJ8/Assumptions!$E$19)</f>
        <v>270.121398446917</v>
      </c>
      <c r="AK9" s="17" t="n">
        <f aca="false">IF(Assumptions!$E$19=0,0,AK8/Assumptions!$E$19)</f>
        <v>283.627468369263</v>
      </c>
      <c r="AL9" s="17" t="n">
        <f aca="false">IF(Assumptions!$E$19=0,0,AL8/Assumptions!$E$19)</f>
        <v>297.808841787726</v>
      </c>
    </row>
    <row r="10" customFormat="false" ht="15" hidden="false" customHeight="false" outlineLevel="0" collapsed="false">
      <c r="A10" s="6" t="s">
        <v>359</v>
      </c>
      <c r="B10" s="2" t="s">
        <v>360</v>
      </c>
      <c r="C10" s="14" t="n">
        <f aca="false">IF((C$2&gt;=Assumptions!$E$20),(Assumptions!$E$21*((1+Assumptions!$E$22)^(C$2-Assumptions!$E$20))),0)</f>
        <v>500</v>
      </c>
      <c r="D10" s="14" t="n">
        <f aca="false">IF((D$2&gt;=Assumptions!$E$20),(Assumptions!$E$21*((1+Assumptions!$E$22)^(D$2-Assumptions!$E$20))),0)</f>
        <v>515</v>
      </c>
      <c r="E10" s="14" t="n">
        <f aca="false">IF((E$2&gt;=Assumptions!$E$20),(Assumptions!$E$21*((1+Assumptions!$E$22)^(E$2-Assumptions!$E$20))),0)</f>
        <v>530.45</v>
      </c>
      <c r="F10" s="14" t="n">
        <f aca="false">IF((F$2&gt;=Assumptions!$E$20),(Assumptions!$E$21*((1+Assumptions!$E$22)^(F$2-Assumptions!$E$20))),0)</f>
        <v>546.3635</v>
      </c>
      <c r="G10" s="14" t="n">
        <f aca="false">IF((G$2&gt;=Assumptions!$E$20),(Assumptions!$E$21*((1+Assumptions!$E$22)^(G$2-Assumptions!$E$20))),0)</f>
        <v>562.754405</v>
      </c>
      <c r="H10" s="14" t="n">
        <f aca="false">IF((H$2&gt;=Assumptions!$E$20),(Assumptions!$E$21*((1+Assumptions!$E$22)^(H$2-Assumptions!$E$20))),0)</f>
        <v>579.63703715</v>
      </c>
      <c r="I10" s="14" t="n">
        <f aca="false">IF((I$2&gt;=Assumptions!$E$20),(Assumptions!$E$21*((1+Assumptions!$E$22)^(I$2-Assumptions!$E$20))),0)</f>
        <v>597.0261482645</v>
      </c>
      <c r="J10" s="14" t="n">
        <f aca="false">IF((J$2&gt;=Assumptions!$E$20),(Assumptions!$E$21*((1+Assumptions!$E$22)^(J$2-Assumptions!$E$20))),0)</f>
        <v>614.936932712435</v>
      </c>
      <c r="K10" s="14" t="n">
        <f aca="false">IF((K$2&gt;=Assumptions!$E$20),(Assumptions!$E$21*((1+Assumptions!$E$22)^(K$2-Assumptions!$E$20))),0)</f>
        <v>633.385040693808</v>
      </c>
      <c r="L10" s="14" t="n">
        <f aca="false">IF((L$2&gt;=Assumptions!$E$20),(Assumptions!$E$21*((1+Assumptions!$E$22)^(L$2-Assumptions!$E$20))),0)</f>
        <v>652.386591914623</v>
      </c>
      <c r="M10" s="14" t="n">
        <f aca="false">IF((M$2&gt;=Assumptions!$E$20),(Assumptions!$E$21*((1+Assumptions!$E$22)^(M$2-Assumptions!$E$20))),0)</f>
        <v>671.958189672061</v>
      </c>
      <c r="N10" s="14" t="n">
        <f aca="false">IF((N$2&gt;=Assumptions!$E$20),(Assumptions!$E$21*((1+Assumptions!$E$22)^(N$2-Assumptions!$E$20))),0)</f>
        <v>692.116935362223</v>
      </c>
      <c r="O10" s="14" t="n">
        <f aca="false">IF((O$2&gt;=Assumptions!$E$20),(Assumptions!$E$21*((1+Assumptions!$E$22)^(O$2-Assumptions!$E$20))),0)</f>
        <v>712.88044342309</v>
      </c>
      <c r="P10" s="14" t="n">
        <f aca="false">IF((P$2&gt;=Assumptions!$E$20),(Assumptions!$E$21*((1+Assumptions!$E$22)^(P$2-Assumptions!$E$20))),0)</f>
        <v>734.266856725782</v>
      </c>
      <c r="Q10" s="14" t="n">
        <f aca="false">IF((Q$2&gt;=Assumptions!$E$20),(Assumptions!$E$21*((1+Assumptions!$E$22)^(Q$2-Assumptions!$E$20))),0)</f>
        <v>756.294862427556</v>
      </c>
      <c r="R10" s="14" t="n">
        <f aca="false">IF((R$2&gt;=Assumptions!$E$20),(Assumptions!$E$21*((1+Assumptions!$E$22)^(R$2-Assumptions!$E$20))),0)</f>
        <v>778.983708300383</v>
      </c>
      <c r="S10" s="14" t="n">
        <f aca="false">IF((S$2&gt;=Assumptions!$E$20),(Assumptions!$E$21*((1+Assumptions!$E$22)^(S$2-Assumptions!$E$20))),0)</f>
        <v>802.353219549394</v>
      </c>
      <c r="T10" s="14" t="n">
        <f aca="false">IF((T$2&gt;=Assumptions!$E$20),(Assumptions!$E$21*((1+Assumptions!$E$22)^(T$2-Assumptions!$E$20))),0)</f>
        <v>826.423816135876</v>
      </c>
      <c r="U10" s="14" t="n">
        <f aca="false">IF((U$2&gt;=Assumptions!$E$20),(Assumptions!$E$21*((1+Assumptions!$E$22)^(U$2-Assumptions!$E$20))),0)</f>
        <v>851.216530619952</v>
      </c>
      <c r="V10" s="14" t="n">
        <f aca="false">IF((V$2&gt;=Assumptions!$E$20),(Assumptions!$E$21*((1+Assumptions!$E$22)^(V$2-Assumptions!$E$20))),0)</f>
        <v>876.753026538551</v>
      </c>
      <c r="W10" s="14" t="n">
        <f aca="false">IF((W$2&gt;=Assumptions!$E$20),(Assumptions!$E$21*((1+Assumptions!$E$22)^(W$2-Assumptions!$E$20))),0)</f>
        <v>903.055617334707</v>
      </c>
      <c r="X10" s="14" t="n">
        <f aca="false">IF((X$2&gt;=Assumptions!$E$20),(Assumptions!$E$21*((1+Assumptions!$E$22)^(X$2-Assumptions!$E$20))),0)</f>
        <v>930.147285854749</v>
      </c>
      <c r="Y10" s="14" t="n">
        <f aca="false">IF((Y$2&gt;=Assumptions!$E$20),(Assumptions!$E$21*((1+Assumptions!$E$22)^(Y$2-Assumptions!$E$20))),0)</f>
        <v>958.051704430391</v>
      </c>
      <c r="Z10" s="14" t="n">
        <f aca="false">IF((Z$2&gt;=Assumptions!$E$20),(Assumptions!$E$21*((1+Assumptions!$E$22)^(Z$2-Assumptions!$E$20))),0)</f>
        <v>986.793255563303</v>
      </c>
      <c r="AA10" s="14" t="n">
        <f aca="false">IF((AA$2&gt;=Assumptions!$E$20),(Assumptions!$E$21*((1+Assumptions!$E$22)^(AA$2-Assumptions!$E$20))),0)</f>
        <v>1016.3970532302</v>
      </c>
      <c r="AB10" s="14" t="n">
        <f aca="false">IF((AB$2&gt;=Assumptions!$E$20),(Assumptions!$E$21*((1+Assumptions!$E$22)^(AB$2-Assumptions!$E$20))),0)</f>
        <v>1046.88896482711</v>
      </c>
      <c r="AC10" s="14" t="n">
        <f aca="false">IF((AC$2&gt;=Assumptions!$E$20),(Assumptions!$E$21*((1+Assumptions!$E$22)^(AC$2-Assumptions!$E$20))),0)</f>
        <v>1078.29563377192</v>
      </c>
      <c r="AD10" s="14" t="n">
        <f aca="false">IF((AD$2&gt;=Assumptions!$E$20),(Assumptions!$E$21*((1+Assumptions!$E$22)^(AD$2-Assumptions!$E$20))),0)</f>
        <v>1110.64450278508</v>
      </c>
      <c r="AE10" s="14" t="n">
        <f aca="false">IF((AE$2&gt;=Assumptions!$E$20),(Assumptions!$E$21*((1+Assumptions!$E$22)^(AE$2-Assumptions!$E$20))),0)</f>
        <v>1143.96383786863</v>
      </c>
      <c r="AF10" s="14" t="n">
        <f aca="false">IF((AF$2&gt;=Assumptions!$E$20),(Assumptions!$E$21*((1+Assumptions!$E$22)^(AF$2-Assumptions!$E$20))),0)</f>
        <v>1178.28275300469</v>
      </c>
      <c r="AG10" s="14" t="n">
        <f aca="false">IF((AG$2&gt;=Assumptions!$E$20),(Assumptions!$E$21*((1+Assumptions!$E$22)^(AG$2-Assumptions!$E$20))),0)</f>
        <v>1213.63123559483</v>
      </c>
      <c r="AH10" s="14" t="n">
        <f aca="false">IF((AH$2&gt;=Assumptions!$E$20),(Assumptions!$E$21*((1+Assumptions!$E$22)^(AH$2-Assumptions!$E$20))),0)</f>
        <v>1250.04017266268</v>
      </c>
      <c r="AI10" s="14" t="n">
        <f aca="false">IF((AI$2&gt;=Assumptions!$E$20),(Assumptions!$E$21*((1+Assumptions!$E$22)^(AI$2-Assumptions!$E$20))),0)</f>
        <v>1287.54137784256</v>
      </c>
      <c r="AJ10" s="14" t="n">
        <f aca="false">IF((AJ$2&gt;=Assumptions!$E$20),(Assumptions!$E$21*((1+Assumptions!$E$22)^(AJ$2-Assumptions!$E$20))),0)</f>
        <v>1326.16761917783</v>
      </c>
      <c r="AK10" s="14" t="n">
        <f aca="false">IF((AK$2&gt;=Assumptions!$E$20),(Assumptions!$E$21*((1+Assumptions!$E$22)^(AK$2-Assumptions!$E$20))),0)</f>
        <v>1365.95264775317</v>
      </c>
      <c r="AL10" s="14" t="n">
        <f aca="false">IF((AL$2&gt;=Assumptions!$E$20),(Assumptions!$E$21*((1+Assumptions!$E$22)^(AL$2-Assumptions!$E$20))),0)</f>
        <v>1406.93122718576</v>
      </c>
    </row>
    <row r="11" customFormat="false" ht="15" hidden="false" customHeight="false" outlineLevel="0" collapsed="false">
      <c r="A11" s="6" t="s">
        <v>361</v>
      </c>
      <c r="B11" s="2" t="s">
        <v>362</v>
      </c>
      <c r="C11" s="17" t="n">
        <f aca="false">IF(Assumptions!$E$23=0,0,C10/Assumptions!$E$23)</f>
        <v>83.3333333333333</v>
      </c>
      <c r="D11" s="17" t="n">
        <f aca="false">IF(Assumptions!$E$23=0,0,D10/Assumptions!$E$23)</f>
        <v>85.8333333333333</v>
      </c>
      <c r="E11" s="17" t="n">
        <f aca="false">IF(Assumptions!$E$23=0,0,E10/Assumptions!$E$23)</f>
        <v>88.4083333333333</v>
      </c>
      <c r="F11" s="17" t="n">
        <f aca="false">IF(Assumptions!$E$23=0,0,F10/Assumptions!$E$23)</f>
        <v>91.0605833333333</v>
      </c>
      <c r="G11" s="17" t="n">
        <f aca="false">IF(Assumptions!$E$23=0,0,G10/Assumptions!$E$23)</f>
        <v>93.7924008333333</v>
      </c>
      <c r="H11" s="17" t="n">
        <f aca="false">IF(Assumptions!$E$23=0,0,H10/Assumptions!$E$23)</f>
        <v>96.6061728583334</v>
      </c>
      <c r="I11" s="17" t="n">
        <f aca="false">IF(Assumptions!$E$23=0,0,I10/Assumptions!$E$23)</f>
        <v>99.5043580440834</v>
      </c>
      <c r="J11" s="17" t="n">
        <f aca="false">IF(Assumptions!$E$23=0,0,J10/Assumptions!$E$23)</f>
        <v>102.489488785406</v>
      </c>
      <c r="K11" s="17" t="n">
        <f aca="false">IF(Assumptions!$E$23=0,0,K10/Assumptions!$E$23)</f>
        <v>105.564173448968</v>
      </c>
      <c r="L11" s="17" t="n">
        <f aca="false">IF(Assumptions!$E$23=0,0,L10/Assumptions!$E$23)</f>
        <v>108.731098652437</v>
      </c>
      <c r="M11" s="17" t="n">
        <f aca="false">IF(Assumptions!$E$23=0,0,M10/Assumptions!$E$23)</f>
        <v>111.99303161201</v>
      </c>
      <c r="N11" s="17" t="n">
        <f aca="false">IF(Assumptions!$E$23=0,0,N10/Assumptions!$E$23)</f>
        <v>115.352822560371</v>
      </c>
      <c r="O11" s="17" t="n">
        <f aca="false">IF(Assumptions!$E$23=0,0,O10/Assumptions!$E$23)</f>
        <v>118.813407237182</v>
      </c>
      <c r="P11" s="17" t="n">
        <f aca="false">IF(Assumptions!$E$23=0,0,P10/Assumptions!$E$23)</f>
        <v>122.377809454297</v>
      </c>
      <c r="Q11" s="17" t="n">
        <f aca="false">IF(Assumptions!$E$23=0,0,Q10/Assumptions!$E$23)</f>
        <v>126.049143737926</v>
      </c>
      <c r="R11" s="17" t="n">
        <f aca="false">IF(Assumptions!$E$23=0,0,R10/Assumptions!$E$23)</f>
        <v>129.830618050064</v>
      </c>
      <c r="S11" s="17" t="n">
        <f aca="false">IF(Assumptions!$E$23=0,0,S10/Assumptions!$E$23)</f>
        <v>133.725536591566</v>
      </c>
      <c r="T11" s="17" t="n">
        <f aca="false">IF(Assumptions!$E$23=0,0,T10/Assumptions!$E$23)</f>
        <v>137.737302689313</v>
      </c>
      <c r="U11" s="17" t="n">
        <f aca="false">IF(Assumptions!$E$23=0,0,U10/Assumptions!$E$23)</f>
        <v>141.869421769992</v>
      </c>
      <c r="V11" s="17" t="n">
        <f aca="false">IF(Assumptions!$E$23=0,0,V10/Assumptions!$E$23)</f>
        <v>146.125504423092</v>
      </c>
      <c r="W11" s="17" t="n">
        <f aca="false">IF(Assumptions!$E$23=0,0,W10/Assumptions!$E$23)</f>
        <v>150.509269555785</v>
      </c>
      <c r="X11" s="17" t="n">
        <f aca="false">IF(Assumptions!$E$23=0,0,X10/Assumptions!$E$23)</f>
        <v>155.024547642458</v>
      </c>
      <c r="Y11" s="17" t="n">
        <f aca="false">IF(Assumptions!$E$23=0,0,Y10/Assumptions!$E$23)</f>
        <v>159.675284071732</v>
      </c>
      <c r="Z11" s="17" t="n">
        <f aca="false">IF(Assumptions!$E$23=0,0,Z10/Assumptions!$E$23)</f>
        <v>164.465542593884</v>
      </c>
      <c r="AA11" s="17" t="n">
        <f aca="false">IF(Assumptions!$E$23=0,0,AA10/Assumptions!$E$23)</f>
        <v>169.3995088717</v>
      </c>
      <c r="AB11" s="17" t="n">
        <f aca="false">IF(Assumptions!$E$23=0,0,AB10/Assumptions!$E$23)</f>
        <v>174.481494137851</v>
      </c>
      <c r="AC11" s="17" t="n">
        <f aca="false">IF(Assumptions!$E$23=0,0,AC10/Assumptions!$E$23)</f>
        <v>179.715938961987</v>
      </c>
      <c r="AD11" s="17" t="n">
        <f aca="false">IF(Assumptions!$E$23=0,0,AD10/Assumptions!$E$23)</f>
        <v>185.107417130847</v>
      </c>
      <c r="AE11" s="17" t="n">
        <f aca="false">IF(Assumptions!$E$23=0,0,AE10/Assumptions!$E$23)</f>
        <v>190.660639644772</v>
      </c>
      <c r="AF11" s="17" t="n">
        <f aca="false">IF(Assumptions!$E$23=0,0,AF10/Assumptions!$E$23)</f>
        <v>196.380458834115</v>
      </c>
      <c r="AG11" s="17" t="n">
        <f aca="false">IF(Assumptions!$E$23=0,0,AG10/Assumptions!$E$23)</f>
        <v>202.271872599139</v>
      </c>
      <c r="AH11" s="17" t="n">
        <f aca="false">IF(Assumptions!$E$23=0,0,AH10/Assumptions!$E$23)</f>
        <v>208.340028777113</v>
      </c>
      <c r="AI11" s="17" t="n">
        <f aca="false">IF(Assumptions!$E$23=0,0,AI10/Assumptions!$E$23)</f>
        <v>214.590229640426</v>
      </c>
      <c r="AJ11" s="17" t="n">
        <f aca="false">IF(Assumptions!$E$23=0,0,AJ10/Assumptions!$E$23)</f>
        <v>221.027936529639</v>
      </c>
      <c r="AK11" s="17" t="n">
        <f aca="false">IF(Assumptions!$E$23=0,0,AK10/Assumptions!$E$23)</f>
        <v>227.658774625528</v>
      </c>
      <c r="AL11" s="17" t="n">
        <f aca="false">IF(Assumptions!$E$23=0,0,AL10/Assumptions!$E$23)</f>
        <v>234.488537864294</v>
      </c>
    </row>
    <row r="12" customFormat="false" ht="15" hidden="false" customHeight="false" outlineLevel="0" collapsed="false">
      <c r="A12" s="21" t="s">
        <v>363</v>
      </c>
      <c r="B12" s="2" t="s">
        <v>364</v>
      </c>
      <c r="C12" s="22" t="n">
        <f aca="false">(((C6+C7)+C9)+C11)</f>
        <v>1133.33333333333</v>
      </c>
      <c r="D12" s="22" t="n">
        <f aca="false">(((D6+D7)+D9)+D11)</f>
        <v>1226.33333333333</v>
      </c>
      <c r="E12" s="22" t="n">
        <f aca="false">(((E6+E7)+E9)+E11)</f>
        <v>1311.33767023425</v>
      </c>
      <c r="F12" s="22" t="n">
        <f aca="false">(((F6+F7)+F9)+F11)</f>
        <v>1464.32396390713</v>
      </c>
      <c r="G12" s="22" t="n">
        <f aca="false">(((G6+G7)+G9)+G11)</f>
        <v>1564.92833330662</v>
      </c>
      <c r="H12" s="22" t="n">
        <f aca="false">(((H6+H7)+H9)+H11)</f>
        <v>1671.4363885797</v>
      </c>
      <c r="I12" s="22" t="n">
        <f aca="false">(((I6+I7)+I9)+I11)</f>
        <v>1785.05443603441</v>
      </c>
      <c r="J12" s="22" t="n">
        <f aca="false">(((J6+J7)+J9)+J11)</f>
        <v>1906.29571580125</v>
      </c>
      <c r="K12" s="22" t="n">
        <f aca="false">(((K6+K7)+K9)+K11)</f>
        <v>2035.69820184293</v>
      </c>
      <c r="L12" s="22" t="n">
        <f aca="false">(((L6+L7)+L9)+L11)</f>
        <v>2173.83614148888</v>
      </c>
      <c r="M12" s="22" t="n">
        <f aca="false">(((M6+M7)+M9)+M11)</f>
        <v>2321.32279322719</v>
      </c>
      <c r="N12" s="22" t="n">
        <f aca="false">(((N6+N7)+N9)+N11)</f>
        <v>2478.81322538856</v>
      </c>
      <c r="O12" s="22" t="n">
        <f aca="false">(((O6+O7)+O9)+O11)</f>
        <v>2647.00730109953</v>
      </c>
      <c r="P12" s="22" t="n">
        <f aca="false">(((P6+P7)+P9)+P11)</f>
        <v>2826.49456251702</v>
      </c>
      <c r="Q12" s="22" t="n">
        <f aca="false">(((Q6+Q7)+Q9)+Q11)</f>
        <v>3018.21717599886</v>
      </c>
      <c r="R12" s="22" t="n">
        <f aca="false">(((R6+R7)+R9)+R11)</f>
        <v>3223.03231662767</v>
      </c>
      <c r="S12" s="22" t="n">
        <f aca="false">(((S6+S7)+S9)+S11)</f>
        <v>3441.84367600759</v>
      </c>
      <c r="T12" s="22" t="n">
        <f aca="false">(((T6+T7)+T9)+T11)</f>
        <v>3675.63463235556</v>
      </c>
      <c r="U12" s="22" t="n">
        <f aca="false">(((U6+U7)+U9)+U11)</f>
        <v>3925.4481421262</v>
      </c>
      <c r="V12" s="22" t="n">
        <f aca="false">(((V6+V7)+V9)+V11)</f>
        <v>4192.39912373475</v>
      </c>
      <c r="W12" s="22" t="n">
        <f aca="false">(((W6+W7)+W9)+W11)</f>
        <v>4477.67972156782</v>
      </c>
      <c r="X12" s="22" t="n">
        <f aca="false">(((X6+X7)+X9)+X11)</f>
        <v>4782.56472660196</v>
      </c>
      <c r="Y12" s="22" t="n">
        <f aca="false">(((Y6+Y7)+Y9)+Y11)</f>
        <v>5108.41736888764</v>
      </c>
      <c r="Z12" s="22" t="n">
        <f aca="false">(((Z6+Z7)+Z9)+Z11)</f>
        <v>5456.69551206673</v>
      </c>
      <c r="AA12" s="22" t="n">
        <f aca="false">(((AA6+AA7)+AA9)+AA11)</f>
        <v>5828.95827831589</v>
      </c>
      <c r="AB12" s="22" t="n">
        <f aca="false">(((AB6+AB7)+AB9)+AB11)</f>
        <v>6226.80704825332</v>
      </c>
      <c r="AC12" s="22" t="n">
        <f aca="false">(((AC6+AC7)+AC9)+AC11)</f>
        <v>6652.08490485863</v>
      </c>
      <c r="AD12" s="22" t="n">
        <f aca="false">(((AD6+AD7)+AD9)+AD11)</f>
        <v>7106.70049135912</v>
      </c>
      <c r="AE12" s="22" t="n">
        <f aca="false">(((AE6+AE7)+AE9)+AE11)</f>
        <v>7592.689980059</v>
      </c>
      <c r="AF12" s="22" t="n">
        <f aca="false">(((AF6+AF7)+AF9)+AF11)</f>
        <v>8112.23846459159</v>
      </c>
      <c r="AG12" s="22" t="n">
        <f aca="false">(((AG6+AG7)+AG9)+AG11)</f>
        <v>8667.67963342324</v>
      </c>
      <c r="AH12" s="22" t="n">
        <f aca="false">(((AH6+AH7)+AH9)+AH11)</f>
        <v>9261.50957531876</v>
      </c>
      <c r="AI12" s="22" t="n">
        <f aca="false">(((AI6+AI7)+AI9)+AI11)</f>
        <v>9896.39821521729</v>
      </c>
      <c r="AJ12" s="22" t="n">
        <f aca="false">(((AJ6+AJ7)+AJ9)+AJ11)</f>
        <v>10575.2014612799</v>
      </c>
      <c r="AK12" s="22" t="n">
        <f aca="false">(((AK6+AK7)+AK9)+AK11)</f>
        <v>11300.9741981312</v>
      </c>
      <c r="AL12" s="22" t="n">
        <f aca="false">(((AL6+AL7)+AL9)+AL11)</f>
        <v>12076.9841871706</v>
      </c>
    </row>
    <row r="14" customFormat="false" ht="15" hidden="false" customHeight="false" outlineLevel="0" collapsed="false">
      <c r="A14" s="4" t="s">
        <v>365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customFormat="false" ht="15" hidden="false" customHeight="false" outlineLevel="0" collapsed="false">
      <c r="A15" s="6" t="s">
        <v>366</v>
      </c>
      <c r="B15" s="2" t="s">
        <v>367</v>
      </c>
      <c r="C15" s="17" t="n">
        <f aca="false">(C12*Assumptions!$E$25)</f>
        <v>736.666666666667</v>
      </c>
      <c r="D15" s="17" t="n">
        <f aca="false">(D12*Assumptions!$E$25)</f>
        <v>797.116666666667</v>
      </c>
      <c r="E15" s="17" t="n">
        <f aca="false">(E12*Assumptions!$E$25)</f>
        <v>852.36948565226</v>
      </c>
      <c r="F15" s="17" t="n">
        <f aca="false">(F12*Assumptions!$E$25)</f>
        <v>951.810576539637</v>
      </c>
      <c r="G15" s="17" t="n">
        <f aca="false">(G12*Assumptions!$E$25)</f>
        <v>1017.2034166493</v>
      </c>
      <c r="H15" s="17" t="n">
        <f aca="false">(H12*Assumptions!$E$25)</f>
        <v>1086.43365257681</v>
      </c>
      <c r="I15" s="17" t="n">
        <f aca="false">(I12*Assumptions!$E$25)</f>
        <v>1160.28538342236</v>
      </c>
      <c r="J15" s="17" t="n">
        <f aca="false">(J12*Assumptions!$E$25)</f>
        <v>1239.09221527081</v>
      </c>
      <c r="K15" s="17" t="n">
        <f aca="false">(K12*Assumptions!$E$25)</f>
        <v>1323.2038311979</v>
      </c>
      <c r="L15" s="17" t="n">
        <f aca="false">(L12*Assumptions!$E$25)</f>
        <v>1412.99349196777</v>
      </c>
      <c r="M15" s="17" t="n">
        <f aca="false">(M12*Assumptions!$E$25)</f>
        <v>1508.85981559767</v>
      </c>
      <c r="N15" s="17" t="n">
        <f aca="false">(N12*Assumptions!$E$25)</f>
        <v>1611.22859650256</v>
      </c>
      <c r="O15" s="17" t="n">
        <f aca="false">(O12*Assumptions!$E$25)</f>
        <v>1720.5547457147</v>
      </c>
      <c r="P15" s="17" t="n">
        <f aca="false">(P12*Assumptions!$E$25)</f>
        <v>1837.22146563606</v>
      </c>
      <c r="Q15" s="17" t="n">
        <f aca="false">(Q12*Assumptions!$E$25)</f>
        <v>1961.84116439926</v>
      </c>
      <c r="R15" s="17" t="n">
        <f aca="false">(R12*Assumptions!$E$25)</f>
        <v>2094.97100580799</v>
      </c>
      <c r="S15" s="17" t="n">
        <f aca="false">(S12*Assumptions!$E$25)</f>
        <v>2237.19838940493</v>
      </c>
      <c r="T15" s="17" t="n">
        <f aca="false">(T12*Assumptions!$E$25)</f>
        <v>2389.16251103112</v>
      </c>
      <c r="U15" s="17" t="n">
        <f aca="false">(U12*Assumptions!$E$25)</f>
        <v>2551.54129238203</v>
      </c>
      <c r="V15" s="17" t="n">
        <f aca="false">(V12*Assumptions!$E$25)</f>
        <v>2725.05943042759</v>
      </c>
      <c r="W15" s="17" t="n">
        <f aca="false">(W12*Assumptions!$E$25)</f>
        <v>2910.49181901908</v>
      </c>
      <c r="X15" s="17" t="n">
        <f aca="false">(X12*Assumptions!$E$25)</f>
        <v>3108.66707229128</v>
      </c>
      <c r="Y15" s="17" t="n">
        <f aca="false">(Y12*Assumptions!$E$25)</f>
        <v>3320.47128977697</v>
      </c>
      <c r="Z15" s="17" t="n">
        <f aca="false">(Z12*Assumptions!$E$25)</f>
        <v>3546.85208284338</v>
      </c>
      <c r="AA15" s="17" t="n">
        <f aca="false">(AA12*Assumptions!$E$25)</f>
        <v>3788.82288090533</v>
      </c>
      <c r="AB15" s="17" t="n">
        <f aca="false">(AB12*Assumptions!$E$25)</f>
        <v>4047.42458136466</v>
      </c>
      <c r="AC15" s="17" t="n">
        <f aca="false">(AC12*Assumptions!$E$25)</f>
        <v>4323.85518815811</v>
      </c>
      <c r="AD15" s="17" t="n">
        <f aca="false">(AD12*Assumptions!$E$25)</f>
        <v>4619.35531938343</v>
      </c>
      <c r="AE15" s="17" t="n">
        <f aca="false">(AE12*Assumptions!$E$25)</f>
        <v>4935.24848703835</v>
      </c>
      <c r="AF15" s="17" t="n">
        <f aca="false">(AF12*Assumptions!$E$25)</f>
        <v>5272.95500198453</v>
      </c>
      <c r="AG15" s="17" t="n">
        <f aca="false">(AG12*Assumptions!$E$25)</f>
        <v>5633.99176172511</v>
      </c>
      <c r="AH15" s="17" t="n">
        <f aca="false">(AH12*Assumptions!$E$25)</f>
        <v>6019.98122395719</v>
      </c>
      <c r="AI15" s="17" t="n">
        <f aca="false">(AI12*Assumptions!$E$25)</f>
        <v>6432.65883989124</v>
      </c>
      <c r="AJ15" s="17" t="n">
        <f aca="false">(AJ12*Assumptions!$E$25)</f>
        <v>6873.88094983196</v>
      </c>
      <c r="AK15" s="17" t="n">
        <f aca="false">(AK12*Assumptions!$E$25)</f>
        <v>7345.6332287853</v>
      </c>
      <c r="AL15" s="17" t="n">
        <f aca="false">(AL12*Assumptions!$E$25)</f>
        <v>7850.03972166089</v>
      </c>
    </row>
    <row r="16" customFormat="false" ht="15" hidden="false" customHeight="false" outlineLevel="0" collapsed="false">
      <c r="A16" s="6" t="s">
        <v>368</v>
      </c>
      <c r="B16" s="2" t="s">
        <v>369</v>
      </c>
      <c r="C16" s="17" t="n">
        <f aca="false">(C15*Assumptions!$E$29)</f>
        <v>73.6666666666667</v>
      </c>
      <c r="D16" s="17" t="n">
        <f aca="false">(D15*Assumptions!$E$29)</f>
        <v>79.7116666666667</v>
      </c>
      <c r="E16" s="17" t="n">
        <f aca="false">(E15*Assumptions!$E$29)</f>
        <v>85.236948565226</v>
      </c>
      <c r="F16" s="17" t="n">
        <f aca="false">(F15*Assumptions!$E$29)</f>
        <v>95.1810576539637</v>
      </c>
      <c r="G16" s="17" t="n">
        <f aca="false">(G15*Assumptions!$E$29)</f>
        <v>101.72034166493</v>
      </c>
      <c r="H16" s="17" t="n">
        <f aca="false">(H15*Assumptions!$E$29)</f>
        <v>108.643365257681</v>
      </c>
      <c r="I16" s="17" t="n">
        <f aca="false">(I15*Assumptions!$E$29)</f>
        <v>116.028538342236</v>
      </c>
      <c r="J16" s="17" t="n">
        <f aca="false">(J15*Assumptions!$E$29)</f>
        <v>123.909221527081</v>
      </c>
      <c r="K16" s="17" t="n">
        <f aca="false">(K15*Assumptions!$E$29)</f>
        <v>132.32038311979</v>
      </c>
      <c r="L16" s="17" t="n">
        <f aca="false">(L15*Assumptions!$E$29)</f>
        <v>141.299349196777</v>
      </c>
      <c r="M16" s="17" t="n">
        <f aca="false">(M15*Assumptions!$E$29)</f>
        <v>150.885981559767</v>
      </c>
      <c r="N16" s="17" t="n">
        <f aca="false">(N15*Assumptions!$E$29)</f>
        <v>161.122859650256</v>
      </c>
      <c r="O16" s="17" t="n">
        <f aca="false">(O15*Assumptions!$E$29)</f>
        <v>172.05547457147</v>
      </c>
      <c r="P16" s="17" t="n">
        <f aca="false">(P15*Assumptions!$E$29)</f>
        <v>183.722146563606</v>
      </c>
      <c r="Q16" s="17" t="n">
        <f aca="false">(Q15*Assumptions!$E$29)</f>
        <v>196.184116439926</v>
      </c>
      <c r="R16" s="17" t="n">
        <f aca="false">(R15*Assumptions!$E$29)</f>
        <v>209.497100580799</v>
      </c>
      <c r="S16" s="17" t="n">
        <f aca="false">(S15*Assumptions!$E$29)</f>
        <v>223.719838940493</v>
      </c>
      <c r="T16" s="17" t="n">
        <f aca="false">(T15*Assumptions!$E$29)</f>
        <v>238.916251103112</v>
      </c>
      <c r="U16" s="17" t="n">
        <f aca="false">(U15*Assumptions!$E$29)</f>
        <v>255.154129238203</v>
      </c>
      <c r="V16" s="17" t="n">
        <f aca="false">(V15*Assumptions!$E$29)</f>
        <v>272.505943042759</v>
      </c>
      <c r="W16" s="17" t="n">
        <f aca="false">(W15*Assumptions!$E$29)</f>
        <v>291.049181901908</v>
      </c>
      <c r="X16" s="17" t="n">
        <f aca="false">(X15*Assumptions!$E$29)</f>
        <v>310.866707229128</v>
      </c>
      <c r="Y16" s="17" t="n">
        <f aca="false">(Y15*Assumptions!$E$29)</f>
        <v>332.047128977697</v>
      </c>
      <c r="Z16" s="17" t="n">
        <f aca="false">(Z15*Assumptions!$E$29)</f>
        <v>354.685208284338</v>
      </c>
      <c r="AA16" s="17" t="n">
        <f aca="false">(AA15*Assumptions!$E$29)</f>
        <v>378.882288090533</v>
      </c>
      <c r="AB16" s="17" t="n">
        <f aca="false">(AB15*Assumptions!$E$29)</f>
        <v>404.742458136466</v>
      </c>
      <c r="AC16" s="17" t="n">
        <f aca="false">(AC15*Assumptions!$E$29)</f>
        <v>432.385518815811</v>
      </c>
      <c r="AD16" s="17" t="n">
        <f aca="false">(AD15*Assumptions!$E$29)</f>
        <v>461.935531938343</v>
      </c>
      <c r="AE16" s="17" t="n">
        <f aca="false">(AE15*Assumptions!$E$29)</f>
        <v>493.524848703835</v>
      </c>
      <c r="AF16" s="17" t="n">
        <f aca="false">(AF15*Assumptions!$E$29)</f>
        <v>527.295500198453</v>
      </c>
      <c r="AG16" s="17" t="n">
        <f aca="false">(AG15*Assumptions!$E$29)</f>
        <v>563.399176172511</v>
      </c>
      <c r="AH16" s="17" t="n">
        <f aca="false">(AH15*Assumptions!$E$29)</f>
        <v>601.998122395719</v>
      </c>
      <c r="AI16" s="17" t="n">
        <f aca="false">(AI15*Assumptions!$E$29)</f>
        <v>643.265883989124</v>
      </c>
      <c r="AJ16" s="17" t="n">
        <f aca="false">(AJ15*Assumptions!$E$29)</f>
        <v>687.388094983196</v>
      </c>
      <c r="AK16" s="17" t="n">
        <f aca="false">(AK15*Assumptions!$E$29)</f>
        <v>734.56332287853</v>
      </c>
      <c r="AL16" s="17" t="n">
        <f aca="false">(AL15*Assumptions!$E$29)</f>
        <v>785.003972166089</v>
      </c>
    </row>
    <row r="17" customFormat="false" ht="15" hidden="false" customHeight="false" outlineLevel="0" collapsed="false">
      <c r="A17" s="21" t="s">
        <v>370</v>
      </c>
      <c r="B17" s="2" t="s">
        <v>371</v>
      </c>
      <c r="C17" s="22" t="n">
        <f aca="false">(C16*Assumptions!$E$30)</f>
        <v>27.9933333333333</v>
      </c>
      <c r="D17" s="22" t="n">
        <f aca="false">(D16*Assumptions!$E$30)</f>
        <v>30.2904333333333</v>
      </c>
      <c r="E17" s="22" t="n">
        <f aca="false">(E16*Assumptions!$E$30)</f>
        <v>32.3900404547859</v>
      </c>
      <c r="F17" s="22" t="n">
        <f aca="false">(F16*Assumptions!$E$30)</f>
        <v>36.1688019085062</v>
      </c>
      <c r="G17" s="22" t="n">
        <f aca="false">(G16*Assumptions!$E$30)</f>
        <v>38.6537298326734</v>
      </c>
      <c r="H17" s="22" t="n">
        <f aca="false">(H16*Assumptions!$E$30)</f>
        <v>41.2844787979186</v>
      </c>
      <c r="I17" s="22" t="n">
        <f aca="false">(I16*Assumptions!$E$30)</f>
        <v>44.0908445700499</v>
      </c>
      <c r="J17" s="22" t="n">
        <f aca="false">(J16*Assumptions!$E$30)</f>
        <v>47.0855041802909</v>
      </c>
      <c r="K17" s="22" t="n">
        <f aca="false">(K16*Assumptions!$E$30)</f>
        <v>50.2817455855204</v>
      </c>
      <c r="L17" s="22" t="n">
        <f aca="false">(L16*Assumptions!$E$30)</f>
        <v>53.6937526947752</v>
      </c>
      <c r="M17" s="22" t="n">
        <f aca="false">(M16*Assumptions!$E$30)</f>
        <v>57.3366729927116</v>
      </c>
      <c r="N17" s="22" t="n">
        <f aca="false">(N16*Assumptions!$E$30)</f>
        <v>61.2266866670974</v>
      </c>
      <c r="O17" s="22" t="n">
        <f aca="false">(O16*Assumptions!$E$30)</f>
        <v>65.3810803371584</v>
      </c>
      <c r="P17" s="22" t="n">
        <f aca="false">(P16*Assumptions!$E$30)</f>
        <v>69.8144156941703</v>
      </c>
      <c r="Q17" s="22" t="n">
        <f aca="false">(Q16*Assumptions!$E$30)</f>
        <v>74.5499642471718</v>
      </c>
      <c r="R17" s="22" t="n">
        <f aca="false">(R16*Assumptions!$E$30)</f>
        <v>79.6088982207035</v>
      </c>
      <c r="S17" s="22" t="n">
        <f aca="false">(S16*Assumptions!$E$30)</f>
        <v>85.0135387973875</v>
      </c>
      <c r="T17" s="22" t="n">
        <f aca="false">(T16*Assumptions!$E$30)</f>
        <v>90.7881754191824</v>
      </c>
      <c r="U17" s="22" t="n">
        <f aca="false">(U16*Assumptions!$E$30)</f>
        <v>96.958569110517</v>
      </c>
      <c r="V17" s="22" t="n">
        <f aca="false">(V16*Assumptions!$E$30)</f>
        <v>103.552258356248</v>
      </c>
      <c r="W17" s="22" t="n">
        <f aca="false">(W16*Assumptions!$E$30)</f>
        <v>110.598689122725</v>
      </c>
      <c r="X17" s="22" t="n">
        <f aca="false">(X16*Assumptions!$E$30)</f>
        <v>118.129348747068</v>
      </c>
      <c r="Y17" s="22" t="n">
        <f aca="false">(Y16*Assumptions!$E$30)</f>
        <v>126.177909011525</v>
      </c>
      <c r="Z17" s="22" t="n">
        <f aca="false">(Z16*Assumptions!$E$30)</f>
        <v>134.780379148048</v>
      </c>
      <c r="AA17" s="22" t="n">
        <f aca="false">(AA16*Assumptions!$E$30)</f>
        <v>143.975269474402</v>
      </c>
      <c r="AB17" s="22" t="n">
        <f aca="false">(AB16*Assumptions!$E$30)</f>
        <v>153.802134091857</v>
      </c>
      <c r="AC17" s="22" t="n">
        <f aca="false">(AC16*Assumptions!$E$30)</f>
        <v>164.306497150008</v>
      </c>
      <c r="AD17" s="22" t="n">
        <f aca="false">(AD16*Assumptions!$E$30)</f>
        <v>175.53550213657</v>
      </c>
      <c r="AE17" s="22" t="n">
        <f aca="false">(AE16*Assumptions!$E$30)</f>
        <v>187.539442507457</v>
      </c>
      <c r="AF17" s="22" t="n">
        <f aca="false">(AF16*Assumptions!$E$30)</f>
        <v>200.372290075412</v>
      </c>
      <c r="AG17" s="22" t="n">
        <f aca="false">(AG16*Assumptions!$E$30)</f>
        <v>214.091686945554</v>
      </c>
      <c r="AH17" s="22" t="n">
        <f aca="false">(AH16*Assumptions!$E$30)</f>
        <v>228.759286510373</v>
      </c>
      <c r="AI17" s="22" t="n">
        <f aca="false">(AI16*Assumptions!$E$30)</f>
        <v>244.441035915867</v>
      </c>
      <c r="AJ17" s="22" t="n">
        <f aca="false">(AJ16*Assumptions!$E$30)</f>
        <v>261.207476093614</v>
      </c>
      <c r="AK17" s="22" t="n">
        <f aca="false">(AK16*Assumptions!$E$30)</f>
        <v>279.134062693841</v>
      </c>
      <c r="AL17" s="22" t="n">
        <f aca="false">(AL16*Assumptions!$E$30)</f>
        <v>298.301509423114</v>
      </c>
    </row>
    <row r="18" customFormat="false" ht="15" hidden="false" customHeight="false" outlineLevel="0" collapsed="false">
      <c r="A18" s="6" t="s">
        <v>372</v>
      </c>
      <c r="B18" s="2" t="s">
        <v>373</v>
      </c>
      <c r="C18" s="17" t="n">
        <f aca="false">(C17*Assumptions!$E$31)</f>
        <v>9.79766666666667</v>
      </c>
      <c r="D18" s="17" t="n">
        <f aca="false">(D17*Assumptions!$E$31)</f>
        <v>10.6016516666667</v>
      </c>
      <c r="E18" s="17" t="n">
        <f aca="false">(E17*Assumptions!$E$31)</f>
        <v>11.3365141591751</v>
      </c>
      <c r="F18" s="17" t="n">
        <f aca="false">(F17*Assumptions!$E$31)</f>
        <v>12.6590806679772</v>
      </c>
      <c r="G18" s="17" t="n">
        <f aca="false">(G17*Assumptions!$E$31)</f>
        <v>13.5288054414357</v>
      </c>
      <c r="H18" s="17" t="n">
        <f aca="false">(H17*Assumptions!$E$31)</f>
        <v>14.4495675792715</v>
      </c>
      <c r="I18" s="17" t="n">
        <f aca="false">(I17*Assumptions!$E$31)</f>
        <v>15.4317955995175</v>
      </c>
      <c r="J18" s="17" t="n">
        <f aca="false">(J17*Assumptions!$E$31)</f>
        <v>16.4799264631018</v>
      </c>
      <c r="K18" s="17" t="n">
        <f aca="false">(K17*Assumptions!$E$31)</f>
        <v>17.5986109549321</v>
      </c>
      <c r="L18" s="17" t="n">
        <f aca="false">(L17*Assumptions!$E$31)</f>
        <v>18.7928134431713</v>
      </c>
      <c r="M18" s="17" t="n">
        <f aca="false">(M17*Assumptions!$E$31)</f>
        <v>20.067835547449</v>
      </c>
      <c r="N18" s="17" t="n">
        <f aca="false">(N17*Assumptions!$E$31)</f>
        <v>21.4293403334841</v>
      </c>
      <c r="O18" s="17" t="n">
        <f aca="false">(O17*Assumptions!$E$31)</f>
        <v>22.8833781180054</v>
      </c>
      <c r="P18" s="17" t="n">
        <f aca="false">(P17*Assumptions!$E$31)</f>
        <v>24.4350454929596</v>
      </c>
      <c r="Q18" s="17" t="n">
        <f aca="false">(Q17*Assumptions!$E$31)</f>
        <v>26.0924874865101</v>
      </c>
      <c r="R18" s="17" t="n">
        <f aca="false">(R17*Assumptions!$E$31)</f>
        <v>27.8631143772462</v>
      </c>
      <c r="S18" s="17" t="n">
        <f aca="false">(S17*Assumptions!$E$31)</f>
        <v>29.7547385790856</v>
      </c>
      <c r="T18" s="17" t="n">
        <f aca="false">(T17*Assumptions!$E$31)</f>
        <v>31.7758613967138</v>
      </c>
      <c r="U18" s="17" t="n">
        <f aca="false">(U17*Assumptions!$E$31)</f>
        <v>33.935499188681</v>
      </c>
      <c r="V18" s="17" t="n">
        <f aca="false">(V17*Assumptions!$E$31)</f>
        <v>36.2432904246869</v>
      </c>
      <c r="W18" s="17" t="n">
        <f aca="false">(W17*Assumptions!$E$31)</f>
        <v>38.7095411929538</v>
      </c>
      <c r="X18" s="17" t="n">
        <f aca="false">(X17*Assumptions!$E$31)</f>
        <v>41.345272061474</v>
      </c>
      <c r="Y18" s="17" t="n">
        <f aca="false">(Y17*Assumptions!$E$31)</f>
        <v>44.1622681540337</v>
      </c>
      <c r="Z18" s="17" t="n">
        <f aca="false">(Z17*Assumptions!$E$31)</f>
        <v>47.1731327018169</v>
      </c>
      <c r="AA18" s="17" t="n">
        <f aca="false">(AA17*Assumptions!$E$31)</f>
        <v>50.3913443160409</v>
      </c>
      <c r="AB18" s="17" t="n">
        <f aca="false">(AB17*Assumptions!$E$31)</f>
        <v>53.8307469321499</v>
      </c>
      <c r="AC18" s="17" t="n">
        <f aca="false">(AC17*Assumptions!$E$31)</f>
        <v>57.5072740025029</v>
      </c>
      <c r="AD18" s="17" t="n">
        <f aca="false">(AD17*Assumptions!$E$31)</f>
        <v>61.4374257477996</v>
      </c>
      <c r="AE18" s="17" t="n">
        <f aca="false">(AE17*Assumptions!$E$31)</f>
        <v>65.63880487761</v>
      </c>
      <c r="AF18" s="17" t="n">
        <f aca="false">(AF17*Assumptions!$E$31)</f>
        <v>70.1303015263943</v>
      </c>
      <c r="AG18" s="17" t="n">
        <f aca="false">(AG17*Assumptions!$E$31)</f>
        <v>74.9320904309439</v>
      </c>
      <c r="AH18" s="17" t="n">
        <f aca="false">(AH17*Assumptions!$E$31)</f>
        <v>80.0657502786307</v>
      </c>
      <c r="AI18" s="17" t="n">
        <f aca="false">(AI17*Assumptions!$E$31)</f>
        <v>85.5543625705535</v>
      </c>
      <c r="AJ18" s="17" t="n">
        <f aca="false">(AJ17*Assumptions!$E$31)</f>
        <v>91.422616632765</v>
      </c>
      <c r="AK18" s="17" t="n">
        <f aca="false">(AK17*Assumptions!$E$31)</f>
        <v>97.6969219428445</v>
      </c>
      <c r="AL18" s="17" t="n">
        <f aca="false">(AL17*Assumptions!$E$31)</f>
        <v>104.40552829809</v>
      </c>
    </row>
    <row r="19" customFormat="false" ht="15" hidden="false" customHeight="false" outlineLevel="0" collapsed="false">
      <c r="A19" s="6" t="s">
        <v>374</v>
      </c>
      <c r="B19" s="2" t="s">
        <v>375</v>
      </c>
      <c r="C19" s="17" t="n">
        <f aca="false">(C17*Assumptions!$E$32)</f>
        <v>13.9966666666667</v>
      </c>
      <c r="D19" s="17" t="n">
        <f aca="false">(D17*Assumptions!$E$32)</f>
        <v>15.1452166666667</v>
      </c>
      <c r="E19" s="17" t="n">
        <f aca="false">(E17*Assumptions!$E$32)</f>
        <v>16.1950202273929</v>
      </c>
      <c r="F19" s="17" t="n">
        <f aca="false">(F17*Assumptions!$E$32)</f>
        <v>18.0844009542531</v>
      </c>
      <c r="G19" s="17" t="n">
        <f aca="false">(G17*Assumptions!$E$32)</f>
        <v>19.3268649163367</v>
      </c>
      <c r="H19" s="17" t="n">
        <f aca="false">(H17*Assumptions!$E$32)</f>
        <v>20.6422393989593</v>
      </c>
      <c r="I19" s="17" t="n">
        <f aca="false">(I17*Assumptions!$E$32)</f>
        <v>22.0454222850249</v>
      </c>
      <c r="J19" s="17" t="n">
        <f aca="false">(J17*Assumptions!$E$32)</f>
        <v>23.5427520901455</v>
      </c>
      <c r="K19" s="17" t="n">
        <f aca="false">(K17*Assumptions!$E$32)</f>
        <v>25.1408727927602</v>
      </c>
      <c r="L19" s="17" t="n">
        <f aca="false">(L17*Assumptions!$E$32)</f>
        <v>26.8468763473876</v>
      </c>
      <c r="M19" s="17" t="n">
        <f aca="false">(M17*Assumptions!$E$32)</f>
        <v>28.6683364963558</v>
      </c>
      <c r="N19" s="17" t="n">
        <f aca="false">(N17*Assumptions!$E$32)</f>
        <v>30.6133433335487</v>
      </c>
      <c r="O19" s="17" t="n">
        <f aca="false">(O17*Assumptions!$E$32)</f>
        <v>32.6905401685792</v>
      </c>
      <c r="P19" s="17" t="n">
        <f aca="false">(P17*Assumptions!$E$32)</f>
        <v>34.9072078470852</v>
      </c>
      <c r="Q19" s="17" t="n">
        <f aca="false">(Q17*Assumptions!$E$32)</f>
        <v>37.2749821235859</v>
      </c>
      <c r="R19" s="17" t="n">
        <f aca="false">(R17*Assumptions!$E$32)</f>
        <v>39.8044491103518</v>
      </c>
      <c r="S19" s="17" t="n">
        <f aca="false">(S17*Assumptions!$E$32)</f>
        <v>42.5067693986938</v>
      </c>
      <c r="T19" s="17" t="n">
        <f aca="false">(T17*Assumptions!$E$32)</f>
        <v>45.3940877095912</v>
      </c>
      <c r="U19" s="17" t="n">
        <f aca="false">(U17*Assumptions!$E$32)</f>
        <v>48.4792845552585</v>
      </c>
      <c r="V19" s="17" t="n">
        <f aca="false">(V17*Assumptions!$E$32)</f>
        <v>51.7761291781242</v>
      </c>
      <c r="W19" s="17" t="n">
        <f aca="false">(W17*Assumptions!$E$32)</f>
        <v>55.2993445613626</v>
      </c>
      <c r="X19" s="17" t="n">
        <f aca="false">(X17*Assumptions!$E$32)</f>
        <v>59.0646743735342</v>
      </c>
      <c r="Y19" s="17" t="n">
        <f aca="false">(Y17*Assumptions!$E$32)</f>
        <v>63.0889545057624</v>
      </c>
      <c r="Z19" s="17" t="n">
        <f aca="false">(Z17*Assumptions!$E$32)</f>
        <v>67.3901895740242</v>
      </c>
      <c r="AA19" s="17" t="n">
        <f aca="false">(AA17*Assumptions!$E$32)</f>
        <v>71.9876347372012</v>
      </c>
      <c r="AB19" s="17" t="n">
        <f aca="false">(AB17*Assumptions!$E$32)</f>
        <v>76.9010670459285</v>
      </c>
      <c r="AC19" s="17" t="n">
        <f aca="false">(AC17*Assumptions!$E$32)</f>
        <v>82.1532485750041</v>
      </c>
      <c r="AD19" s="17" t="n">
        <f aca="false">(AD17*Assumptions!$E$32)</f>
        <v>87.7677510682851</v>
      </c>
      <c r="AE19" s="17" t="n">
        <f aca="false">(AE17*Assumptions!$E$32)</f>
        <v>93.7697212537286</v>
      </c>
      <c r="AF19" s="17" t="n">
        <f aca="false">(AF17*Assumptions!$E$32)</f>
        <v>100.186145037706</v>
      </c>
      <c r="AG19" s="17" t="n">
        <f aca="false">(AG17*Assumptions!$E$32)</f>
        <v>107.045843472777</v>
      </c>
      <c r="AH19" s="17" t="n">
        <f aca="false">(AH17*Assumptions!$E$32)</f>
        <v>114.379643255187</v>
      </c>
      <c r="AI19" s="17" t="n">
        <f aca="false">(AI17*Assumptions!$E$32)</f>
        <v>122.220517957934</v>
      </c>
      <c r="AJ19" s="17" t="n">
        <f aca="false">(AJ17*Assumptions!$E$32)</f>
        <v>130.603738046807</v>
      </c>
      <c r="AK19" s="17" t="n">
        <f aca="false">(AK17*Assumptions!$E$32)</f>
        <v>139.567031346921</v>
      </c>
      <c r="AL19" s="17" t="n">
        <f aca="false">(AL17*Assumptions!$E$32)</f>
        <v>149.150754711557</v>
      </c>
    </row>
    <row r="20" customFormat="false" ht="15" hidden="false" customHeight="false" outlineLevel="0" collapsed="false">
      <c r="A20" s="6" t="s">
        <v>376</v>
      </c>
      <c r="B20" s="2" t="s">
        <v>377</v>
      </c>
      <c r="C20" s="17" t="n">
        <f aca="false">(C17*Assumptions!$E$109)</f>
        <v>4.199</v>
      </c>
      <c r="D20" s="17" t="n">
        <f aca="false">(D17*Assumptions!$E$109)</f>
        <v>4.543565</v>
      </c>
      <c r="E20" s="17" t="n">
        <f aca="false">(E17*Assumptions!$E$109)</f>
        <v>4.85850606821788</v>
      </c>
      <c r="F20" s="17" t="n">
        <f aca="false">(F17*Assumptions!$E$109)</f>
        <v>5.42532028627593</v>
      </c>
      <c r="G20" s="17" t="n">
        <f aca="false">(G17*Assumptions!$E$109)</f>
        <v>5.79805947490101</v>
      </c>
      <c r="H20" s="17" t="n">
        <f aca="false">(H17*Assumptions!$E$109)</f>
        <v>6.1926718196878</v>
      </c>
      <c r="I20" s="17" t="n">
        <f aca="false">(I17*Assumptions!$E$109)</f>
        <v>6.61362668550748</v>
      </c>
      <c r="J20" s="17" t="n">
        <f aca="false">(J17*Assumptions!$E$109)</f>
        <v>7.06282562704364</v>
      </c>
      <c r="K20" s="17" t="n">
        <f aca="false">(K17*Assumptions!$E$109)</f>
        <v>7.54226183782806</v>
      </c>
      <c r="L20" s="17" t="n">
        <f aca="false">(L17*Assumptions!$E$109)</f>
        <v>8.05406290421628</v>
      </c>
      <c r="M20" s="17" t="n">
        <f aca="false">(M17*Assumptions!$E$109)</f>
        <v>8.60050094890674</v>
      </c>
      <c r="N20" s="17" t="n">
        <f aca="false">(N17*Assumptions!$E$109)</f>
        <v>9.18400300006462</v>
      </c>
      <c r="O20" s="17" t="n">
        <f aca="false">(O17*Assumptions!$E$109)</f>
        <v>9.80716205057377</v>
      </c>
      <c r="P20" s="17" t="n">
        <f aca="false">(P17*Assumptions!$E$109)</f>
        <v>10.4721623541255</v>
      </c>
      <c r="Q20" s="17" t="n">
        <f aca="false">(Q17*Assumptions!$E$109)</f>
        <v>11.1824946370758</v>
      </c>
      <c r="R20" s="17" t="n">
        <f aca="false">(R17*Assumptions!$E$109)</f>
        <v>11.9413347331055</v>
      </c>
      <c r="S20" s="17" t="n">
        <f aca="false">(S17*Assumptions!$E$109)</f>
        <v>12.7520308196081</v>
      </c>
      <c r="T20" s="17" t="n">
        <f aca="false">(T17*Assumptions!$E$109)</f>
        <v>13.6182263128774</v>
      </c>
      <c r="U20" s="17" t="n">
        <f aca="false">(U17*Assumptions!$E$109)</f>
        <v>14.5437853665776</v>
      </c>
      <c r="V20" s="17" t="n">
        <f aca="false">(V17*Assumptions!$E$109)</f>
        <v>15.5328387534373</v>
      </c>
      <c r="W20" s="17" t="n">
        <f aca="false">(W17*Assumptions!$E$109)</f>
        <v>16.5898033684088</v>
      </c>
      <c r="X20" s="17" t="n">
        <f aca="false">(X17*Assumptions!$E$109)</f>
        <v>17.7194023120603</v>
      </c>
      <c r="Y20" s="17" t="n">
        <f aca="false">(Y17*Assumptions!$E$109)</f>
        <v>18.9266863517287</v>
      </c>
      <c r="Z20" s="17" t="n">
        <f aca="false">(Z17*Assumptions!$E$109)</f>
        <v>20.2170568722073</v>
      </c>
      <c r="AA20" s="17" t="n">
        <f aca="false">(AA17*Assumptions!$E$109)</f>
        <v>21.5962904211604</v>
      </c>
      <c r="AB20" s="17" t="n">
        <f aca="false">(AB17*Assumptions!$E$109)</f>
        <v>23.0703201137785</v>
      </c>
      <c r="AC20" s="17" t="n">
        <f aca="false">(AC17*Assumptions!$E$109)</f>
        <v>24.6459745725012</v>
      </c>
      <c r="AD20" s="17" t="n">
        <f aca="false">(AD17*Assumptions!$E$109)</f>
        <v>26.3303253204855</v>
      </c>
      <c r="AE20" s="17" t="n">
        <f aca="false">(AE17*Assumptions!$E$109)</f>
        <v>28.1309163761186</v>
      </c>
      <c r="AF20" s="17" t="n">
        <f aca="false">(AF17*Assumptions!$E$109)</f>
        <v>30.0558435113118</v>
      </c>
      <c r="AG20" s="17" t="n">
        <f aca="false">(AG17*Assumptions!$E$109)</f>
        <v>32.1137530418331</v>
      </c>
      <c r="AH20" s="17" t="n">
        <f aca="false">(AH17*Assumptions!$E$109)</f>
        <v>34.313892976556</v>
      </c>
      <c r="AI20" s="17" t="n">
        <f aca="false">(AI17*Assumptions!$E$109)</f>
        <v>36.6661553873801</v>
      </c>
      <c r="AJ20" s="17" t="n">
        <f aca="false">(AJ17*Assumptions!$E$109)</f>
        <v>39.1811214140422</v>
      </c>
      <c r="AK20" s="17" t="n">
        <f aca="false">(AK17*Assumptions!$E$109)</f>
        <v>41.8701094040762</v>
      </c>
      <c r="AL20" s="17" t="n">
        <f aca="false">(AL17*Assumptions!$E$109)</f>
        <v>44.7452264134671</v>
      </c>
    </row>
    <row r="21" customFormat="false" ht="15" hidden="false" customHeight="false" outlineLevel="0" collapsed="false">
      <c r="A21" s="6" t="s">
        <v>378</v>
      </c>
      <c r="B21" s="2" t="s">
        <v>379</v>
      </c>
      <c r="C21" s="17" t="n">
        <f aca="false">(C15*Assumptions!$E$33)</f>
        <v>2.94666666666667</v>
      </c>
      <c r="D21" s="17" t="n">
        <f aca="false">(D15*Assumptions!$E$33)</f>
        <v>3.18846666666667</v>
      </c>
      <c r="E21" s="17" t="n">
        <f aca="false">(E15*Assumptions!$E$33)</f>
        <v>3.40947794260904</v>
      </c>
      <c r="F21" s="17" t="n">
        <f aca="false">(F15*Assumptions!$E$33)</f>
        <v>3.80724230615855</v>
      </c>
      <c r="G21" s="17" t="n">
        <f aca="false">(G15*Assumptions!$E$33)</f>
        <v>4.0688136665972</v>
      </c>
      <c r="H21" s="17" t="n">
        <f aca="false">(H15*Assumptions!$E$33)</f>
        <v>4.34573461030723</v>
      </c>
      <c r="I21" s="17" t="n">
        <f aca="false">(I15*Assumptions!$E$33)</f>
        <v>4.64114153368946</v>
      </c>
      <c r="J21" s="17" t="n">
        <f aca="false">(J15*Assumptions!$E$33)</f>
        <v>4.95636886108326</v>
      </c>
      <c r="K21" s="17" t="n">
        <f aca="false">(K15*Assumptions!$E$33)</f>
        <v>5.29281532479162</v>
      </c>
      <c r="L21" s="17" t="n">
        <f aca="false">(L15*Assumptions!$E$33)</f>
        <v>5.65197396787108</v>
      </c>
      <c r="M21" s="17" t="n">
        <f aca="false">(M15*Assumptions!$E$33)</f>
        <v>6.03543926239069</v>
      </c>
      <c r="N21" s="17" t="n">
        <f aca="false">(N15*Assumptions!$E$33)</f>
        <v>6.44491438601025</v>
      </c>
      <c r="O21" s="17" t="n">
        <f aca="false">(O15*Assumptions!$E$33)</f>
        <v>6.88221898285878</v>
      </c>
      <c r="P21" s="17" t="n">
        <f aca="false">(P15*Assumptions!$E$33)</f>
        <v>7.34888586254424</v>
      </c>
      <c r="Q21" s="17" t="n">
        <f aca="false">(Q15*Assumptions!$E$33)</f>
        <v>7.84736465759704</v>
      </c>
      <c r="R21" s="17" t="n">
        <f aca="false">(R15*Assumptions!$E$33)</f>
        <v>8.37988402323195</v>
      </c>
      <c r="S21" s="17" t="n">
        <f aca="false">(S15*Assumptions!$E$33)</f>
        <v>8.94879355761974</v>
      </c>
      <c r="T21" s="17" t="n">
        <f aca="false">(T15*Assumptions!$E$33)</f>
        <v>9.55665004412446</v>
      </c>
      <c r="U21" s="17" t="n">
        <f aca="false">(U15*Assumptions!$E$33)</f>
        <v>10.2061651695281</v>
      </c>
      <c r="V21" s="17" t="n">
        <f aca="false">(V15*Assumptions!$E$33)</f>
        <v>10.9002377217104</v>
      </c>
      <c r="W21" s="17" t="n">
        <f aca="false">(W15*Assumptions!$E$33)</f>
        <v>11.6419672760763</v>
      </c>
      <c r="X21" s="17" t="n">
        <f aca="false">(X15*Assumptions!$E$33)</f>
        <v>12.4346682891651</v>
      </c>
      <c r="Y21" s="17" t="n">
        <f aca="false">(Y15*Assumptions!$E$33)</f>
        <v>13.2818851591079</v>
      </c>
      <c r="Z21" s="17" t="n">
        <f aca="false">(Z15*Assumptions!$E$33)</f>
        <v>14.1874083313735</v>
      </c>
      <c r="AA21" s="17" t="n">
        <f aca="false">(AA15*Assumptions!$E$33)</f>
        <v>15.1552915236213</v>
      </c>
      <c r="AB21" s="17" t="n">
        <f aca="false">(AB15*Assumptions!$E$33)</f>
        <v>16.1896983254586</v>
      </c>
      <c r="AC21" s="17" t="n">
        <f aca="false">(AC15*Assumptions!$E$33)</f>
        <v>17.2954207526324</v>
      </c>
      <c r="AD21" s="17" t="n">
        <f aca="false">(AD15*Assumptions!$E$33)</f>
        <v>18.4774212775337</v>
      </c>
      <c r="AE21" s="17" t="n">
        <f aca="false">(AE15*Assumptions!$E$33)</f>
        <v>19.7409939481534</v>
      </c>
      <c r="AF21" s="17" t="n">
        <f aca="false">(AF15*Assumptions!$E$33)</f>
        <v>21.0918200079381</v>
      </c>
      <c r="AG21" s="17" t="n">
        <f aca="false">(AG15*Assumptions!$E$33)</f>
        <v>22.5359670469004</v>
      </c>
      <c r="AH21" s="17" t="n">
        <f aca="false">(AH15*Assumptions!$E$33)</f>
        <v>24.0799248958288</v>
      </c>
      <c r="AI21" s="17" t="n">
        <f aca="false">(AI15*Assumptions!$E$33)</f>
        <v>25.730635359565</v>
      </c>
      <c r="AJ21" s="17" t="n">
        <f aca="false">(AJ15*Assumptions!$E$33)</f>
        <v>27.4955237993278</v>
      </c>
      <c r="AK21" s="17" t="n">
        <f aca="false">(AK15*Assumptions!$E$33)</f>
        <v>29.3825329151412</v>
      </c>
      <c r="AL21" s="17" t="n">
        <f aca="false">(AL15*Assumptions!$E$33)</f>
        <v>31.4001588866436</v>
      </c>
    </row>
    <row r="23" customFormat="false" ht="15" hidden="false" customHeight="false" outlineLevel="0" collapsed="false">
      <c r="A23" s="4" t="s">
        <v>380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customFormat="false" ht="15" hidden="false" customHeight="false" outlineLevel="0" collapsed="false">
      <c r="A24" s="6" t="s">
        <v>381</v>
      </c>
      <c r="B24" s="2" t="s">
        <v>382</v>
      </c>
      <c r="C24" s="17" t="n">
        <f aca="false">((0*(1-Assumptions!$E$110))+C18)</f>
        <v>9.79766666666667</v>
      </c>
      <c r="D24" s="17" t="n">
        <f aca="false">((C24*(1-Assumptions!$E$110))+D18)</f>
        <v>19.0543117274977</v>
      </c>
      <c r="E24" s="17" t="n">
        <f aca="false">((D24*(1-Assumptions!$E$110))+E18)</f>
        <v>27.7750831782248</v>
      </c>
      <c r="F24" s="17" t="n">
        <f aca="false">((E24*(1-Assumptions!$E$110))+F18)</f>
        <v>36.6212488304825</v>
      </c>
      <c r="G24" s="17" t="n">
        <f aca="false">((F24*(1-Assumptions!$E$110))+G18)</f>
        <v>45.1227530514625</v>
      </c>
      <c r="H24" s="17" t="n">
        <f aca="false">((G24*(1-Assumptions!$E$110))+H18)</f>
        <v>53.3779477261947</v>
      </c>
      <c r="I24" s="17" t="n">
        <f aca="false">((H24*(1-Assumptions!$E$110))+I18)</f>
        <v>61.48211168236</v>
      </c>
      <c r="J24" s="17" t="n">
        <f aca="false">((I24*(1-Assumptions!$E$110))+J18)</f>
        <v>69.5218809971441</v>
      </c>
      <c r="K24" s="17" t="n">
        <f aca="false">((J24*(1-Assumptions!$E$110))+K18)</f>
        <v>77.5766492829427</v>
      </c>
      <c r="L24" s="17" t="n">
        <f aca="false">((K24*(1-Assumptions!$E$110))+L18)</f>
        <v>85.7198755035622</v>
      </c>
      <c r="M24" s="17" t="n">
        <f aca="false">((L24*(1-Assumptions!$E$110))+M18)</f>
        <v>94.0202359239025</v>
      </c>
      <c r="N24" s="17" t="n">
        <f aca="false">((M24*(1-Assumptions!$E$110))+N18)</f>
        <v>102.542642116617</v>
      </c>
      <c r="O24" s="17" t="n">
        <f aca="false">((N24*(1-Assumptions!$E$110))+O18)</f>
        <v>111.349145023515</v>
      </c>
      <c r="P24" s="17" t="n">
        <f aca="false">((O24*(1-Assumptions!$E$110))+P18)</f>
        <v>120.498373933195</v>
      </c>
      <c r="Q24" s="17" t="n">
        <f aca="false">((P24*(1-Assumptions!$E$110))+Q18)</f>
        <v>130.049054635851</v>
      </c>
      <c r="R24" s="17" t="n">
        <f aca="false">((Q24*(1-Assumptions!$E$110))+R18)</f>
        <v>140.059261426131</v>
      </c>
      <c r="S24" s="17" t="n">
        <f aca="false">((R24*(1-Assumptions!$E$110))+S18)</f>
        <v>150.586908674633</v>
      </c>
      <c r="T24" s="17" t="n">
        <f aca="false">((S24*(1-Assumptions!$E$110))+T18)</f>
        <v>161.690461672774</v>
      </c>
      <c r="U24" s="17" t="n">
        <f aca="false">((T24*(1-Assumptions!$E$110))+U18)</f>
        <v>173.429376057198</v>
      </c>
      <c r="V24" s="17" t="n">
        <f aca="false">((U24*(1-Assumptions!$E$110))+V18)</f>
        <v>185.864583968067</v>
      </c>
      <c r="W24" s="17" t="n">
        <f aca="false">((V24*(1-Assumptions!$E$110))+W18)</f>
        <v>199.058958975744</v>
      </c>
      <c r="X24" s="17" t="n">
        <f aca="false">((W24*(1-Assumptions!$E$110))+X18)</f>
        <v>213.077764044415</v>
      </c>
      <c r="Y24" s="17" t="n">
        <f aca="false">((X24*(1-Assumptions!$E$110))+Y18)</f>
        <v>227.989088076062</v>
      </c>
      <c r="Z24" s="17" t="n">
        <f aca="false">((Y24*(1-Assumptions!$E$110))+Z18)</f>
        <v>243.864276078044</v>
      </c>
      <c r="AA24" s="17" t="n">
        <f aca="false">((Z24*(1-Assumptions!$E$110))+AA18)</f>
        <v>260.778357550656</v>
      </c>
      <c r="AB24" s="17" t="n">
        <f aca="false">((AA24*(1-Assumptions!$E$110))+AB18)</f>
        <v>278.80990601059</v>
      </c>
      <c r="AC24" s="17" t="n">
        <f aca="false">((AB24*(1-Assumptions!$E$110))+AC18)</f>
        <v>298.042641991455</v>
      </c>
      <c r="AD24" s="17" t="n">
        <f aca="false">((AC24*(1-Assumptions!$E$110))+AD18)</f>
        <v>318.565293238603</v>
      </c>
      <c r="AE24" s="17" t="n">
        <f aca="false">((AD24*(1-Assumptions!$E$110))+AE18)</f>
        <v>340.472009816696</v>
      </c>
      <c r="AF24" s="17" t="n">
        <f aca="false">((AE24*(1-Assumptions!$E$110))+AF18)</f>
        <v>363.862907168055</v>
      </c>
      <c r="AG24" s="17" t="n">
        <f aca="false">((AF24*(1-Assumptions!$E$110))+AG18)</f>
        <v>388.844531798338</v>
      </c>
      <c r="AH24" s="17" t="n">
        <f aca="false">((AG24*(1-Assumptions!$E$110))+AH18)</f>
        <v>415.530382381955</v>
      </c>
      <c r="AI24" s="17" t="n">
        <f aca="false">((AH24*(1-Assumptions!$E$110))+AI18)</f>
        <v>444.041458194183</v>
      </c>
      <c r="AJ24" s="17" t="n">
        <f aca="false">((AI24*(1-Assumptions!$E$110))+AJ18)</f>
        <v>474.506837266704</v>
      </c>
      <c r="AK24" s="17" t="n">
        <f aca="false">((AJ24*(1-Assumptions!$E$110))+AK18)</f>
        <v>507.064287501532</v>
      </c>
      <c r="AL24" s="17" t="n">
        <f aca="false">((AK24*(1-Assumptions!$E$110))+AL18)</f>
        <v>541.860914060475</v>
      </c>
    </row>
    <row r="25" customFormat="false" ht="15" hidden="false" customHeight="false" outlineLevel="0" collapsed="false">
      <c r="A25" s="6" t="s">
        <v>383</v>
      </c>
      <c r="B25" s="2" t="s">
        <v>384</v>
      </c>
      <c r="C25" s="17" t="n">
        <f aca="false">(C19+0)</f>
        <v>13.9966666666667</v>
      </c>
      <c r="D25" s="17" t="n">
        <f aca="false">(D19+0)</f>
        <v>15.1452166666667</v>
      </c>
      <c r="E25" s="17" t="n">
        <f aca="false">(E19+0)</f>
        <v>16.1950202273929</v>
      </c>
      <c r="F25" s="17" t="n">
        <f aca="false">(F19+0)</f>
        <v>18.0844009542531</v>
      </c>
      <c r="G25" s="17" t="n">
        <f aca="false">(G19+0)</f>
        <v>19.3268649163367</v>
      </c>
      <c r="H25" s="17" t="n">
        <f aca="false">(H19+0)</f>
        <v>20.6422393989593</v>
      </c>
      <c r="I25" s="17" t="n">
        <f aca="false">(I19+0)</f>
        <v>22.0454222850249</v>
      </c>
      <c r="J25" s="17" t="n">
        <f aca="false">(J19+0)</f>
        <v>23.5427520901455</v>
      </c>
      <c r="K25" s="17" t="n">
        <f aca="false">(K19+0)</f>
        <v>25.1408727927602</v>
      </c>
      <c r="L25" s="17" t="n">
        <f aca="false">(L19+0)</f>
        <v>26.8468763473876</v>
      </c>
      <c r="M25" s="17" t="n">
        <f aca="false">(M19+0)</f>
        <v>28.6683364963558</v>
      </c>
      <c r="N25" s="17" t="n">
        <f aca="false">(N19+0)</f>
        <v>30.6133433335487</v>
      </c>
      <c r="O25" s="17" t="n">
        <f aca="false">(O19+(Assumptions!$E$43*C25))</f>
        <v>38.8630701685792</v>
      </c>
      <c r="P25" s="17" t="n">
        <f aca="false">(P19+(Assumptions!$E$43*D25))</f>
        <v>41.5862483970852</v>
      </c>
      <c r="Q25" s="17" t="n">
        <f aca="false">(Q19+(Assumptions!$E$43*E25))</f>
        <v>44.4169860438662</v>
      </c>
      <c r="R25" s="17" t="n">
        <f aca="false">(R19+(Assumptions!$E$43*F25))</f>
        <v>47.7796699311774</v>
      </c>
      <c r="S25" s="17" t="n">
        <f aca="false">(S19+(Assumptions!$E$43*G25))</f>
        <v>51.0299168267982</v>
      </c>
      <c r="T25" s="17" t="n">
        <f aca="false">(T19+(Assumptions!$E$43*H25))</f>
        <v>54.4973152845323</v>
      </c>
      <c r="U25" s="17" t="n">
        <f aca="false">(U19+(Assumptions!$E$43*I25))</f>
        <v>58.2013157829545</v>
      </c>
      <c r="V25" s="17" t="n">
        <f aca="false">(V19+(Assumptions!$E$43*J25))</f>
        <v>62.1584828498783</v>
      </c>
      <c r="W25" s="17" t="n">
        <f aca="false">(W19+(Assumptions!$E$43*K25))</f>
        <v>66.3864694629698</v>
      </c>
      <c r="X25" s="17" t="n">
        <f aca="false">(X19+(Assumptions!$E$43*L25))</f>
        <v>70.9041468427322</v>
      </c>
      <c r="Y25" s="17" t="n">
        <f aca="false">(Y19+(Assumptions!$E$43*M25))</f>
        <v>75.7316909006553</v>
      </c>
      <c r="Z25" s="17" t="n">
        <f aca="false">(Z19+(Assumptions!$E$43*N25))</f>
        <v>80.8906739841192</v>
      </c>
      <c r="AA25" s="17" t="n">
        <f aca="false">(AA19+(Assumptions!$E$43*O25))</f>
        <v>89.1262486815447</v>
      </c>
      <c r="AB25" s="17" t="n">
        <f aca="false">(AB19+(Assumptions!$E$43*P25))</f>
        <v>95.240602589043</v>
      </c>
      <c r="AC25" s="17" t="n">
        <f aca="false">(AC19+(Assumptions!$E$43*Q25))</f>
        <v>101.741139420349</v>
      </c>
      <c r="AD25" s="17" t="n">
        <f aca="false">(AD19+(Assumptions!$E$43*R25))</f>
        <v>108.838585507934</v>
      </c>
      <c r="AE25" s="17" t="n">
        <f aca="false">(AE19+(Assumptions!$E$43*S25))</f>
        <v>116.273914574347</v>
      </c>
      <c r="AF25" s="17" t="n">
        <f aca="false">(AF19+(Assumptions!$E$43*T25))</f>
        <v>124.219461078185</v>
      </c>
      <c r="AG25" s="17" t="n">
        <f aca="false">(AG19+(Assumptions!$E$43*U25))</f>
        <v>132.71262373306</v>
      </c>
      <c r="AH25" s="17" t="n">
        <f aca="false">(AH19+(Assumptions!$E$43*V25))</f>
        <v>141.791534191983</v>
      </c>
      <c r="AI25" s="17" t="n">
        <f aca="false">(AI19+(Assumptions!$E$43*W25))</f>
        <v>151.496950991103</v>
      </c>
      <c r="AJ25" s="17" t="n">
        <f aca="false">(AJ19+(Assumptions!$E$43*X25))</f>
        <v>161.872466804452</v>
      </c>
      <c r="AK25" s="17" t="n">
        <f aca="false">(AK19+(Assumptions!$E$43*Y25))</f>
        <v>172.96470703411</v>
      </c>
      <c r="AL25" s="17" t="n">
        <f aca="false">(AL19+(Assumptions!$E$43*Z25))</f>
        <v>184.823541938553</v>
      </c>
    </row>
    <row r="26" customFormat="false" ht="15" hidden="false" customHeight="false" outlineLevel="0" collapsed="false">
      <c r="A26" s="6" t="s">
        <v>385</v>
      </c>
      <c r="B26" s="2" t="s">
        <v>386</v>
      </c>
      <c r="C26" s="17" t="n">
        <f aca="false">SUM(C25:C25)</f>
        <v>13.9966666666667</v>
      </c>
      <c r="D26" s="17" t="n">
        <f aca="false">SUM(C25:D25)</f>
        <v>29.1418833333333</v>
      </c>
      <c r="E26" s="17" t="n">
        <f aca="false">SUM(C25:E25)</f>
        <v>45.3369035607263</v>
      </c>
      <c r="F26" s="17" t="n">
        <f aca="false">SUM(C25:F25)</f>
        <v>63.4213045149794</v>
      </c>
      <c r="G26" s="17" t="n">
        <f aca="false">SUM(C25:G25)</f>
        <v>82.7481694313161</v>
      </c>
      <c r="H26" s="17" t="n">
        <f aca="false">SUM(C25:H25)</f>
        <v>103.390408830275</v>
      </c>
      <c r="I26" s="17" t="n">
        <f aca="false">SUM(C25:I25)</f>
        <v>125.4358311153</v>
      </c>
      <c r="J26" s="17" t="n">
        <f aca="false">SUM(C25:J25)</f>
        <v>148.978583205446</v>
      </c>
      <c r="K26" s="17" t="n">
        <f aca="false">SUM(C25:K25)</f>
        <v>174.119455998206</v>
      </c>
      <c r="L26" s="17" t="n">
        <f aca="false">SUM(C25:L25)</f>
        <v>200.966332345594</v>
      </c>
      <c r="M26" s="17" t="n">
        <f aca="false">SUM(C25:M25)</f>
        <v>229.634668841949</v>
      </c>
      <c r="N26" s="17" t="n">
        <f aca="false">SUM(C25:N25)</f>
        <v>260.248012175498</v>
      </c>
      <c r="O26" s="17" t="n">
        <f aca="false">SUM(D25:O25)</f>
        <v>285.114415677411</v>
      </c>
      <c r="P26" s="17" t="n">
        <f aca="false">SUM(E25:P25)</f>
        <v>311.555447407829</v>
      </c>
      <c r="Q26" s="17" t="n">
        <f aca="false">SUM(F25:Q25)</f>
        <v>339.777413224302</v>
      </c>
      <c r="R26" s="17" t="n">
        <f aca="false">SUM(G25:R25)</f>
        <v>369.472682201227</v>
      </c>
      <c r="S26" s="17" t="n">
        <f aca="false">SUM(H25:S25)</f>
        <v>401.175734111688</v>
      </c>
      <c r="T26" s="17" t="n">
        <f aca="false">SUM(I25:T25)</f>
        <v>435.030809997261</v>
      </c>
      <c r="U26" s="17" t="n">
        <f aca="false">SUM(J25:U25)</f>
        <v>471.186703495191</v>
      </c>
      <c r="V26" s="17" t="n">
        <f aca="false">SUM(K25:V25)</f>
        <v>509.802434254924</v>
      </c>
      <c r="W26" s="17" t="n">
        <f aca="false">SUM(L25:W25)</f>
        <v>551.048030925133</v>
      </c>
      <c r="X26" s="17" t="n">
        <f aca="false">SUM(M25:X25)</f>
        <v>595.105301420478</v>
      </c>
      <c r="Y26" s="17" t="n">
        <f aca="false">SUM(N25:Y25)</f>
        <v>642.168655824777</v>
      </c>
      <c r="Z26" s="17" t="n">
        <f aca="false">SUM(O25:Z25)</f>
        <v>692.445986475348</v>
      </c>
      <c r="AA26" s="17" t="n">
        <f aca="false">SUM(P25:AA25)</f>
        <v>742.709164988313</v>
      </c>
      <c r="AB26" s="17" t="n">
        <f aca="false">SUM(Q25:AB25)</f>
        <v>796.363519180271</v>
      </c>
      <c r="AC26" s="17" t="n">
        <f aca="false">SUM(R25:AC25)</f>
        <v>853.687672556754</v>
      </c>
      <c r="AD26" s="17" t="n">
        <f aca="false">SUM(S25:AD25)</f>
        <v>914.746588133511</v>
      </c>
      <c r="AE26" s="17" t="n">
        <f aca="false">SUM(T25:AE25)</f>
        <v>979.990585881059</v>
      </c>
      <c r="AF26" s="17" t="n">
        <f aca="false">SUM(U25:AF25)</f>
        <v>1049.71273167471</v>
      </c>
      <c r="AG26" s="17" t="n">
        <f aca="false">SUM(V25:AG25)</f>
        <v>1124.22403962482</v>
      </c>
      <c r="AH26" s="17" t="n">
        <f aca="false">SUM(W25:AH25)</f>
        <v>1203.85709096692</v>
      </c>
      <c r="AI26" s="17" t="n">
        <f aca="false">SUM(X25:AI25)</f>
        <v>1288.96757249506</v>
      </c>
      <c r="AJ26" s="17" t="n">
        <f aca="false">SUM(Y25:AJ25)</f>
        <v>1379.93589245678</v>
      </c>
      <c r="AK26" s="17" t="n">
        <f aca="false">SUM(Z25:AK25)</f>
        <v>1477.16890859023</v>
      </c>
      <c r="AL26" s="17" t="n">
        <f aca="false">SUM(AA25:AL25)</f>
        <v>1581.10177654466</v>
      </c>
    </row>
    <row r="27" customFormat="false" ht="15" hidden="false" customHeight="false" outlineLevel="0" collapsed="false">
      <c r="A27" s="6" t="s">
        <v>387</v>
      </c>
      <c r="B27" s="2" t="s">
        <v>388</v>
      </c>
      <c r="C27" s="17" t="n">
        <f aca="false">(C20+0)</f>
        <v>4.199</v>
      </c>
      <c r="D27" s="17" t="n">
        <f aca="false">(D20+0)</f>
        <v>4.543565</v>
      </c>
      <c r="E27" s="17" t="n">
        <f aca="false">(E20+0)</f>
        <v>4.85850606821788</v>
      </c>
      <c r="F27" s="17" t="n">
        <f aca="false">(F20+0)</f>
        <v>5.42532028627593</v>
      </c>
      <c r="G27" s="17" t="n">
        <f aca="false">(G20+0)</f>
        <v>5.79805947490101</v>
      </c>
      <c r="H27" s="17" t="n">
        <f aca="false">(H20+0)</f>
        <v>6.1926718196878</v>
      </c>
      <c r="I27" s="17" t="n">
        <f aca="false">(I20+0)</f>
        <v>6.61362668550748</v>
      </c>
      <c r="J27" s="17" t="n">
        <f aca="false">(J20+0)</f>
        <v>7.06282562704364</v>
      </c>
      <c r="K27" s="17" t="n">
        <f aca="false">(K20+0)</f>
        <v>7.54226183782806</v>
      </c>
      <c r="L27" s="17" t="n">
        <f aca="false">(L20+0)</f>
        <v>8.05406290421628</v>
      </c>
      <c r="M27" s="17" t="n">
        <f aca="false">(M20+0)</f>
        <v>8.60050094890674</v>
      </c>
      <c r="N27" s="17" t="n">
        <f aca="false">(N20+0)</f>
        <v>9.18400300006462</v>
      </c>
      <c r="O27" s="17" t="n">
        <f aca="false">(O20+(Assumptions!$E$44*C27))</f>
        <v>11.2768120505738</v>
      </c>
      <c r="P27" s="17" t="n">
        <f aca="false">(P20+(Assumptions!$E$44*D27))</f>
        <v>12.0624101041255</v>
      </c>
      <c r="Q27" s="17" t="n">
        <f aca="false">(Q20+(Assumptions!$E$44*E27))</f>
        <v>12.882971760952</v>
      </c>
      <c r="R27" s="17" t="n">
        <f aca="false">(R20+(Assumptions!$E$44*F27))</f>
        <v>13.8401968333021</v>
      </c>
      <c r="S27" s="17" t="n">
        <f aca="false">(S20+(Assumptions!$E$44*G27))</f>
        <v>14.7813516358235</v>
      </c>
      <c r="T27" s="17" t="n">
        <f aca="false">(T20+(Assumptions!$E$44*H27))</f>
        <v>15.7856614497681</v>
      </c>
      <c r="U27" s="17" t="n">
        <f aca="false">(U20+(Assumptions!$E$44*I27))</f>
        <v>16.8585547065052</v>
      </c>
      <c r="V27" s="17" t="n">
        <f aca="false">(V20+(Assumptions!$E$44*J27))</f>
        <v>18.0048277229025</v>
      </c>
      <c r="W27" s="17" t="n">
        <f aca="false">(W20+(Assumptions!$E$44*K27))</f>
        <v>19.2295950116486</v>
      </c>
      <c r="X27" s="17" t="n">
        <f aca="false">(X20+(Assumptions!$E$44*L27))</f>
        <v>20.538324328536</v>
      </c>
      <c r="Y27" s="17" t="n">
        <f aca="false">(Y20+(Assumptions!$E$44*M27))</f>
        <v>21.9368616838461</v>
      </c>
      <c r="Z27" s="17" t="n">
        <f aca="false">(Z20+(Assumptions!$E$44*N27))</f>
        <v>23.4314579222299</v>
      </c>
      <c r="AA27" s="17" t="n">
        <f aca="false">(AA20+(Assumptions!$E$44*O27))</f>
        <v>25.5431746388612</v>
      </c>
      <c r="AB27" s="17" t="n">
        <f aca="false">(AB20+(Assumptions!$E$44*P27))</f>
        <v>27.2921636502225</v>
      </c>
      <c r="AC27" s="17" t="n">
        <f aca="false">(AC20+(Assumptions!$E$44*Q27))</f>
        <v>29.1550146888345</v>
      </c>
      <c r="AD27" s="17" t="n">
        <f aca="false">(AD20+(Assumptions!$E$44*R27))</f>
        <v>31.1743942121413</v>
      </c>
      <c r="AE27" s="17" t="n">
        <f aca="false">(AE20+(Assumptions!$E$44*S27))</f>
        <v>33.3043894486568</v>
      </c>
      <c r="AF27" s="17" t="n">
        <f aca="false">(AF20+(Assumptions!$E$44*T27))</f>
        <v>35.5808250187307</v>
      </c>
      <c r="AG27" s="17" t="n">
        <f aca="false">(AG20+(Assumptions!$E$44*U27))</f>
        <v>38.0142471891099</v>
      </c>
      <c r="AH27" s="17" t="n">
        <f aca="false">(AH20+(Assumptions!$E$44*V27))</f>
        <v>40.6155826795719</v>
      </c>
      <c r="AI27" s="17" t="n">
        <f aca="false">(AI20+(Assumptions!$E$44*W27))</f>
        <v>43.3965136414571</v>
      </c>
      <c r="AJ27" s="17" t="n">
        <f aca="false">(AJ20+(Assumptions!$E$44*X27))</f>
        <v>46.3695349290298</v>
      </c>
      <c r="AK27" s="17" t="n">
        <f aca="false">(AK20+(Assumptions!$E$44*Y27))</f>
        <v>49.5480109934223</v>
      </c>
      <c r="AL27" s="17" t="n">
        <f aca="false">(AL20+(Assumptions!$E$44*Z27))</f>
        <v>52.9462366862475</v>
      </c>
    </row>
    <row r="28" customFormat="false" ht="15" hidden="false" customHeight="false" outlineLevel="0" collapsed="false">
      <c r="A28" s="6" t="s">
        <v>389</v>
      </c>
      <c r="B28" s="2" t="s">
        <v>390</v>
      </c>
      <c r="C28" s="17" t="n">
        <f aca="false">SUM(C27:C27)</f>
        <v>4.199</v>
      </c>
      <c r="D28" s="17" t="n">
        <f aca="false">SUM(C27:D27)</f>
        <v>8.742565</v>
      </c>
      <c r="E28" s="17" t="n">
        <f aca="false">SUM(C27:E27)</f>
        <v>13.6010710682179</v>
      </c>
      <c r="F28" s="17" t="n">
        <f aca="false">SUM(C27:F27)</f>
        <v>19.0263913544938</v>
      </c>
      <c r="G28" s="17" t="n">
        <f aca="false">SUM(C27:G27)</f>
        <v>24.8244508293948</v>
      </c>
      <c r="H28" s="17" t="n">
        <f aca="false">SUM(C27:H27)</f>
        <v>31.0171226490826</v>
      </c>
      <c r="I28" s="17" t="n">
        <f aca="false">SUM(C27:I27)</f>
        <v>37.6307493345901</v>
      </c>
      <c r="J28" s="17" t="n">
        <f aca="false">SUM(C27:J27)</f>
        <v>44.6935749616337</v>
      </c>
      <c r="K28" s="17" t="n">
        <f aca="false">SUM(C27:K27)</f>
        <v>52.2358367994618</v>
      </c>
      <c r="L28" s="17" t="n">
        <f aca="false">SUM(C27:L27)</f>
        <v>60.2898997036781</v>
      </c>
      <c r="M28" s="17" t="n">
        <f aca="false">SUM(C27:M27)</f>
        <v>68.8904006525848</v>
      </c>
      <c r="N28" s="17" t="n">
        <f aca="false">SUM(C27:N27)</f>
        <v>78.0744036526494</v>
      </c>
      <c r="O28" s="17" t="n">
        <f aca="false">SUM(D27:O27)</f>
        <v>85.1522157032232</v>
      </c>
      <c r="P28" s="17" t="n">
        <f aca="false">SUM(E27:P27)</f>
        <v>92.6710608073488</v>
      </c>
      <c r="Q28" s="17" t="n">
        <f aca="false">SUM(F27:Q27)</f>
        <v>100.695526500083</v>
      </c>
      <c r="R28" s="17" t="n">
        <f aca="false">SUM(G27:R27)</f>
        <v>109.110403047109</v>
      </c>
      <c r="S28" s="17" t="n">
        <f aca="false">SUM(H27:S27)</f>
        <v>118.093695208032</v>
      </c>
      <c r="T28" s="17" t="n">
        <f aca="false">SUM(I27:T27)</f>
        <v>127.686684838112</v>
      </c>
      <c r="U28" s="17" t="n">
        <f aca="false">SUM(J27:U27)</f>
        <v>137.93161285911</v>
      </c>
      <c r="V28" s="17" t="n">
        <f aca="false">SUM(K27:V27)</f>
        <v>148.873614954968</v>
      </c>
      <c r="W28" s="17" t="n">
        <f aca="false">SUM(L27:W27)</f>
        <v>160.560948128789</v>
      </c>
      <c r="X28" s="17" t="n">
        <f aca="false">SUM(M27:X27)</f>
        <v>173.045209553109</v>
      </c>
      <c r="Y28" s="17" t="n">
        <f aca="false">SUM(N27:Y27)</f>
        <v>186.381570288048</v>
      </c>
      <c r="Z28" s="17" t="n">
        <f aca="false">SUM(O27:Z27)</f>
        <v>200.629025210213</v>
      </c>
      <c r="AA28" s="17" t="n">
        <f aca="false">SUM(P27:AA27)</f>
        <v>214.895387798501</v>
      </c>
      <c r="AB28" s="17" t="n">
        <f aca="false">SUM(Q27:AB27)</f>
        <v>230.125141344598</v>
      </c>
      <c r="AC28" s="17" t="n">
        <f aca="false">SUM(R27:AC27)</f>
        <v>246.39718427248</v>
      </c>
      <c r="AD28" s="17" t="n">
        <f aca="false">SUM(S27:AD27)</f>
        <v>263.731381651319</v>
      </c>
      <c r="AE28" s="17" t="n">
        <f aca="false">SUM(T27:AE27)</f>
        <v>282.254419464153</v>
      </c>
      <c r="AF28" s="17" t="n">
        <f aca="false">SUM(U27:AF27)</f>
        <v>302.049583033115</v>
      </c>
      <c r="AG28" s="17" t="n">
        <f aca="false">SUM(V27:AG27)</f>
        <v>323.20527551572</v>
      </c>
      <c r="AH28" s="17" t="n">
        <f aca="false">SUM(W27:AH27)</f>
        <v>345.816030472389</v>
      </c>
      <c r="AI28" s="17" t="n">
        <f aca="false">SUM(X27:AI27)</f>
        <v>369.982949102198</v>
      </c>
      <c r="AJ28" s="17" t="n">
        <f aca="false">SUM(Y27:AJ27)</f>
        <v>395.814159702692</v>
      </c>
      <c r="AK28" s="17" t="n">
        <f aca="false">SUM(Z27:AK27)</f>
        <v>423.425309012268</v>
      </c>
      <c r="AL28" s="17" t="n">
        <f aca="false">SUM(AA27:AL27)</f>
        <v>452.940087776285</v>
      </c>
    </row>
    <row r="29" customFormat="false" ht="15" hidden="false" customHeight="false" outlineLevel="0" collapsed="false">
      <c r="A29" s="21" t="s">
        <v>391</v>
      </c>
      <c r="B29" s="2" t="s">
        <v>392</v>
      </c>
      <c r="C29" s="22" t="n">
        <f aca="false">((C24+C26)+C28)</f>
        <v>27.9933333333333</v>
      </c>
      <c r="D29" s="22" t="n">
        <f aca="false">((D24+D26)+D28)</f>
        <v>56.938760060831</v>
      </c>
      <c r="E29" s="22" t="n">
        <f aca="false">((E24+E26)+E28)</f>
        <v>86.713057807169</v>
      </c>
      <c r="F29" s="22" t="n">
        <f aca="false">((F24+F26)+F28)</f>
        <v>119.068944699956</v>
      </c>
      <c r="G29" s="22" t="n">
        <f aca="false">((G24+G26)+G28)</f>
        <v>152.695373312173</v>
      </c>
      <c r="H29" s="22" t="n">
        <f aca="false">((H24+H26)+H28)</f>
        <v>187.785479205553</v>
      </c>
      <c r="I29" s="22" t="n">
        <f aca="false">((I24+I26)+I28)</f>
        <v>224.54869213225</v>
      </c>
      <c r="J29" s="22" t="n">
        <f aca="false">((J24+J26)+J28)</f>
        <v>263.194039164224</v>
      </c>
      <c r="K29" s="22" t="n">
        <f aca="false">((K24+K26)+K28)</f>
        <v>303.931942080611</v>
      </c>
      <c r="L29" s="22" t="n">
        <f aca="false">((L24+L26)+L28)</f>
        <v>346.976107552834</v>
      </c>
      <c r="M29" s="22" t="n">
        <f aca="false">((M24+M26)+M28)</f>
        <v>392.545305418437</v>
      </c>
      <c r="N29" s="22" t="n">
        <f aca="false">((N24+N26)+N28)</f>
        <v>440.865057944765</v>
      </c>
      <c r="O29" s="22" t="n">
        <f aca="false">((O24+O26)+O28)</f>
        <v>481.615776404149</v>
      </c>
      <c r="P29" s="22" t="n">
        <f aca="false">((P24+P26)+P28)</f>
        <v>524.724882148373</v>
      </c>
      <c r="Q29" s="22" t="n">
        <f aca="false">((Q24+Q26)+Q28)</f>
        <v>570.521994360237</v>
      </c>
      <c r="R29" s="22" t="n">
        <f aca="false">((R24+R26)+R28)</f>
        <v>618.642346674467</v>
      </c>
      <c r="S29" s="22" t="n">
        <f aca="false">((S24+S26)+S28)</f>
        <v>669.856337994353</v>
      </c>
      <c r="T29" s="22" t="n">
        <f aca="false">((T24+T26)+T28)</f>
        <v>724.407956508147</v>
      </c>
      <c r="U29" s="22" t="n">
        <f aca="false">((U24+U26)+U28)</f>
        <v>782.547692411499</v>
      </c>
      <c r="V29" s="22" t="n">
        <f aca="false">((V24+V26)+V28)</f>
        <v>844.540633177959</v>
      </c>
      <c r="W29" s="22" t="n">
        <f aca="false">((W24+W26)+W28)</f>
        <v>910.667938029666</v>
      </c>
      <c r="X29" s="22" t="n">
        <f aca="false">((X24+X26)+X28)</f>
        <v>981.228275018002</v>
      </c>
      <c r="Y29" s="22" t="n">
        <f aca="false">((Y24+Y26)+Y28)</f>
        <v>1056.53931418889</v>
      </c>
      <c r="Z29" s="22" t="n">
        <f aca="false">((Z24+Z26)+Z28)</f>
        <v>1136.9392877636</v>
      </c>
      <c r="AA29" s="22" t="n">
        <f aca="false">((AA24+AA26)+AA28)</f>
        <v>1218.38291033747</v>
      </c>
      <c r="AB29" s="22" t="n">
        <f aca="false">((AB24+AB26)+AB28)</f>
        <v>1305.29856653546</v>
      </c>
      <c r="AC29" s="22" t="n">
        <f aca="false">((AC24+AC26)+AC28)</f>
        <v>1398.12749882069</v>
      </c>
      <c r="AD29" s="22" t="n">
        <f aca="false">((AD24+AD26)+AD28)</f>
        <v>1497.04326302343</v>
      </c>
      <c r="AE29" s="22" t="n">
        <f aca="false">((AE24+AE26)+AE28)</f>
        <v>1602.71701516191</v>
      </c>
      <c r="AF29" s="22" t="n">
        <f aca="false">((AF24+AF26)+AF28)</f>
        <v>1715.62522187588</v>
      </c>
      <c r="AG29" s="22" t="n">
        <f aca="false">((AG24+AG26)+AG28)</f>
        <v>1836.27384693888</v>
      </c>
      <c r="AH29" s="22" t="n">
        <f aca="false">((AH24+AH26)+AH28)</f>
        <v>1965.20350382127</v>
      </c>
      <c r="AI29" s="22" t="n">
        <f aca="false">((AI24+AI26)+AI28)</f>
        <v>2102.99197979144</v>
      </c>
      <c r="AJ29" s="22" t="n">
        <f aca="false">((AJ24+AJ26)+AJ28)</f>
        <v>2250.25688942617</v>
      </c>
      <c r="AK29" s="22" t="n">
        <f aca="false">((AK24+AK26)+AK28)</f>
        <v>2407.65850510403</v>
      </c>
      <c r="AL29" s="22" t="n">
        <f aca="false">((AL24+AL26)+AL28)</f>
        <v>2575.90277838142</v>
      </c>
    </row>
    <row r="30" customFormat="false" ht="15" hidden="false" customHeight="false" outlineLevel="0" collapsed="false">
      <c r="A30" s="6" t="s">
        <v>393</v>
      </c>
      <c r="B30" s="2" t="s">
        <v>394</v>
      </c>
      <c r="C30" s="14" t="n">
        <f aca="false">((((C24*Assumptions!$E$35)+(C25*Assumptions!$E$36))+(C27*Assumptions!$E$37))+(C21*Assumptions!$E$38))</f>
        <v>1559.16973333333</v>
      </c>
      <c r="D30" s="14" t="n">
        <f aca="false">((((D24*Assumptions!$E$35)+(D25*Assumptions!$E$36))+(D27*Assumptions!$E$37))+(D21*Assumptions!$E$38))</f>
        <v>1796.91342152353</v>
      </c>
      <c r="E30" s="14" t="n">
        <f aca="false">((((E24*Assumptions!$E$35)+(E25*Assumptions!$E$36))+(E27*Assumptions!$E$37))+(E21*Assumptions!$E$38))</f>
        <v>2017.59407533018</v>
      </c>
      <c r="F30" s="14" t="n">
        <f aca="false">((((F24*Assumptions!$E$35)+(F25*Assumptions!$E$36))+(F27*Assumptions!$E$37))+(F21*Assumptions!$E$38))</f>
        <v>2325.79468588862</v>
      </c>
      <c r="G30" s="14" t="n">
        <f aca="false">((((G24*Assumptions!$E$35)+(G25*Assumptions!$E$36))+(G27*Assumptions!$E$37))+(G21*Assumptions!$E$38))</f>
        <v>2563.33675486083</v>
      </c>
      <c r="H30" s="14" t="n">
        <f aca="false">((((H24*Assumptions!$E$35)+(H25*Assumptions!$E$36))+(H27*Assumptions!$E$37))+(H21*Assumptions!$E$38))</f>
        <v>2805.13821246039</v>
      </c>
      <c r="I30" s="14" t="n">
        <f aca="false">((((I24*Assumptions!$E$35)+(I25*Assumptions!$E$36))+(I27*Assumptions!$E$37))+(I21*Assumptions!$E$38))</f>
        <v>3053.96082563723</v>
      </c>
      <c r="J30" s="14" t="n">
        <f aca="false">((((J24*Assumptions!$E$35)+(J25*Assumptions!$E$36))+(J27*Assumptions!$E$37))+(J21*Assumptions!$E$38))</f>
        <v>3311.57844486219</v>
      </c>
      <c r="K30" s="14" t="n">
        <f aca="false">((((K24*Assumptions!$E$35)+(K25*Assumptions!$E$36))+(K27*Assumptions!$E$37))+(K21*Assumptions!$E$38))</f>
        <v>3579.70209068785</v>
      </c>
      <c r="L30" s="14" t="n">
        <f aca="false">((((L24*Assumptions!$E$35)+(L25*Assumptions!$E$36))+(L27*Assumptions!$E$37))+(L21*Assumptions!$E$38))</f>
        <v>3860.0115217841</v>
      </c>
      <c r="M30" s="14" t="n">
        <f aca="false">((((M24*Assumptions!$E$35)+(M25*Assumptions!$E$36))+(M27*Assumptions!$E$37))+(M21*Assumptions!$E$38))</f>
        <v>4154.17365779892</v>
      </c>
      <c r="N30" s="14" t="n">
        <f aca="false">((((N24*Assumptions!$E$35)+(N25*Assumptions!$E$36))+(N27*Assumptions!$E$37))+(N21*Assumptions!$E$38))</f>
        <v>4463.85933923251</v>
      </c>
      <c r="O30" s="14" t="n">
        <f aca="false">((((O24*Assumptions!$E$35)+(O25*Assumptions!$E$36))+(O27*Assumptions!$E$37))+(O21*Assumptions!$E$38))</f>
        <v>5343.27082070264</v>
      </c>
      <c r="P30" s="14" t="n">
        <f aca="false">((((P24*Assumptions!$E$35)+(P25*Assumptions!$E$36))+(P27*Assumptions!$E$37))+(P21*Assumptions!$E$38))</f>
        <v>5734.22907400369</v>
      </c>
      <c r="Q30" s="14" t="n">
        <f aca="false">((((Q24*Assumptions!$E$35)+(Q25*Assumptions!$E$36))+(Q27*Assumptions!$E$37))+(Q21*Assumptions!$E$38))</f>
        <v>6141.96284231129</v>
      </c>
      <c r="R30" s="14" t="n">
        <f aca="false">((((R24*Assumptions!$E$35)+(R25*Assumptions!$E$36))+(R27*Assumptions!$E$37))+(R21*Assumptions!$E$38))</f>
        <v>6605.34939222243</v>
      </c>
      <c r="S30" s="14" t="n">
        <f aca="false">((((S24*Assumptions!$E$35)+(S25*Assumptions!$E$36))+(S27*Assumptions!$E$37))+(S21*Assumptions!$E$38))</f>
        <v>7067.60412689902</v>
      </c>
      <c r="T30" s="14" t="n">
        <f aca="false">((((T24*Assumptions!$E$35)+(T25*Assumptions!$E$36))+(T27*Assumptions!$E$37))+(T21*Assumptions!$E$38))</f>
        <v>7559.14380027739</v>
      </c>
      <c r="U30" s="14" t="n">
        <f aca="false">((((U24*Assumptions!$E$35)+(U25*Assumptions!$E$36))+(U27*Assumptions!$E$37))+(U21*Assumptions!$E$38))</f>
        <v>8082.64654048156</v>
      </c>
      <c r="V30" s="14" t="n">
        <f aca="false">((((V24*Assumptions!$E$35)+(V25*Assumptions!$E$36))+(V27*Assumptions!$E$37))+(V21*Assumptions!$E$38))</f>
        <v>8640.56269790963</v>
      </c>
      <c r="W30" s="14" t="n">
        <f aca="false">((((W24*Assumptions!$E$35)+(W25*Assumptions!$E$36))+(W27*Assumptions!$E$37))+(W21*Assumptions!$E$38))</f>
        <v>9235.47747048143</v>
      </c>
      <c r="X30" s="14" t="n">
        <f aca="false">((((X24*Assumptions!$E$35)+(X25*Assumptions!$E$36))+(X27*Assumptions!$E$37))+(X21*Assumptions!$E$38))</f>
        <v>9870.12919695434</v>
      </c>
      <c r="Y30" s="14" t="n">
        <f aca="false">((((Y24*Assumptions!$E$35)+(Y25*Assumptions!$E$36))+(Y27*Assumptions!$E$37))+(Y21*Assumptions!$E$38))</f>
        <v>10547.4236807848</v>
      </c>
      <c r="Z30" s="14" t="n">
        <f aca="false">((((Z24*Assumptions!$E$35)+(Z25*Assumptions!$E$36))+(Z27*Assumptions!$E$37))+(Z21*Assumptions!$E$38))</f>
        <v>11270.4489687908</v>
      </c>
      <c r="AA30" s="14" t="n">
        <f aca="false">((((AA24*Assumptions!$E$35)+(AA25*Assumptions!$E$36))+(AA27*Assumptions!$E$37))+(AA21*Assumptions!$E$38))</f>
        <v>12280.8003350853</v>
      </c>
      <c r="AB30" s="14" t="n">
        <f aca="false">((((AB24*Assumptions!$E$35)+(AB25*Assumptions!$E$36))+(AB27*Assumptions!$E$37))+(AB21*Assumptions!$E$38))</f>
        <v>13124.745322495</v>
      </c>
      <c r="AC30" s="14" t="n">
        <f aca="false">((((AC24*Assumptions!$E$35)+(AC25*Assumptions!$E$36))+(AC27*Assumptions!$E$37))+(AC21*Assumptions!$E$38))</f>
        <v>14023.2323159882</v>
      </c>
      <c r="AD30" s="14" t="n">
        <f aca="false">((((AD24*Assumptions!$E$35)+(AD25*Assumptions!$E$36))+(AD27*Assumptions!$E$37))+(AD21*Assumptions!$E$38))</f>
        <v>14996.2192810918</v>
      </c>
      <c r="AE30" s="14" t="n">
        <f aca="false">((((AE24*Assumptions!$E$35)+(AE25*Assumptions!$E$36))+(AE27*Assumptions!$E$37))+(AE21*Assumptions!$E$38))</f>
        <v>16022.6330718322</v>
      </c>
      <c r="AF30" s="14" t="n">
        <f aca="false">((((AF24*Assumptions!$E$35)+(AF25*Assumptions!$E$36))+(AF27*Assumptions!$E$37))+(AF21*Assumptions!$E$38))</f>
        <v>17119.270228645</v>
      </c>
      <c r="AG30" s="14" t="n">
        <f aca="false">((((AG24*Assumptions!$E$35)+(AG25*Assumptions!$E$36))+(AG27*Assumptions!$E$37))+(AG21*Assumptions!$E$38))</f>
        <v>18291.2253708585</v>
      </c>
      <c r="AH30" s="14" t="n">
        <f aca="false">((((AH24*Assumptions!$E$35)+(AH25*Assumptions!$E$36))+(AH27*Assumptions!$E$37))+(AH21*Assumptions!$E$38))</f>
        <v>19543.77795841</v>
      </c>
      <c r="AI30" s="14" t="n">
        <f aca="false">((((AI24*Assumptions!$E$35)+(AI25*Assumptions!$E$36))+(AI27*Assumptions!$E$37))+(AI21*Assumptions!$E$38))</f>
        <v>20882.5673648613</v>
      </c>
      <c r="AJ30" s="14" t="n">
        <f aca="false">((((AJ24*Assumptions!$E$35)+(AJ25*Assumptions!$E$36))+(AJ27*Assumptions!$E$37))+(AJ21*Assumptions!$E$38))</f>
        <v>22313.6208037616</v>
      </c>
      <c r="AK30" s="14" t="n">
        <f aca="false">((((AK24*Assumptions!$E$35)+(AK25*Assumptions!$E$36))+(AK27*Assumptions!$E$37))+(AK21*Assumptions!$E$38))</f>
        <v>23843.3810827722</v>
      </c>
      <c r="AL30" s="14" t="n">
        <f aca="false">((((AL24*Assumptions!$E$35)+(AL25*Assumptions!$E$36))+(AL27*Assumptions!$E$37))+(AL21*Assumptions!$E$38))</f>
        <v>25478.736183839</v>
      </c>
    </row>
    <row r="32" customFormat="false" ht="15" hidden="false" customHeight="false" outlineLevel="0" collapsed="false">
      <c r="A32" s="4" t="s">
        <v>395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customFormat="false" ht="15" hidden="false" customHeight="false" outlineLevel="0" collapsed="false">
      <c r="A33" s="6" t="s">
        <v>396</v>
      </c>
      <c r="B33" s="2" t="s">
        <v>397</v>
      </c>
      <c r="C33" s="17" t="n">
        <f aca="false">(C12-C17)</f>
        <v>1105.34</v>
      </c>
      <c r="D33" s="17" t="n">
        <f aca="false">(D12-D17)</f>
        <v>1196.0429</v>
      </c>
      <c r="E33" s="17" t="n">
        <f aca="false">(E12-E17)</f>
        <v>1278.94762977946</v>
      </c>
      <c r="F33" s="17" t="n">
        <f aca="false">(F12-F17)</f>
        <v>1428.15516199863</v>
      </c>
      <c r="G33" s="17" t="n">
        <f aca="false">(G12-G17)</f>
        <v>1526.27460347394</v>
      </c>
      <c r="H33" s="17" t="n">
        <f aca="false">(H12-H17)</f>
        <v>1630.15190978178</v>
      </c>
      <c r="I33" s="17" t="n">
        <f aca="false">(I12-I17)</f>
        <v>1740.96359146436</v>
      </c>
      <c r="J33" s="17" t="n">
        <f aca="false">(J12-J17)</f>
        <v>1859.21021162096</v>
      </c>
      <c r="K33" s="17" t="n">
        <f aca="false">(K12-K17)</f>
        <v>1985.41645625741</v>
      </c>
      <c r="L33" s="17" t="n">
        <f aca="false">(L12-L17)</f>
        <v>2120.1423887941</v>
      </c>
      <c r="M33" s="17" t="n">
        <f aca="false">(M12-M17)</f>
        <v>2263.98612023448</v>
      </c>
      <c r="N33" s="17" t="n">
        <f aca="false">(N12-N17)</f>
        <v>2417.58653872146</v>
      </c>
      <c r="O33" s="17" t="n">
        <f aca="false">(O12-O17)</f>
        <v>2581.62622076237</v>
      </c>
      <c r="P33" s="17" t="n">
        <f aca="false">(P12-P17)</f>
        <v>2756.68014682285</v>
      </c>
      <c r="Q33" s="17" t="n">
        <f aca="false">(Q12-Q17)</f>
        <v>2943.66721175169</v>
      </c>
      <c r="R33" s="17" t="n">
        <f aca="false">(R12-R17)</f>
        <v>3143.42341840697</v>
      </c>
      <c r="S33" s="17" t="n">
        <f aca="false">(S12-S17)</f>
        <v>3356.8301372102</v>
      </c>
      <c r="T33" s="17" t="n">
        <f aca="false">(T12-T17)</f>
        <v>3584.84645693638</v>
      </c>
      <c r="U33" s="17" t="n">
        <f aca="false">(U12-U17)</f>
        <v>3828.48957301568</v>
      </c>
      <c r="V33" s="17" t="n">
        <f aca="false">(V12-V17)</f>
        <v>4088.8468653785</v>
      </c>
      <c r="W33" s="17" t="n">
        <f aca="false">(W12-W17)</f>
        <v>4367.08103244509</v>
      </c>
      <c r="X33" s="17" t="n">
        <f aca="false">(X12-X17)</f>
        <v>4664.43537785489</v>
      </c>
      <c r="Y33" s="17" t="n">
        <f aca="false">(Y12-Y17)</f>
        <v>4982.23945987612</v>
      </c>
      <c r="Z33" s="17" t="n">
        <f aca="false">(Z12-Z17)</f>
        <v>5321.91513291869</v>
      </c>
      <c r="AA33" s="17" t="n">
        <f aca="false">(AA12-AA17)</f>
        <v>5684.98300884149</v>
      </c>
      <c r="AB33" s="17" t="n">
        <f aca="false">(AB12-AB17)</f>
        <v>6073.00491416146</v>
      </c>
      <c r="AC33" s="17" t="n">
        <f aca="false">(AC12-AC17)</f>
        <v>6487.77840770863</v>
      </c>
      <c r="AD33" s="17" t="n">
        <f aca="false">(AD12-AD17)</f>
        <v>6931.16498922255</v>
      </c>
      <c r="AE33" s="17" t="n">
        <f aca="false">(AE12-AE17)</f>
        <v>7405.15053755154</v>
      </c>
      <c r="AF33" s="17" t="n">
        <f aca="false">(AF12-AF17)</f>
        <v>7911.86617451617</v>
      </c>
      <c r="AG33" s="17" t="n">
        <f aca="false">(AG12-AG17)</f>
        <v>8453.58794647769</v>
      </c>
      <c r="AH33" s="17" t="n">
        <f aca="false">(AH12-AH17)</f>
        <v>9032.75028880838</v>
      </c>
      <c r="AI33" s="17" t="n">
        <f aca="false">(AI12-AI17)</f>
        <v>9651.95717930142</v>
      </c>
      <c r="AJ33" s="17" t="n">
        <f aca="false">(AJ12-AJ17)</f>
        <v>10313.9939851863</v>
      </c>
      <c r="AK33" s="17" t="n">
        <f aca="false">(AK12-AK17)</f>
        <v>11021.8401354374</v>
      </c>
      <c r="AL33" s="17" t="n">
        <f aca="false">(AL12-AL17)</f>
        <v>11778.6826777475</v>
      </c>
    </row>
    <row r="34" customFormat="false" ht="15" hidden="false" customHeight="false" outlineLevel="0" collapsed="false">
      <c r="A34" s="6" t="s">
        <v>398</v>
      </c>
      <c r="B34" s="2" t="s">
        <v>399</v>
      </c>
      <c r="C34" s="17" t="n">
        <f aca="false">((0*(1-Assumptions!$E$27))+(0*Assumptions!$E$26))</f>
        <v>0</v>
      </c>
      <c r="D34" s="17" t="n">
        <f aca="false">((C34*(1-Assumptions!$E$27))+(C33*Assumptions!$E$26))</f>
        <v>132.6408</v>
      </c>
      <c r="E34" s="17" t="n">
        <f aca="false">((D34*(1-Assumptions!$E$27))+(D33*Assumptions!$E$26))</f>
        <v>265.554684</v>
      </c>
      <c r="F34" s="17" t="n">
        <f aca="false">((E34*(1-Assumptions!$E$27))+(E33*Assumptions!$E$26))</f>
        <v>397.784024853535</v>
      </c>
      <c r="G34" s="17" t="n">
        <f aca="false">((F34*(1-Assumptions!$E$27))+(F33*Assumptions!$E$26))</f>
        <v>537.339922305088</v>
      </c>
      <c r="H34" s="17" t="n">
        <f aca="false">((G34*(1-Assumptions!$E$27))+(G33*Assumptions!$E$26))</f>
        <v>677.505680937554</v>
      </c>
      <c r="I34" s="17" t="n">
        <f aca="false">((H34*(1-Assumptions!$E$27))+(H33*Assumptions!$E$26))</f>
        <v>818.923455636363</v>
      </c>
      <c r="J34" s="17" t="n">
        <f aca="false">((I34*(1-Assumptions!$E$27))+(I33*Assumptions!$E$26))</f>
        <v>962.325210161177</v>
      </c>
      <c r="K34" s="17" t="n">
        <f aca="false">((J34*(1-Assumptions!$E$27))+(J33*Assumptions!$E$26))</f>
        <v>1108.4444187428</v>
      </c>
      <c r="L34" s="17" t="n">
        <f aca="false">((K34*(1-Assumptions!$E$27))+(K33*Assumptions!$E$26))</f>
        <v>1258.01883999426</v>
      </c>
      <c r="M34" s="17" t="n">
        <f aca="false">((L34*(1-Assumptions!$E$27))+(L33*Assumptions!$E$26))</f>
        <v>1411.79441945001</v>
      </c>
      <c r="N34" s="17" t="n">
        <f aca="false">((M34*(1-Assumptions!$E$27))+(M33*Assumptions!$E$26))</f>
        <v>1570.52920032215</v>
      </c>
      <c r="O34" s="17" t="n">
        <f aca="false">((N34*(1-Assumptions!$E$27))+(N33*Assumptions!$E$26))</f>
        <v>1734.99724894295</v>
      </c>
      <c r="P34" s="17" t="n">
        <f aca="false">((O34*(1-Assumptions!$E$27))+(O33*Assumptions!$E$26))</f>
        <v>1905.992615519</v>
      </c>
      <c r="Q34" s="17" t="n">
        <f aca="false">((P34*(1-Assumptions!$E$27))+(P33*Assumptions!$E$26))</f>
        <v>2084.31482389622</v>
      </c>
      <c r="R34" s="17" t="n">
        <f aca="false">((Q34*(1-Assumptions!$E$27))+(Q33*Assumptions!$E$26))</f>
        <v>2270.80970339473</v>
      </c>
      <c r="S34" s="17" t="n">
        <f aca="false">((R34*(1-Assumptions!$E$27))+(R33*Assumptions!$E$26))</f>
        <v>2466.35573733199</v>
      </c>
      <c r="T34" s="17" t="n">
        <f aca="false">((S34*(1-Assumptions!$E$27))+(S33*Assumptions!$E$26))</f>
        <v>2671.86689481065</v>
      </c>
      <c r="U34" s="17" t="n">
        <f aca="false">((T34*(1-Assumptions!$E$27))+(T33*Assumptions!$E$26))</f>
        <v>2888.29911805817</v>
      </c>
      <c r="V34" s="17" t="n">
        <f aca="false">((U34*(1-Assumptions!$E$27))+(U33*Assumptions!$E$26))</f>
        <v>3116.65393737539</v>
      </c>
      <c r="W34" s="17" t="n">
        <f aca="false">((V34*(1-Assumptions!$E$27))+(V33*Assumptions!$E$26))</f>
        <v>3357.98324623078</v>
      </c>
      <c r="X34" s="17" t="n">
        <f aca="false">((W34*(1-Assumptions!$E$27))+(W33*Assumptions!$E$26))</f>
        <v>3613.39431042573</v>
      </c>
      <c r="Y34" s="17" t="n">
        <f aca="false">((X34*(1-Assumptions!$E$27))+(X33*Assumptions!$E$26))</f>
        <v>3884.05501093426</v>
      </c>
      <c r="Z34" s="17" t="n">
        <f aca="false">((Y34*(1-Assumptions!$E$27))+(Y33*Assumptions!$E$26))</f>
        <v>4171.19934524465</v>
      </c>
      <c r="AA34" s="17" t="n">
        <f aca="false">((Z34*(1-Assumptions!$E$27))+(Z33*Assumptions!$E$26))</f>
        <v>4476.13321357533</v>
      </c>
      <c r="AB34" s="17" t="n">
        <f aca="false">((AA34*(1-Assumptions!$E$27))+(AA33*Assumptions!$E$26))</f>
        <v>4800.24051755028</v>
      </c>
      <c r="AC34" s="17" t="n">
        <f aca="false">((AB34*(1-Assumptions!$E$27))+(AB33*Assumptions!$E$26))</f>
        <v>5144.98186584563</v>
      </c>
      <c r="AD34" s="17" t="n">
        <f aca="false">((AC34*(1-Assumptions!$E$27))+(AC33*Assumptions!$E$26))</f>
        <v>5511.91672550302</v>
      </c>
      <c r="AE34" s="17" t="n">
        <f aca="false">((AD34*(1-Assumptions!$E$27))+(AD33*Assumptions!$E$26))</f>
        <v>5902.70318616948</v>
      </c>
      <c r="AF34" s="17" t="n">
        <f aca="false">((AE34*(1-Assumptions!$E$27))+(AE33*Assumptions!$E$26))</f>
        <v>6319.10499578211</v>
      </c>
      <c r="AG34" s="17" t="n">
        <f aca="false">((AF34*(1-Assumptions!$E$27))+(AF33*Assumptions!$E$26))</f>
        <v>6763.00053706148</v>
      </c>
      <c r="AH34" s="17" t="n">
        <f aca="false">((AG34*(1-Assumptions!$E$27))+(AG33*Assumptions!$E$26))</f>
        <v>7236.39104767388</v>
      </c>
      <c r="AI34" s="17" t="n">
        <f aca="false">((AH34*(1-Assumptions!$E$27))+(AH33*Assumptions!$E$26))</f>
        <v>7741.40979851698</v>
      </c>
      <c r="AJ34" s="17" t="n">
        <f aca="false">((AI34*(1-Assumptions!$E$27))+(AI33*Assumptions!$E$26))</f>
        <v>8280.33187615179</v>
      </c>
      <c r="AK34" s="17" t="n">
        <f aca="false">((AJ34*(1-Assumptions!$E$27))+(AJ33*Assumptions!$E$26))</f>
        <v>8855.58460428201</v>
      </c>
      <c r="AL34" s="17" t="n">
        <f aca="false">((AK34*(1-Assumptions!$E$27))+(AK33*Assumptions!$E$26))</f>
        <v>9469.75865219193</v>
      </c>
    </row>
    <row r="35" customFormat="false" ht="15" hidden="false" customHeight="false" outlineLevel="0" collapsed="false">
      <c r="A35" s="6" t="s">
        <v>400</v>
      </c>
      <c r="B35" s="2" t="s">
        <v>401</v>
      </c>
      <c r="C35" s="17" t="n">
        <f aca="false">(C33+C34)</f>
        <v>1105.34</v>
      </c>
      <c r="D35" s="17" t="n">
        <f aca="false">(D33+D34)</f>
        <v>1328.6837</v>
      </c>
      <c r="E35" s="17" t="n">
        <f aca="false">(E33+E34)</f>
        <v>1544.50231377946</v>
      </c>
      <c r="F35" s="17" t="n">
        <f aca="false">(F33+F34)</f>
        <v>1825.93918685216</v>
      </c>
      <c r="G35" s="17" t="n">
        <f aca="false">(G33+G34)</f>
        <v>2063.61452577903</v>
      </c>
      <c r="H35" s="17" t="n">
        <f aca="false">(H33+H34)</f>
        <v>2307.65759071934</v>
      </c>
      <c r="I35" s="17" t="n">
        <f aca="false">(I33+I34)</f>
        <v>2559.88704710072</v>
      </c>
      <c r="J35" s="17" t="n">
        <f aca="false">(J33+J34)</f>
        <v>2821.53542178214</v>
      </c>
      <c r="K35" s="17" t="n">
        <f aca="false">(K33+K34)</f>
        <v>3093.86087500021</v>
      </c>
      <c r="L35" s="17" t="n">
        <f aca="false">(L33+L34)</f>
        <v>3378.16122878836</v>
      </c>
      <c r="M35" s="17" t="n">
        <f aca="false">(M33+M34)</f>
        <v>3675.78053968449</v>
      </c>
      <c r="N35" s="17" t="n">
        <f aca="false">(N33+N34)</f>
        <v>3988.11573904361</v>
      </c>
      <c r="O35" s="17" t="n">
        <f aca="false">(O33+O34)</f>
        <v>4316.62346970533</v>
      </c>
      <c r="P35" s="17" t="n">
        <f aca="false">(P33+P34)</f>
        <v>4662.67276234185</v>
      </c>
      <c r="Q35" s="17" t="n">
        <f aca="false">(Q33+Q34)</f>
        <v>5027.98203564791</v>
      </c>
      <c r="R35" s="17" t="n">
        <f aca="false">(R33+R34)</f>
        <v>5414.2331218017</v>
      </c>
      <c r="S35" s="17" t="n">
        <f aca="false">(S33+S34)</f>
        <v>5823.18587454219</v>
      </c>
      <c r="T35" s="17" t="n">
        <f aca="false">(T33+T34)</f>
        <v>6256.71335174703</v>
      </c>
      <c r="U35" s="17" t="n">
        <f aca="false">(U33+U34)</f>
        <v>6716.78869107385</v>
      </c>
      <c r="V35" s="17" t="n">
        <f aca="false">(V33+V34)</f>
        <v>7205.5008027539</v>
      </c>
      <c r="W35" s="17" t="n">
        <f aca="false">(W33+W34)</f>
        <v>7725.06427867588</v>
      </c>
      <c r="X35" s="17" t="n">
        <f aca="false">(X33+X34)</f>
        <v>8277.82968828062</v>
      </c>
      <c r="Y35" s="17" t="n">
        <f aca="false">(Y33+Y34)</f>
        <v>8866.29447081038</v>
      </c>
      <c r="Z35" s="17" t="n">
        <f aca="false">(Z33+Z34)</f>
        <v>9493.11447816334</v>
      </c>
      <c r="AA35" s="17" t="n">
        <f aca="false">(AA33+AA34)</f>
        <v>10161.1162224168</v>
      </c>
      <c r="AB35" s="17" t="n">
        <f aca="false">(AB33+AB34)</f>
        <v>10873.2454317117</v>
      </c>
      <c r="AC35" s="17" t="n">
        <f aca="false">(AC33+AC34)</f>
        <v>11632.7602735543</v>
      </c>
      <c r="AD35" s="17" t="n">
        <f aca="false">(AD33+AD34)</f>
        <v>12443.0817147256</v>
      </c>
      <c r="AE35" s="17" t="n">
        <f aca="false">(AE33+AE34)</f>
        <v>13307.853723721</v>
      </c>
      <c r="AF35" s="17" t="n">
        <f aca="false">(AF33+AF34)</f>
        <v>14230.9711702983</v>
      </c>
      <c r="AG35" s="17" t="n">
        <f aca="false">(AG33+AG34)</f>
        <v>15216.5884835392</v>
      </c>
      <c r="AH35" s="17" t="n">
        <f aca="false">(AH33+AH34)</f>
        <v>16269.1413364823</v>
      </c>
      <c r="AI35" s="17" t="n">
        <f aca="false">(AI33+AI34)</f>
        <v>17393.3669778184</v>
      </c>
      <c r="AJ35" s="17" t="n">
        <f aca="false">(AJ33+AJ34)</f>
        <v>18594.3258613381</v>
      </c>
      <c r="AK35" s="17" t="n">
        <f aca="false">(AK33+AK34)</f>
        <v>19877.4247397194</v>
      </c>
      <c r="AL35" s="17" t="n">
        <f aca="false">(AL33+AL34)</f>
        <v>21248.4413299394</v>
      </c>
    </row>
    <row r="36" customFormat="false" ht="15" hidden="false" customHeight="false" outlineLevel="0" collapsed="false">
      <c r="A36" s="21" t="s">
        <v>402</v>
      </c>
      <c r="B36" s="2" t="s">
        <v>403</v>
      </c>
      <c r="C36" s="22" t="n">
        <f aca="false">(C35+C29)</f>
        <v>1133.33333333333</v>
      </c>
      <c r="D36" s="22" t="n">
        <f aca="false">(D35+D29)</f>
        <v>1385.62246006083</v>
      </c>
      <c r="E36" s="22" t="n">
        <f aca="false">(E35+E29)</f>
        <v>1631.21537158663</v>
      </c>
      <c r="F36" s="22" t="n">
        <f aca="false">(F35+F29)</f>
        <v>1945.00813155212</v>
      </c>
      <c r="G36" s="22" t="n">
        <f aca="false">(G35+G29)</f>
        <v>2216.3098990912</v>
      </c>
      <c r="H36" s="22" t="n">
        <f aca="false">(H35+H29)</f>
        <v>2495.44306992489</v>
      </c>
      <c r="I36" s="22" t="n">
        <f aca="false">(I35+I29)</f>
        <v>2784.43573923297</v>
      </c>
      <c r="J36" s="22" t="n">
        <f aca="false">(J35+J29)</f>
        <v>3084.72946094636</v>
      </c>
      <c r="K36" s="22" t="n">
        <f aca="false">(K35+K29)</f>
        <v>3397.79281708082</v>
      </c>
      <c r="L36" s="22" t="n">
        <f aca="false">(L35+L29)</f>
        <v>3725.1373363412</v>
      </c>
      <c r="M36" s="22" t="n">
        <f aca="false">(M35+M29)</f>
        <v>4068.32584510293</v>
      </c>
      <c r="N36" s="22" t="n">
        <f aca="false">(N35+N29)</f>
        <v>4428.98079698838</v>
      </c>
      <c r="O36" s="22" t="n">
        <f aca="false">(O35+O29)</f>
        <v>4798.23924610948</v>
      </c>
      <c r="P36" s="22" t="n">
        <f aca="false">(P35+P29)</f>
        <v>5187.39764449022</v>
      </c>
      <c r="Q36" s="22" t="n">
        <f aca="false">(Q35+Q29)</f>
        <v>5598.50403000815</v>
      </c>
      <c r="R36" s="22" t="n">
        <f aca="false">(R35+R29)</f>
        <v>6032.87546847616</v>
      </c>
      <c r="S36" s="22" t="n">
        <f aca="false">(S35+S29)</f>
        <v>6493.04221253654</v>
      </c>
      <c r="T36" s="22" t="n">
        <f aca="false">(T35+T29)</f>
        <v>6981.12130825518</v>
      </c>
      <c r="U36" s="22" t="n">
        <f aca="false">(U35+U29)</f>
        <v>7499.33638348534</v>
      </c>
      <c r="V36" s="22" t="n">
        <f aca="false">(V35+V29)</f>
        <v>8050.04143593186</v>
      </c>
      <c r="W36" s="22" t="n">
        <f aca="false">(W35+W29)</f>
        <v>8635.73221670554</v>
      </c>
      <c r="X36" s="22" t="n">
        <f aca="false">(X35+X29)</f>
        <v>9259.05796329863</v>
      </c>
      <c r="Y36" s="22" t="n">
        <f aca="false">(Y35+Y29)</f>
        <v>9922.83378499927</v>
      </c>
      <c r="Z36" s="22" t="n">
        <f aca="false">(Z35+Z29)</f>
        <v>10630.0537659269</v>
      </c>
      <c r="AA36" s="22" t="n">
        <f aca="false">(AA35+AA29)</f>
        <v>11379.4991327543</v>
      </c>
      <c r="AB36" s="22" t="n">
        <f aca="false">(AB35+AB29)</f>
        <v>12178.5439982472</v>
      </c>
      <c r="AC36" s="22" t="n">
        <f aca="false">(AC35+AC29)</f>
        <v>13030.8877723749</v>
      </c>
      <c r="AD36" s="22" t="n">
        <f aca="false">(AD35+AD29)</f>
        <v>13940.124977749</v>
      </c>
      <c r="AE36" s="22" t="n">
        <f aca="false">(AE35+AE29)</f>
        <v>14910.5707388829</v>
      </c>
      <c r="AF36" s="22" t="n">
        <f aca="false">(AF35+AF29)</f>
        <v>15946.5963921742</v>
      </c>
      <c r="AG36" s="22" t="n">
        <f aca="false">(AG35+AG29)</f>
        <v>17052.862330478</v>
      </c>
      <c r="AH36" s="22" t="n">
        <f aca="false">(AH35+AH29)</f>
        <v>18234.3448403035</v>
      </c>
      <c r="AI36" s="22" t="n">
        <f aca="false">(AI35+AI29)</f>
        <v>19496.3589576098</v>
      </c>
      <c r="AJ36" s="22" t="n">
        <f aca="false">(AJ35+AJ29)</f>
        <v>20844.5827507643</v>
      </c>
      <c r="AK36" s="22" t="n">
        <f aca="false">(AK35+AK29)</f>
        <v>22285.0832448234</v>
      </c>
      <c r="AL36" s="22" t="n">
        <f aca="false">(AL35+AL29)</f>
        <v>23824.3441083208</v>
      </c>
    </row>
    <row r="37" customFormat="false" ht="15" hidden="false" customHeight="false" outlineLevel="0" collapsed="false">
      <c r="A37" s="6" t="s">
        <v>404</v>
      </c>
      <c r="B37" s="2" t="s">
        <v>405</v>
      </c>
      <c r="C37" s="16" t="n">
        <f aca="false">IF(C36=0,0,C29/C36)</f>
        <v>0.0247</v>
      </c>
      <c r="D37" s="16" t="n">
        <f aca="false">IF(D36=0,0,D29/D36)</f>
        <v>0.0410925498842818</v>
      </c>
      <c r="E37" s="16" t="n">
        <f aca="false">IF(E36=0,0,E29/E36)</f>
        <v>0.0531585585310087</v>
      </c>
      <c r="F37" s="16" t="n">
        <f aca="false">IF(F36=0,0,F29/F36)</f>
        <v>0.061217710490978</v>
      </c>
      <c r="G37" s="16" t="n">
        <f aca="false">IF(G36=0,0,G29/G36)</f>
        <v>0.0688962195109926</v>
      </c>
      <c r="H37" s="16" t="n">
        <f aca="false">IF(H36=0,0,H29/H36)</f>
        <v>0.0752513577523549</v>
      </c>
      <c r="I37" s="16" t="n">
        <f aca="false">IF(I36=0,0,I29/I36)</f>
        <v>0.0806442357309014</v>
      </c>
      <c r="J37" s="16" t="n">
        <f aca="false">IF(J36=0,0,J29/J36)</f>
        <v>0.0853215954579947</v>
      </c>
      <c r="K37" s="16" t="n">
        <f aca="false">IF(K36=0,0,K29/K36)</f>
        <v>0.0894498159371973</v>
      </c>
      <c r="L37" s="16" t="n">
        <f aca="false">IF(L36=0,0,L29/L36)</f>
        <v>0.0931445142083356</v>
      </c>
      <c r="M37" s="16" t="n">
        <f aca="false">IF(M36=0,0,M29/M36)</f>
        <v>0.0964881674585988</v>
      </c>
      <c r="N37" s="16" t="n">
        <f aca="false">IF(N36=0,0,N29/N36)</f>
        <v>0.0995409730032121</v>
      </c>
      <c r="O37" s="16" t="n">
        <f aca="false">IF(O36=0,0,O29/O36)</f>
        <v>0.100373439443366</v>
      </c>
      <c r="P37" s="16" t="n">
        <f aca="false">IF(P36=0,0,P29/P36)</f>
        <v>0.101153780394242</v>
      </c>
      <c r="Q37" s="16" t="n">
        <f aca="false">IF(Q36=0,0,Q29/Q36)</f>
        <v>0.101906150518464</v>
      </c>
      <c r="R37" s="16" t="n">
        <f aca="false">IF(R36=0,0,R29/R36)</f>
        <v>0.102545187598697</v>
      </c>
      <c r="S37" s="16" t="n">
        <f aca="false">IF(S36=0,0,S29/S36)</f>
        <v>0.103165252291294</v>
      </c>
      <c r="T37" s="16" t="n">
        <f aca="false">IF(T36=0,0,T29/T36)</f>
        <v>0.103766705164045</v>
      </c>
      <c r="U37" s="16" t="n">
        <f aca="false">IF(U36=0,0,U29/U36)</f>
        <v>0.104348925344219</v>
      </c>
      <c r="V37" s="16" t="n">
        <f aca="false">IF(V36=0,0,V29/V36)</f>
        <v>0.104911339885569</v>
      </c>
      <c r="W37" s="16" t="n">
        <f aca="false">IF(W36=0,0,W29/W36)</f>
        <v>0.105453471133346</v>
      </c>
      <c r="X37" s="16" t="n">
        <f aca="false">IF(X36=0,0,X29/X36)</f>
        <v>0.10597495759368</v>
      </c>
      <c r="Y37" s="16" t="n">
        <f aca="false">IF(Y36=0,0,Y29/Y36)</f>
        <v>0.106475563037859</v>
      </c>
      <c r="Z37" s="16" t="n">
        <f aca="false">IF(Z36=0,0,Z29/Z36)</f>
        <v>0.106955177537097</v>
      </c>
      <c r="AA37" s="16" t="n">
        <f aca="false">IF(AA36=0,0,AA29/AA36)</f>
        <v>0.107068237022008</v>
      </c>
      <c r="AB37" s="16" t="n">
        <f aca="false">IF(AB36=0,0,AB29/AB36)</f>
        <v>0.107180182353763</v>
      </c>
      <c r="AC37" s="16" t="n">
        <f aca="false">IF(AC36=0,0,AC29/AC36)</f>
        <v>0.107293342038036</v>
      </c>
      <c r="AD37" s="16" t="n">
        <f aca="false">IF(AD36=0,0,AD29/AD36)</f>
        <v>0.10739094989557</v>
      </c>
      <c r="AE37" s="16" t="n">
        <f aca="false">IF(AE36=0,0,AE29/AE36)</f>
        <v>0.107488643005625</v>
      </c>
      <c r="AF37" s="16" t="n">
        <f aca="false">IF(AF36=0,0,AF29/AF36)</f>
        <v>0.107585667792898</v>
      </c>
      <c r="AG37" s="16" t="n">
        <f aca="false">IF(AG36=0,0,AG29/AG36)</f>
        <v>0.107681268478721</v>
      </c>
      <c r="AH37" s="16" t="n">
        <f aca="false">IF(AH36=0,0,AH29/AH36)</f>
        <v>0.107774834853269</v>
      </c>
      <c r="AI37" s="16" t="n">
        <f aca="false">IF(AI36=0,0,AI29/AI36)</f>
        <v>0.107865883284355</v>
      </c>
      <c r="AJ37" s="16" t="n">
        <f aca="false">IF(AJ36=0,0,AJ29/AJ36)</f>
        <v>0.107954038530403</v>
      </c>
      <c r="AK37" s="16" t="n">
        <f aca="false">IF(AK36=0,0,AK29/AK36)</f>
        <v>0.108039017788426</v>
      </c>
      <c r="AL37" s="16" t="n">
        <f aca="false">IF(AL36=0,0,AL29/AL36)</f>
        <v>0.10812061673848</v>
      </c>
    </row>
    <row r="39" customFormat="false" ht="15" hidden="false" customHeight="false" outlineLevel="0" collapsed="false">
      <c r="A39" s="4" t="s">
        <v>406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customFormat="false" ht="15" hidden="false" customHeight="false" outlineLevel="0" collapsed="false">
      <c r="A40" s="6" t="s">
        <v>407</v>
      </c>
      <c r="B40" s="2" t="s">
        <v>408</v>
      </c>
      <c r="C40" s="17" t="n">
        <f aca="false">IF(AND((Assumptions!$E$5=1),(C$2&gt;=Assumptions!$E$46)),(C35*Assumptions!$E$47),0)</f>
        <v>0</v>
      </c>
      <c r="D40" s="17" t="n">
        <f aca="false">IF(AND((Assumptions!$E$5=1),(D$2&gt;=Assumptions!$E$46)),(D35*Assumptions!$E$47),0)</f>
        <v>0</v>
      </c>
      <c r="E40" s="17" t="n">
        <f aca="false">IF(AND((Assumptions!$E$5=1),(E$2&gt;=Assumptions!$E$46)),(E35*Assumptions!$E$47),0)</f>
        <v>0</v>
      </c>
      <c r="F40" s="17" t="n">
        <f aca="false">IF(AND((Assumptions!$E$5=1),(F$2&gt;=Assumptions!$E$46)),(F35*Assumptions!$E$47),0)</f>
        <v>1278.15743079651</v>
      </c>
      <c r="G40" s="17" t="n">
        <f aca="false">IF(AND((Assumptions!$E$5=1),(G$2&gt;=Assumptions!$E$46)),(G35*Assumptions!$E$47),0)</f>
        <v>1444.53016804532</v>
      </c>
      <c r="H40" s="17" t="n">
        <f aca="false">IF(AND((Assumptions!$E$5=1),(H$2&gt;=Assumptions!$E$46)),(H35*Assumptions!$E$47),0)</f>
        <v>1615.36031350354</v>
      </c>
      <c r="I40" s="17" t="n">
        <f aca="false">IF(AND((Assumptions!$E$5=1),(I$2&gt;=Assumptions!$E$46)),(I35*Assumptions!$E$47),0)</f>
        <v>1791.9209329705</v>
      </c>
      <c r="J40" s="17" t="n">
        <f aca="false">IF(AND((Assumptions!$E$5=1),(J$2&gt;=Assumptions!$E$46)),(J35*Assumptions!$E$47),0)</f>
        <v>1975.0747952475</v>
      </c>
      <c r="K40" s="17" t="n">
        <f aca="false">IF(AND((Assumptions!$E$5=1),(K$2&gt;=Assumptions!$E$46)),(K35*Assumptions!$E$47),0)</f>
        <v>2165.70261250015</v>
      </c>
      <c r="L40" s="17" t="n">
        <f aca="false">IF(AND((Assumptions!$E$5=1),(L$2&gt;=Assumptions!$E$46)),(L35*Assumptions!$E$47),0)</f>
        <v>2364.71286015185</v>
      </c>
      <c r="M40" s="17" t="n">
        <f aca="false">IF(AND((Assumptions!$E$5=1),(M$2&gt;=Assumptions!$E$46)),(M35*Assumptions!$E$47),0)</f>
        <v>2573.04637777914</v>
      </c>
      <c r="N40" s="17" t="n">
        <f aca="false">IF(AND((Assumptions!$E$5=1),(N$2&gt;=Assumptions!$E$46)),(N35*Assumptions!$E$47),0)</f>
        <v>2791.68101733053</v>
      </c>
      <c r="O40" s="17" t="n">
        <f aca="false">IF(AND((Assumptions!$E$5=1),(O$2&gt;=Assumptions!$E$46)),(O35*Assumptions!$E$47),0)</f>
        <v>3021.63642879373</v>
      </c>
      <c r="P40" s="17" t="n">
        <f aca="false">IF(AND((Assumptions!$E$5=1),(P$2&gt;=Assumptions!$E$46)),(P35*Assumptions!$E$47),0)</f>
        <v>3263.87093363929</v>
      </c>
      <c r="Q40" s="17" t="n">
        <f aca="false">IF(AND((Assumptions!$E$5=1),(Q$2&gt;=Assumptions!$E$46)),(Q35*Assumptions!$E$47),0)</f>
        <v>3519.58742495354</v>
      </c>
      <c r="R40" s="17" t="n">
        <f aca="false">IF(AND((Assumptions!$E$5=1),(R$2&gt;=Assumptions!$E$46)),(R35*Assumptions!$E$47),0)</f>
        <v>3789.96318526119</v>
      </c>
      <c r="S40" s="17" t="n">
        <f aca="false">IF(AND((Assumptions!$E$5=1),(S$2&gt;=Assumptions!$E$46)),(S35*Assumptions!$E$47),0)</f>
        <v>4076.23011217953</v>
      </c>
      <c r="T40" s="17" t="n">
        <f aca="false">IF(AND((Assumptions!$E$5=1),(T$2&gt;=Assumptions!$E$46)),(T35*Assumptions!$E$47),0)</f>
        <v>4379.69934622292</v>
      </c>
      <c r="U40" s="17" t="n">
        <f aca="false">IF(AND((Assumptions!$E$5=1),(U$2&gt;=Assumptions!$E$46)),(U35*Assumptions!$E$47),0)</f>
        <v>4701.75208375169</v>
      </c>
      <c r="V40" s="17" t="n">
        <f aca="false">IF(AND((Assumptions!$E$5=1),(V$2&gt;=Assumptions!$E$46)),(V35*Assumptions!$E$47),0)</f>
        <v>5043.85056192773</v>
      </c>
      <c r="W40" s="17" t="n">
        <f aca="false">IF(AND((Assumptions!$E$5=1),(W$2&gt;=Assumptions!$E$46)),(W35*Assumptions!$E$47),0)</f>
        <v>5407.54499507311</v>
      </c>
      <c r="X40" s="17" t="n">
        <f aca="false">IF(AND((Assumptions!$E$5=1),(X$2&gt;=Assumptions!$E$46)),(X35*Assumptions!$E$47),0)</f>
        <v>5794.48078179644</v>
      </c>
      <c r="Y40" s="17" t="n">
        <f aca="false">IF(AND((Assumptions!$E$5=1),(Y$2&gt;=Assumptions!$E$46)),(Y35*Assumptions!$E$47),0)</f>
        <v>6206.40612956726</v>
      </c>
      <c r="Z40" s="17" t="n">
        <f aca="false">IF(AND((Assumptions!$E$5=1),(Z$2&gt;=Assumptions!$E$46)),(Z35*Assumptions!$E$47),0)</f>
        <v>6645.18013471434</v>
      </c>
      <c r="AA40" s="17" t="n">
        <f aca="false">IF(AND((Assumptions!$E$5=1),(AA$2&gt;=Assumptions!$E$46)),(AA35*Assumptions!$E$47),0)</f>
        <v>7112.78135569177</v>
      </c>
      <c r="AB40" s="17" t="n">
        <f aca="false">IF(AND((Assumptions!$E$5=1),(AB$2&gt;=Assumptions!$E$46)),(AB35*Assumptions!$E$47),0)</f>
        <v>7611.27180219822</v>
      </c>
      <c r="AC40" s="17" t="n">
        <f aca="false">IF(AND((Assumptions!$E$5=1),(AC$2&gt;=Assumptions!$E$46)),(AC35*Assumptions!$E$47),0)</f>
        <v>8142.93219148798</v>
      </c>
      <c r="AD40" s="17" t="n">
        <f aca="false">IF(AND((Assumptions!$E$5=1),(AD$2&gt;=Assumptions!$E$46)),(AD35*Assumptions!$E$47),0)</f>
        <v>8710.15720030789</v>
      </c>
      <c r="AE40" s="17" t="n">
        <f aca="false">IF(AND((Assumptions!$E$5=1),(AE$2&gt;=Assumptions!$E$46)),(AE35*Assumptions!$E$47),0)</f>
        <v>9315.49760660472</v>
      </c>
      <c r="AF40" s="17" t="n">
        <f aca="false">IF(AND((Assumptions!$E$5=1),(AF$2&gt;=Assumptions!$E$46)),(AF35*Assumptions!$E$47),0)</f>
        <v>9961.6798192088</v>
      </c>
      <c r="AG40" s="17" t="n">
        <f aca="false">IF(AND((Assumptions!$E$5=1),(AG$2&gt;=Assumptions!$E$46)),(AG35*Assumptions!$E$47),0)</f>
        <v>10651.6119384774</v>
      </c>
      <c r="AH40" s="17" t="n">
        <f aca="false">IF(AND((Assumptions!$E$5=1),(AH$2&gt;=Assumptions!$E$46)),(AH35*Assumptions!$E$47),0)</f>
        <v>11388.3989355376</v>
      </c>
      <c r="AI40" s="17" t="n">
        <f aca="false">IF(AND((Assumptions!$E$5=1),(AI$2&gt;=Assumptions!$E$46)),(AI35*Assumptions!$E$47),0)</f>
        <v>12175.3568844729</v>
      </c>
      <c r="AJ40" s="17" t="n">
        <f aca="false">IF(AND((Assumptions!$E$5=1),(AJ$2&gt;=Assumptions!$E$46)),(AJ35*Assumptions!$E$47),0)</f>
        <v>13016.0281029367</v>
      </c>
      <c r="AK40" s="17" t="n">
        <f aca="false">IF(AND((Assumptions!$E$5=1),(AK$2&gt;=Assumptions!$E$46)),(AK35*Assumptions!$E$47),0)</f>
        <v>13914.1973178036</v>
      </c>
      <c r="AL40" s="17" t="n">
        <f aca="false">IF(AND((Assumptions!$E$5=1),(AL$2&gt;=Assumptions!$E$46)),(AL35*Assumptions!$E$47),0)</f>
        <v>14873.9089309576</v>
      </c>
    </row>
    <row r="41" customFormat="false" ht="15" hidden="false" customHeight="false" outlineLevel="0" collapsed="false">
      <c r="A41" s="6" t="s">
        <v>409</v>
      </c>
      <c r="B41" s="2" t="s">
        <v>142</v>
      </c>
      <c r="C41" s="17" t="n">
        <f aca="false">(C40*Assumptions!$E$48)</f>
        <v>0</v>
      </c>
      <c r="D41" s="17" t="n">
        <f aca="false">(D40*Assumptions!$E$48)</f>
        <v>0</v>
      </c>
      <c r="E41" s="17" t="n">
        <f aca="false">(E40*Assumptions!$E$48)</f>
        <v>0</v>
      </c>
      <c r="F41" s="17" t="n">
        <f aca="false">(F40*Assumptions!$E$48)</f>
        <v>10225.2594463721</v>
      </c>
      <c r="G41" s="17" t="n">
        <f aca="false">(G40*Assumptions!$E$48)</f>
        <v>11556.2413443626</v>
      </c>
      <c r="H41" s="17" t="n">
        <f aca="false">(H40*Assumptions!$E$48)</f>
        <v>12922.8825080283</v>
      </c>
      <c r="I41" s="17" t="n">
        <f aca="false">(I40*Assumptions!$E$48)</f>
        <v>14335.367463764</v>
      </c>
      <c r="J41" s="17" t="n">
        <f aca="false">(J40*Assumptions!$E$48)</f>
        <v>15800.59836198</v>
      </c>
      <c r="K41" s="17" t="n">
        <f aca="false">(K40*Assumptions!$E$48)</f>
        <v>17325.6209000012</v>
      </c>
      <c r="L41" s="17" t="n">
        <f aca="false">(L40*Assumptions!$E$48)</f>
        <v>18917.7028812148</v>
      </c>
      <c r="M41" s="17" t="n">
        <f aca="false">(M40*Assumptions!$E$48)</f>
        <v>20584.3710222332</v>
      </c>
      <c r="N41" s="17" t="n">
        <f aca="false">(N40*Assumptions!$E$48)</f>
        <v>22333.4481386442</v>
      </c>
      <c r="O41" s="17" t="n">
        <f aca="false">(O40*Assumptions!$E$48)</f>
        <v>24173.0914303498</v>
      </c>
      <c r="P41" s="17" t="n">
        <f aca="false">(P40*Assumptions!$E$48)</f>
        <v>26110.9674691144</v>
      </c>
      <c r="Q41" s="17" t="n">
        <f aca="false">(Q40*Assumptions!$E$48)</f>
        <v>28156.6993996283</v>
      </c>
      <c r="R41" s="17" t="n">
        <f aca="false">(R40*Assumptions!$E$48)</f>
        <v>30319.7054820895</v>
      </c>
      <c r="S41" s="17" t="n">
        <f aca="false">(S40*Assumptions!$E$48)</f>
        <v>32609.8408974363</v>
      </c>
      <c r="T41" s="17" t="n">
        <f aca="false">(T40*Assumptions!$E$48)</f>
        <v>35037.5947697834</v>
      </c>
      <c r="U41" s="17" t="n">
        <f aca="false">(U40*Assumptions!$E$48)</f>
        <v>37614.0166700135</v>
      </c>
      <c r="V41" s="17" t="n">
        <f aca="false">(V40*Assumptions!$E$48)</f>
        <v>40350.8044954218</v>
      </c>
      <c r="W41" s="17" t="n">
        <f aca="false">(W40*Assumptions!$E$48)</f>
        <v>43260.3599605849</v>
      </c>
      <c r="X41" s="17" t="n">
        <f aca="false">(X40*Assumptions!$E$48)</f>
        <v>46355.8462543715</v>
      </c>
      <c r="Y41" s="17" t="n">
        <f aca="false">(Y40*Assumptions!$E$48)</f>
        <v>49651.2490365381</v>
      </c>
      <c r="Z41" s="17" t="n">
        <f aca="false">(Z40*Assumptions!$E$48)</f>
        <v>53161.4410777147</v>
      </c>
      <c r="AA41" s="17" t="n">
        <f aca="false">(AA40*Assumptions!$E$48)</f>
        <v>56902.2508455341</v>
      </c>
      <c r="AB41" s="17" t="n">
        <f aca="false">(AB40*Assumptions!$E$48)</f>
        <v>60890.1744175857</v>
      </c>
      <c r="AC41" s="17" t="n">
        <f aca="false">(AC40*Assumptions!$E$48)</f>
        <v>65143.4575319038</v>
      </c>
      <c r="AD41" s="17" t="n">
        <f aca="false">(AD40*Assumptions!$E$48)</f>
        <v>69681.2576024631</v>
      </c>
      <c r="AE41" s="17" t="n">
        <f aca="false">(AE40*Assumptions!$E$48)</f>
        <v>74523.9808528377</v>
      </c>
      <c r="AF41" s="17" t="n">
        <f aca="false">(AF40*Assumptions!$E$48)</f>
        <v>79693.4385536704</v>
      </c>
      <c r="AG41" s="17" t="n">
        <f aca="false">(AG40*Assumptions!$E$48)</f>
        <v>85212.8955078193</v>
      </c>
      <c r="AH41" s="17" t="n">
        <f aca="false">(AH40*Assumptions!$E$48)</f>
        <v>91107.1914843007</v>
      </c>
      <c r="AI41" s="17" t="n">
        <f aca="false">(AI40*Assumptions!$E$48)</f>
        <v>97402.8550757831</v>
      </c>
      <c r="AJ41" s="17" t="n">
        <f aca="false">(AJ40*Assumptions!$E$48)</f>
        <v>104128.224823493</v>
      </c>
      <c r="AK41" s="17" t="n">
        <f aca="false">(AK40*Assumptions!$E$48)</f>
        <v>111313.578542429</v>
      </c>
      <c r="AL41" s="17" t="n">
        <f aca="false">(AL40*Assumptions!$E$48)</f>
        <v>118991.271447661</v>
      </c>
    </row>
    <row r="42" customFormat="false" ht="15" hidden="false" customHeight="false" outlineLevel="0" collapsed="false">
      <c r="A42" s="6" t="s">
        <v>410</v>
      </c>
      <c r="B42" s="2" t="s">
        <v>145</v>
      </c>
      <c r="C42" s="17" t="n">
        <f aca="false">(C40*Assumptions!$E$49)</f>
        <v>0</v>
      </c>
      <c r="D42" s="17" t="n">
        <f aca="false">(D40*Assumptions!$E$49)</f>
        <v>0</v>
      </c>
      <c r="E42" s="17" t="n">
        <f aca="false">(E40*Assumptions!$E$49)</f>
        <v>0</v>
      </c>
      <c r="F42" s="17" t="n">
        <f aca="false">(F40*Assumptions!$E$49)</f>
        <v>5112.62972318605</v>
      </c>
      <c r="G42" s="17" t="n">
        <f aca="false">(G40*Assumptions!$E$49)</f>
        <v>5778.12067218128</v>
      </c>
      <c r="H42" s="17" t="n">
        <f aca="false">(H40*Assumptions!$E$49)</f>
        <v>6461.44125401414</v>
      </c>
      <c r="I42" s="17" t="n">
        <f aca="false">(I40*Assumptions!$E$49)</f>
        <v>7167.68373188202</v>
      </c>
      <c r="J42" s="17" t="n">
        <f aca="false">(J40*Assumptions!$E$49)</f>
        <v>7900.29918098999</v>
      </c>
      <c r="K42" s="17" t="n">
        <f aca="false">(K40*Assumptions!$E$49)</f>
        <v>8662.81045000058</v>
      </c>
      <c r="L42" s="17" t="n">
        <f aca="false">(L40*Assumptions!$E$49)</f>
        <v>9458.85144060742</v>
      </c>
      <c r="M42" s="17" t="n">
        <f aca="false">(M40*Assumptions!$E$49)</f>
        <v>10292.1855111166</v>
      </c>
      <c r="N42" s="17" t="n">
        <f aca="false">(N40*Assumptions!$E$49)</f>
        <v>11166.7240693221</v>
      </c>
      <c r="O42" s="17" t="n">
        <f aca="false">(O40*Assumptions!$E$49)</f>
        <v>12086.5457151749</v>
      </c>
      <c r="P42" s="17" t="n">
        <f aca="false">(P40*Assumptions!$E$49)</f>
        <v>13055.4837345572</v>
      </c>
      <c r="Q42" s="17" t="n">
        <f aca="false">(Q40*Assumptions!$E$49)</f>
        <v>14078.3496998142</v>
      </c>
      <c r="R42" s="17" t="n">
        <f aca="false">(R40*Assumptions!$E$49)</f>
        <v>15159.8527410448</v>
      </c>
      <c r="S42" s="17" t="n">
        <f aca="false">(S40*Assumptions!$E$49)</f>
        <v>16304.9204487181</v>
      </c>
      <c r="T42" s="17" t="n">
        <f aca="false">(T40*Assumptions!$E$49)</f>
        <v>17518.7973848917</v>
      </c>
      <c r="U42" s="17" t="n">
        <f aca="false">(U40*Assumptions!$E$49)</f>
        <v>18807.0083350068</v>
      </c>
      <c r="V42" s="17" t="n">
        <f aca="false">(V40*Assumptions!$E$49)</f>
        <v>20175.4022477109</v>
      </c>
      <c r="W42" s="17" t="n">
        <f aca="false">(W40*Assumptions!$E$49)</f>
        <v>21630.1799802925</v>
      </c>
      <c r="X42" s="17" t="n">
        <f aca="false">(X40*Assumptions!$E$49)</f>
        <v>23177.9231271857</v>
      </c>
      <c r="Y42" s="17" t="n">
        <f aca="false">(Y40*Assumptions!$E$49)</f>
        <v>24825.6245182691</v>
      </c>
      <c r="Z42" s="17" t="n">
        <f aca="false">(Z40*Assumptions!$E$49)</f>
        <v>26580.7205388574</v>
      </c>
      <c r="AA42" s="17" t="n">
        <f aca="false">(AA40*Assumptions!$E$49)</f>
        <v>28451.1254227671</v>
      </c>
      <c r="AB42" s="17" t="n">
        <f aca="false">(AB40*Assumptions!$E$49)</f>
        <v>30445.0872087929</v>
      </c>
      <c r="AC42" s="17" t="n">
        <f aca="false">(AC40*Assumptions!$E$49)</f>
        <v>32571.7287659519</v>
      </c>
      <c r="AD42" s="17" t="n">
        <f aca="false">(AD40*Assumptions!$E$49)</f>
        <v>34840.6288012316</v>
      </c>
      <c r="AE42" s="17" t="n">
        <f aca="false">(AE40*Assumptions!$E$49)</f>
        <v>37261.9904264189</v>
      </c>
      <c r="AF42" s="17" t="n">
        <f aca="false">(AF40*Assumptions!$E$49)</f>
        <v>39846.7192768352</v>
      </c>
      <c r="AG42" s="17" t="n">
        <f aca="false">(AG40*Assumptions!$E$49)</f>
        <v>42606.4477539097</v>
      </c>
      <c r="AH42" s="17" t="n">
        <f aca="false">(AH40*Assumptions!$E$49)</f>
        <v>45553.5957421504</v>
      </c>
      <c r="AI42" s="17" t="n">
        <f aca="false">(AI40*Assumptions!$E$49)</f>
        <v>48701.4275378915</v>
      </c>
      <c r="AJ42" s="17" t="n">
        <f aca="false">(AJ40*Assumptions!$E$49)</f>
        <v>52064.1124117467</v>
      </c>
      <c r="AK42" s="17" t="n">
        <f aca="false">(AK40*Assumptions!$E$49)</f>
        <v>55656.7892712143</v>
      </c>
      <c r="AL42" s="17" t="n">
        <f aca="false">(AL40*Assumptions!$E$49)</f>
        <v>59495.6357238304</v>
      </c>
    </row>
    <row r="43" customFormat="false" ht="15" hidden="false" customHeight="false" outlineLevel="0" collapsed="false">
      <c r="A43" s="6" t="s">
        <v>411</v>
      </c>
      <c r="B43" s="2" t="s">
        <v>147</v>
      </c>
      <c r="C43" s="17" t="n">
        <f aca="false">(C40*Assumptions!$E$50)</f>
        <v>0</v>
      </c>
      <c r="D43" s="17" t="n">
        <f aca="false">(D40*Assumptions!$E$50)</f>
        <v>0</v>
      </c>
      <c r="E43" s="17" t="n">
        <f aca="false">(E40*Assumptions!$E$50)</f>
        <v>0</v>
      </c>
      <c r="F43" s="17" t="n">
        <f aca="false">(F40*Assumptions!$E$50)</f>
        <v>1278.15743079651</v>
      </c>
      <c r="G43" s="17" t="n">
        <f aca="false">(G40*Assumptions!$E$50)</f>
        <v>1444.53016804532</v>
      </c>
      <c r="H43" s="17" t="n">
        <f aca="false">(H40*Assumptions!$E$50)</f>
        <v>1615.36031350354</v>
      </c>
      <c r="I43" s="17" t="n">
        <f aca="false">(I40*Assumptions!$E$50)</f>
        <v>1791.9209329705</v>
      </c>
      <c r="J43" s="17" t="n">
        <f aca="false">(J40*Assumptions!$E$50)</f>
        <v>1975.0747952475</v>
      </c>
      <c r="K43" s="17" t="n">
        <f aca="false">(K40*Assumptions!$E$50)</f>
        <v>2165.70261250015</v>
      </c>
      <c r="L43" s="17" t="n">
        <f aca="false">(L40*Assumptions!$E$50)</f>
        <v>2364.71286015185</v>
      </c>
      <c r="M43" s="17" t="n">
        <f aca="false">(M40*Assumptions!$E$50)</f>
        <v>2573.04637777914</v>
      </c>
      <c r="N43" s="17" t="n">
        <f aca="false">(N40*Assumptions!$E$50)</f>
        <v>2791.68101733053</v>
      </c>
      <c r="O43" s="17" t="n">
        <f aca="false">(O40*Assumptions!$E$50)</f>
        <v>3021.63642879373</v>
      </c>
      <c r="P43" s="17" t="n">
        <f aca="false">(P40*Assumptions!$E$50)</f>
        <v>3263.87093363929</v>
      </c>
      <c r="Q43" s="17" t="n">
        <f aca="false">(Q40*Assumptions!$E$50)</f>
        <v>3519.58742495354</v>
      </c>
      <c r="R43" s="17" t="n">
        <f aca="false">(R40*Assumptions!$E$50)</f>
        <v>3789.96318526119</v>
      </c>
      <c r="S43" s="17" t="n">
        <f aca="false">(S40*Assumptions!$E$50)</f>
        <v>4076.23011217953</v>
      </c>
      <c r="T43" s="17" t="n">
        <f aca="false">(T40*Assumptions!$E$50)</f>
        <v>4379.69934622292</v>
      </c>
      <c r="U43" s="17" t="n">
        <f aca="false">(U40*Assumptions!$E$50)</f>
        <v>4701.75208375169</v>
      </c>
      <c r="V43" s="17" t="n">
        <f aca="false">(V40*Assumptions!$E$50)</f>
        <v>5043.85056192773</v>
      </c>
      <c r="W43" s="17" t="n">
        <f aca="false">(W40*Assumptions!$E$50)</f>
        <v>5407.54499507311</v>
      </c>
      <c r="X43" s="17" t="n">
        <f aca="false">(X40*Assumptions!$E$50)</f>
        <v>5794.48078179644</v>
      </c>
      <c r="Y43" s="17" t="n">
        <f aca="false">(Y40*Assumptions!$E$50)</f>
        <v>6206.40612956726</v>
      </c>
      <c r="Z43" s="17" t="n">
        <f aca="false">(Z40*Assumptions!$E$50)</f>
        <v>6645.18013471434</v>
      </c>
      <c r="AA43" s="17" t="n">
        <f aca="false">(AA40*Assumptions!$E$50)</f>
        <v>7112.78135569177</v>
      </c>
      <c r="AB43" s="17" t="n">
        <f aca="false">(AB40*Assumptions!$E$50)</f>
        <v>7611.27180219822</v>
      </c>
      <c r="AC43" s="17" t="n">
        <f aca="false">(AC40*Assumptions!$E$50)</f>
        <v>8142.93219148798</v>
      </c>
      <c r="AD43" s="17" t="n">
        <f aca="false">(AD40*Assumptions!$E$50)</f>
        <v>8710.15720030789</v>
      </c>
      <c r="AE43" s="17" t="n">
        <f aca="false">(AE40*Assumptions!$E$50)</f>
        <v>9315.49760660472</v>
      </c>
      <c r="AF43" s="17" t="n">
        <f aca="false">(AF40*Assumptions!$E$50)</f>
        <v>9961.6798192088</v>
      </c>
      <c r="AG43" s="17" t="n">
        <f aca="false">(AG40*Assumptions!$E$50)</f>
        <v>10651.6119384774</v>
      </c>
      <c r="AH43" s="17" t="n">
        <f aca="false">(AH40*Assumptions!$E$50)</f>
        <v>11388.3989355376</v>
      </c>
      <c r="AI43" s="17" t="n">
        <f aca="false">(AI40*Assumptions!$E$50)</f>
        <v>12175.3568844729</v>
      </c>
      <c r="AJ43" s="17" t="n">
        <f aca="false">(AJ40*Assumptions!$E$50)</f>
        <v>13016.0281029367</v>
      </c>
      <c r="AK43" s="17" t="n">
        <f aca="false">(AK40*Assumptions!$E$50)</f>
        <v>13914.1973178036</v>
      </c>
      <c r="AL43" s="17" t="n">
        <f aca="false">(AL40*Assumptions!$E$50)</f>
        <v>14873.9089309576</v>
      </c>
    </row>
    <row r="44" customFormat="false" ht="15" hidden="false" customHeight="false" outlineLevel="0" collapsed="false">
      <c r="A44" s="6" t="s">
        <v>412</v>
      </c>
      <c r="B44" s="2" t="s">
        <v>413</v>
      </c>
      <c r="C44" s="17" t="n">
        <f aca="false">IF(AND((Assumptions!$E$6=1),(C$2&gt;=Assumptions!$E$56)),((C36/1000)*Assumptions!$E$57),0)</f>
        <v>0</v>
      </c>
      <c r="D44" s="17" t="n">
        <f aca="false">IF(AND((Assumptions!$E$6=1),(D$2&gt;=Assumptions!$E$56)),((D36/1000)*Assumptions!$E$57),0)</f>
        <v>0</v>
      </c>
      <c r="E44" s="17" t="n">
        <f aca="false">IF(AND((Assumptions!$E$6=1),(E$2&gt;=Assumptions!$E$56)),((E36/1000)*Assumptions!$E$57),0)</f>
        <v>0</v>
      </c>
      <c r="F44" s="17" t="n">
        <f aca="false">IF(AND((Assumptions!$E$6=1),(F$2&gt;=Assumptions!$E$56)),((F36/1000)*Assumptions!$E$57),0)</f>
        <v>0</v>
      </c>
      <c r="G44" s="17" t="n">
        <f aca="false">IF(AND((Assumptions!$E$6=1),(G$2&gt;=Assumptions!$E$56)),((G36/1000)*Assumptions!$E$57),0)</f>
        <v>0</v>
      </c>
      <c r="H44" s="17" t="n">
        <f aca="false">IF(AND((Assumptions!$E$6=1),(H$2&gt;=Assumptions!$E$56)),((H36/1000)*Assumptions!$E$57),0)</f>
        <v>0</v>
      </c>
      <c r="I44" s="17" t="n">
        <f aca="false">IF(AND((Assumptions!$E$6=1),(I$2&gt;=Assumptions!$E$56)),((I36/1000)*Assumptions!$E$57),0)</f>
        <v>13.9221786961649</v>
      </c>
      <c r="J44" s="17" t="n">
        <f aca="false">IF(AND((Assumptions!$E$6=1),(J$2&gt;=Assumptions!$E$56)),((J36/1000)*Assumptions!$E$57),0)</f>
        <v>15.4236473047318</v>
      </c>
      <c r="K44" s="17" t="n">
        <f aca="false">IF(AND((Assumptions!$E$6=1),(K$2&gt;=Assumptions!$E$56)),((K36/1000)*Assumptions!$E$57),0)</f>
        <v>16.9889640854041</v>
      </c>
      <c r="L44" s="17" t="n">
        <f aca="false">IF(AND((Assumptions!$E$6=1),(L$2&gt;=Assumptions!$E$56)),((L36/1000)*Assumptions!$E$57),0)</f>
        <v>18.625686681706</v>
      </c>
      <c r="M44" s="17" t="n">
        <f aca="false">IF(AND((Assumptions!$E$6=1),(M$2&gt;=Assumptions!$E$56)),((M36/1000)*Assumptions!$E$57),0)</f>
        <v>20.3416292255146</v>
      </c>
      <c r="N44" s="17" t="n">
        <f aca="false">IF(AND((Assumptions!$E$6=1),(N$2&gt;=Assumptions!$E$56)),((N36/1000)*Assumptions!$E$57),0)</f>
        <v>22.1449039849419</v>
      </c>
      <c r="O44" s="17" t="n">
        <f aca="false">IF(AND((Assumptions!$E$6=1),(O$2&gt;=Assumptions!$E$56)),((O36/1000)*Assumptions!$E$57),0)</f>
        <v>23.9911962305474</v>
      </c>
      <c r="P44" s="17" t="n">
        <f aca="false">IF(AND((Assumptions!$E$6=1),(P$2&gt;=Assumptions!$E$56)),((P36/1000)*Assumptions!$E$57),0)</f>
        <v>25.9369882224511</v>
      </c>
      <c r="Q44" s="17" t="n">
        <f aca="false">IF(AND((Assumptions!$E$6=1),(Q$2&gt;=Assumptions!$E$56)),((Q36/1000)*Assumptions!$E$57),0)</f>
        <v>27.9925201500407</v>
      </c>
      <c r="R44" s="17" t="n">
        <f aca="false">IF(AND((Assumptions!$E$6=1),(R$2&gt;=Assumptions!$E$56)),((R36/1000)*Assumptions!$E$57),0)</f>
        <v>30.1643773423808</v>
      </c>
      <c r="S44" s="17" t="n">
        <f aca="false">IF(AND((Assumptions!$E$6=1),(S$2&gt;=Assumptions!$E$56)),((S36/1000)*Assumptions!$E$57),0)</f>
        <v>32.4652110626827</v>
      </c>
      <c r="T44" s="17" t="n">
        <f aca="false">IF(AND((Assumptions!$E$6=1),(T$2&gt;=Assumptions!$E$56)),((T36/1000)*Assumptions!$E$57),0)</f>
        <v>34.9056065412759</v>
      </c>
      <c r="U44" s="17" t="n">
        <f aca="false">IF(AND((Assumptions!$E$6=1),(U$2&gt;=Assumptions!$E$56)),((U36/1000)*Assumptions!$E$57),0)</f>
        <v>37.4966819174267</v>
      </c>
      <c r="V44" s="17" t="n">
        <f aca="false">IF(AND((Assumptions!$E$6=1),(V$2&gt;=Assumptions!$E$56)),((V36/1000)*Assumptions!$E$57),0)</f>
        <v>40.2502071796593</v>
      </c>
      <c r="W44" s="17" t="n">
        <f aca="false">IF(AND((Assumptions!$E$6=1),(W$2&gt;=Assumptions!$E$56)),((W36/1000)*Assumptions!$E$57),0)</f>
        <v>43.1786610835277</v>
      </c>
      <c r="X44" s="17" t="n">
        <f aca="false">IF(AND((Assumptions!$E$6=1),(X$2&gt;=Assumptions!$E$56)),((X36/1000)*Assumptions!$E$57),0)</f>
        <v>46.2952898164931</v>
      </c>
      <c r="Y44" s="17" t="n">
        <f aca="false">IF(AND((Assumptions!$E$6=1),(Y$2&gt;=Assumptions!$E$56)),((Y36/1000)*Assumptions!$E$57),0)</f>
        <v>49.6141689249963</v>
      </c>
      <c r="Z44" s="17" t="n">
        <f aca="false">IF(AND((Assumptions!$E$6=1),(Z$2&gt;=Assumptions!$E$56)),((Z36/1000)*Assumptions!$E$57),0)</f>
        <v>53.1502688296347</v>
      </c>
      <c r="AA44" s="17" t="n">
        <f aca="false">IF(AND((Assumptions!$E$6=1),(AA$2&gt;=Assumptions!$E$56)),((AA36/1000)*Assumptions!$E$57),0)</f>
        <v>56.8974956637714</v>
      </c>
      <c r="AB44" s="17" t="n">
        <f aca="false">IF(AND((Assumptions!$E$6=1),(AB$2&gt;=Assumptions!$E$56)),((AB36/1000)*Assumptions!$E$57),0)</f>
        <v>60.892719991236</v>
      </c>
      <c r="AC44" s="17" t="n">
        <f aca="false">IF(AND((Assumptions!$E$6=1),(AC$2&gt;=Assumptions!$E$56)),((AC36/1000)*Assumptions!$E$57),0)</f>
        <v>65.1544388618747</v>
      </c>
      <c r="AD44" s="17" t="n">
        <f aca="false">IF(AND((Assumptions!$E$6=1),(AD$2&gt;=Assumptions!$E$56)),((AD36/1000)*Assumptions!$E$57),0)</f>
        <v>69.700624888745</v>
      </c>
      <c r="AE44" s="17" t="n">
        <f aca="false">IF(AND((Assumptions!$E$6=1),(AE$2&gt;=Assumptions!$E$56)),((AE36/1000)*Assumptions!$E$57),0)</f>
        <v>74.5528536944147</v>
      </c>
      <c r="AF44" s="17" t="n">
        <f aca="false">IF(AND((Assumptions!$E$6=1),(AF$2&gt;=Assumptions!$E$56)),((AF36/1000)*Assumptions!$E$57),0)</f>
        <v>79.7329819608708</v>
      </c>
      <c r="AG44" s="17" t="n">
        <f aca="false">IF(AND((Assumptions!$E$6=1),(AG$2&gt;=Assumptions!$E$56)),((AG36/1000)*Assumptions!$E$57),0)</f>
        <v>85.2643116523902</v>
      </c>
      <c r="AH44" s="17" t="n">
        <f aca="false">IF(AND((Assumptions!$E$6=1),(AH$2&gt;=Assumptions!$E$56)),((AH36/1000)*Assumptions!$E$57),0)</f>
        <v>91.1717242015177</v>
      </c>
      <c r="AI44" s="17" t="n">
        <f aca="false">IF(AND((Assumptions!$E$6=1),(AI$2&gt;=Assumptions!$E$56)),((AI36/1000)*Assumptions!$E$57),0)</f>
        <v>97.4817947880492</v>
      </c>
      <c r="AJ44" s="17" t="n">
        <f aca="false">IF(AND((Assumptions!$E$6=1),(AJ$2&gt;=Assumptions!$E$56)),((AJ36/1000)*Assumptions!$E$57),0)</f>
        <v>104.222913753821</v>
      </c>
      <c r="AK44" s="17" t="n">
        <f aca="false">IF(AND((Assumptions!$E$6=1),(AK$2&gt;=Assumptions!$E$56)),((AK36/1000)*Assumptions!$E$57),0)</f>
        <v>111.425416224117</v>
      </c>
      <c r="AL44" s="17" t="n">
        <f aca="false">IF(AND((Assumptions!$E$6=1),(AL$2&gt;=Assumptions!$E$56)),((AL36/1000)*Assumptions!$E$57),0)</f>
        <v>119.121720541604</v>
      </c>
    </row>
    <row r="45" customFormat="false" ht="15" hidden="false" customHeight="false" outlineLevel="0" collapsed="false">
      <c r="A45" s="6" t="s">
        <v>414</v>
      </c>
      <c r="B45" s="2" t="s">
        <v>415</v>
      </c>
      <c r="C45" s="17" t="n">
        <f aca="false">(C44*Assumptions!$E$58)</f>
        <v>0</v>
      </c>
      <c r="D45" s="17" t="n">
        <f aca="false">(D44*Assumptions!$E$58)</f>
        <v>0</v>
      </c>
      <c r="E45" s="17" t="n">
        <f aca="false">(E44*Assumptions!$E$58)</f>
        <v>0</v>
      </c>
      <c r="F45" s="17" t="n">
        <f aca="false">(F44*Assumptions!$E$58)</f>
        <v>0</v>
      </c>
      <c r="G45" s="17" t="n">
        <f aca="false">(G44*Assumptions!$E$58)</f>
        <v>0</v>
      </c>
      <c r="H45" s="17" t="n">
        <f aca="false">(H44*Assumptions!$E$58)</f>
        <v>0</v>
      </c>
      <c r="I45" s="17" t="n">
        <f aca="false">(I44*Assumptions!$E$58)</f>
        <v>0.556887147846594</v>
      </c>
      <c r="J45" s="17" t="n">
        <f aca="false">(J44*Assumptions!$E$58)</f>
        <v>0.616945892189273</v>
      </c>
      <c r="K45" s="17" t="n">
        <f aca="false">(K44*Assumptions!$E$58)</f>
        <v>0.679558563416164</v>
      </c>
      <c r="L45" s="17" t="n">
        <f aca="false">(L44*Assumptions!$E$58)</f>
        <v>0.74502746726824</v>
      </c>
      <c r="M45" s="17" t="n">
        <f aca="false">(M44*Assumptions!$E$58)</f>
        <v>0.813665169020586</v>
      </c>
      <c r="N45" s="17" t="n">
        <f aca="false">(N44*Assumptions!$E$58)</f>
        <v>0.885796159397676</v>
      </c>
      <c r="O45" s="17" t="n">
        <f aca="false">(O44*Assumptions!$E$58)</f>
        <v>0.959647849221895</v>
      </c>
      <c r="P45" s="17" t="n">
        <f aca="false">(P44*Assumptions!$E$58)</f>
        <v>1.03747952889804</v>
      </c>
      <c r="Q45" s="17" t="n">
        <f aca="false">(Q44*Assumptions!$E$58)</f>
        <v>1.11970080600163</v>
      </c>
      <c r="R45" s="17" t="n">
        <f aca="false">(R44*Assumptions!$E$58)</f>
        <v>1.20657509369523</v>
      </c>
      <c r="S45" s="17" t="n">
        <f aca="false">(S44*Assumptions!$E$58)</f>
        <v>1.29860844250731</v>
      </c>
      <c r="T45" s="17" t="n">
        <f aca="false">(T44*Assumptions!$E$58)</f>
        <v>1.39622426165104</v>
      </c>
      <c r="U45" s="17" t="n">
        <f aca="false">(U44*Assumptions!$E$58)</f>
        <v>1.49986727669707</v>
      </c>
      <c r="V45" s="17" t="n">
        <f aca="false">(V44*Assumptions!$E$58)</f>
        <v>1.61000828718637</v>
      </c>
      <c r="W45" s="17" t="n">
        <f aca="false">(W44*Assumptions!$E$58)</f>
        <v>1.72714644334111</v>
      </c>
      <c r="X45" s="17" t="n">
        <f aca="false">(X44*Assumptions!$E$58)</f>
        <v>1.85181159265973</v>
      </c>
      <c r="Y45" s="17" t="n">
        <f aca="false">(Y44*Assumptions!$E$58)</f>
        <v>1.98456675699985</v>
      </c>
      <c r="Z45" s="17" t="n">
        <f aca="false">(Z44*Assumptions!$E$58)</f>
        <v>2.12601075318539</v>
      </c>
      <c r="AA45" s="17" t="n">
        <f aca="false">(AA44*Assumptions!$E$58)</f>
        <v>2.27589982655086</v>
      </c>
      <c r="AB45" s="17" t="n">
        <f aca="false">(AB44*Assumptions!$E$58)</f>
        <v>2.43570879964944</v>
      </c>
      <c r="AC45" s="17" t="n">
        <f aca="false">(AC44*Assumptions!$E$58)</f>
        <v>2.60617755447499</v>
      </c>
      <c r="AD45" s="17" t="n">
        <f aca="false">(AD44*Assumptions!$E$58)</f>
        <v>2.7880249955498</v>
      </c>
      <c r="AE45" s="17" t="n">
        <f aca="false">(AE44*Assumptions!$E$58)</f>
        <v>2.98211414777659</v>
      </c>
      <c r="AF45" s="17" t="n">
        <f aca="false">(AF44*Assumptions!$E$58)</f>
        <v>3.18931927843483</v>
      </c>
      <c r="AG45" s="17" t="n">
        <f aca="false">(AG44*Assumptions!$E$58)</f>
        <v>3.41057246609561</v>
      </c>
      <c r="AH45" s="17" t="n">
        <f aca="false">(AH44*Assumptions!$E$58)</f>
        <v>3.64686896806071</v>
      </c>
      <c r="AI45" s="17" t="n">
        <f aca="false">(AI44*Assumptions!$E$58)</f>
        <v>3.89927179152197</v>
      </c>
      <c r="AJ45" s="17" t="n">
        <f aca="false">(AJ44*Assumptions!$E$58)</f>
        <v>4.16891655015286</v>
      </c>
      <c r="AK45" s="17" t="n">
        <f aca="false">(AK44*Assumptions!$E$58)</f>
        <v>4.45701664896469</v>
      </c>
      <c r="AL45" s="17" t="n">
        <f aca="false">(AL44*Assumptions!$E$58)</f>
        <v>4.76486882166417</v>
      </c>
    </row>
    <row r="46" customFormat="false" ht="15" hidden="false" customHeight="false" outlineLevel="0" collapsed="false">
      <c r="A46" s="6" t="s">
        <v>416</v>
      </c>
      <c r="B46" s="2" t="s">
        <v>417</v>
      </c>
      <c r="C46" s="17" t="n">
        <f aca="false">IF(AND((Assumptions!$E$7=1),(C$2&gt;=Assumptions!$E$61)),(Assumptions!$E$62+(Assumptions!$E$63*(C$2-Assumptions!$E$61))),0)</f>
        <v>0</v>
      </c>
      <c r="D46" s="17" t="n">
        <f aca="false">IF(AND((Assumptions!$E$7=1),(D$2&gt;=Assumptions!$E$61)),(Assumptions!$E$62+(Assumptions!$E$63*(D$2-Assumptions!$E$61))),0)</f>
        <v>0</v>
      </c>
      <c r="E46" s="17" t="n">
        <f aca="false">IF(AND((Assumptions!$E$7=1),(E$2&gt;=Assumptions!$E$61)),(Assumptions!$E$62+(Assumptions!$E$63*(E$2-Assumptions!$E$61))),0)</f>
        <v>0</v>
      </c>
      <c r="F46" s="17" t="n">
        <f aca="false">IF(AND((Assumptions!$E$7=1),(F$2&gt;=Assumptions!$E$61)),(Assumptions!$E$62+(Assumptions!$E$63*(F$2-Assumptions!$E$61))),0)</f>
        <v>0</v>
      </c>
      <c r="G46" s="17" t="n">
        <f aca="false">IF(AND((Assumptions!$E$7=1),(G$2&gt;=Assumptions!$E$61)),(Assumptions!$E$62+(Assumptions!$E$63*(G$2-Assumptions!$E$61))),0)</f>
        <v>0</v>
      </c>
      <c r="H46" s="17" t="n">
        <f aca="false">IF(AND((Assumptions!$E$7=1),(H$2&gt;=Assumptions!$E$61)),(Assumptions!$E$62+(Assumptions!$E$63*(H$2-Assumptions!$E$61))),0)</f>
        <v>0</v>
      </c>
      <c r="I46" s="17" t="n">
        <f aca="false">IF(AND((Assumptions!$E$7=1),(I$2&gt;=Assumptions!$E$61)),(Assumptions!$E$62+(Assumptions!$E$63*(I$2-Assumptions!$E$61))),0)</f>
        <v>0</v>
      </c>
      <c r="J46" s="17" t="n">
        <f aca="false">IF(AND((Assumptions!$E$7=1),(J$2&gt;=Assumptions!$E$61)),(Assumptions!$E$62+(Assumptions!$E$63*(J$2-Assumptions!$E$61))),0)</f>
        <v>0</v>
      </c>
      <c r="K46" s="17" t="n">
        <f aca="false">IF(AND((Assumptions!$E$7=1),(K$2&gt;=Assumptions!$E$61)),(Assumptions!$E$62+(Assumptions!$E$63*(K$2-Assumptions!$E$61))),0)</f>
        <v>0</v>
      </c>
      <c r="L46" s="17" t="n">
        <f aca="false">IF(AND((Assumptions!$E$7=1),(L$2&gt;=Assumptions!$E$61)),(Assumptions!$E$62+(Assumptions!$E$63*(L$2-Assumptions!$E$61))),0)</f>
        <v>0</v>
      </c>
      <c r="M46" s="17" t="n">
        <f aca="false">IF(AND((Assumptions!$E$7=1),(M$2&gt;=Assumptions!$E$61)),(Assumptions!$E$62+(Assumptions!$E$63*(M$2-Assumptions!$E$61))),0)</f>
        <v>0</v>
      </c>
      <c r="N46" s="17" t="n">
        <f aca="false">IF(AND((Assumptions!$E$7=1),(N$2&gt;=Assumptions!$E$61)),(Assumptions!$E$62+(Assumptions!$E$63*(N$2-Assumptions!$E$61))),0)</f>
        <v>0</v>
      </c>
      <c r="O46" s="17" t="n">
        <f aca="false">IF(AND((Assumptions!$E$7=1),(O$2&gt;=Assumptions!$E$61)),(Assumptions!$E$62+(Assumptions!$E$63*(O$2-Assumptions!$E$61))),0)</f>
        <v>0</v>
      </c>
      <c r="P46" s="17" t="n">
        <f aca="false">IF(AND((Assumptions!$E$7=1),(P$2&gt;=Assumptions!$E$61)),(Assumptions!$E$62+(Assumptions!$E$63*(P$2-Assumptions!$E$61))),0)</f>
        <v>0</v>
      </c>
      <c r="Q46" s="17" t="n">
        <f aca="false">IF(AND((Assumptions!$E$7=1),(Q$2&gt;=Assumptions!$E$61)),(Assumptions!$E$62+(Assumptions!$E$63*(Q$2-Assumptions!$E$61))),0)</f>
        <v>0</v>
      </c>
      <c r="R46" s="17" t="n">
        <f aca="false">IF(AND((Assumptions!$E$7=1),(R$2&gt;=Assumptions!$E$61)),(Assumptions!$E$62+(Assumptions!$E$63*(R$2-Assumptions!$E$61))),0)</f>
        <v>0</v>
      </c>
      <c r="S46" s="17" t="n">
        <f aca="false">IF(AND((Assumptions!$E$7=1),(S$2&gt;=Assumptions!$E$61)),(Assumptions!$E$62+(Assumptions!$E$63*(S$2-Assumptions!$E$61))),0)</f>
        <v>0</v>
      </c>
      <c r="T46" s="17" t="n">
        <f aca="false">IF(AND((Assumptions!$E$7=1),(T$2&gt;=Assumptions!$E$61)),(Assumptions!$E$62+(Assumptions!$E$63*(T$2-Assumptions!$E$61))),0)</f>
        <v>0</v>
      </c>
      <c r="U46" s="17" t="n">
        <f aca="false">IF(AND((Assumptions!$E$7=1),(U$2&gt;=Assumptions!$E$61)),(Assumptions!$E$62+(Assumptions!$E$63*(U$2-Assumptions!$E$61))),0)</f>
        <v>0</v>
      </c>
      <c r="V46" s="17" t="n">
        <f aca="false">IF(AND((Assumptions!$E$7=1),(V$2&gt;=Assumptions!$E$61)),(Assumptions!$E$62+(Assumptions!$E$63*(V$2-Assumptions!$E$61))),0)</f>
        <v>0</v>
      </c>
      <c r="W46" s="17" t="n">
        <f aca="false">IF(AND((Assumptions!$E$7=1),(W$2&gt;=Assumptions!$E$61)),(Assumptions!$E$62+(Assumptions!$E$63*(W$2-Assumptions!$E$61))),0)</f>
        <v>0</v>
      </c>
      <c r="X46" s="17" t="n">
        <f aca="false">IF(AND((Assumptions!$E$7=1),(X$2&gt;=Assumptions!$E$61)),(Assumptions!$E$62+(Assumptions!$E$63*(X$2-Assumptions!$E$61))),0)</f>
        <v>0</v>
      </c>
      <c r="Y46" s="17" t="n">
        <f aca="false">IF(AND((Assumptions!$E$7=1),(Y$2&gt;=Assumptions!$E$61)),(Assumptions!$E$62+(Assumptions!$E$63*(Y$2-Assumptions!$E$61))),0)</f>
        <v>0</v>
      </c>
      <c r="Z46" s="17" t="n">
        <f aca="false">IF(AND((Assumptions!$E$7=1),(Z$2&gt;=Assumptions!$E$61)),(Assumptions!$E$62+(Assumptions!$E$63*(Z$2-Assumptions!$E$61))),0)</f>
        <v>0</v>
      </c>
      <c r="AA46" s="17" t="n">
        <f aca="false">IF(AND((Assumptions!$E$7=1),(AA$2&gt;=Assumptions!$E$61)),(Assumptions!$E$62+(Assumptions!$E$63*(AA$2-Assumptions!$E$61))),0)</f>
        <v>0</v>
      </c>
      <c r="AB46" s="17" t="n">
        <f aca="false">IF(AND((Assumptions!$E$7=1),(AB$2&gt;=Assumptions!$E$61)),(Assumptions!$E$62+(Assumptions!$E$63*(AB$2-Assumptions!$E$61))),0)</f>
        <v>0</v>
      </c>
      <c r="AC46" s="17" t="n">
        <f aca="false">IF(AND((Assumptions!$E$7=1),(AC$2&gt;=Assumptions!$E$61)),(Assumptions!$E$62+(Assumptions!$E$63*(AC$2-Assumptions!$E$61))),0)</f>
        <v>0</v>
      </c>
      <c r="AD46" s="17" t="n">
        <f aca="false">IF(AND((Assumptions!$E$7=1),(AD$2&gt;=Assumptions!$E$61)),(Assumptions!$E$62+(Assumptions!$E$63*(AD$2-Assumptions!$E$61))),0)</f>
        <v>0</v>
      </c>
      <c r="AE46" s="17" t="n">
        <f aca="false">IF(AND((Assumptions!$E$7=1),(AE$2&gt;=Assumptions!$E$61)),(Assumptions!$E$62+(Assumptions!$E$63*(AE$2-Assumptions!$E$61))),0)</f>
        <v>0</v>
      </c>
      <c r="AF46" s="17" t="n">
        <f aca="false">IF(AND((Assumptions!$E$7=1),(AF$2&gt;=Assumptions!$E$61)),(Assumptions!$E$62+(Assumptions!$E$63*(AF$2-Assumptions!$E$61))),0)</f>
        <v>0</v>
      </c>
      <c r="AG46" s="17" t="n">
        <f aca="false">IF(AND((Assumptions!$E$7=1),(AG$2&gt;=Assumptions!$E$61)),(Assumptions!$E$62+(Assumptions!$E$63*(AG$2-Assumptions!$E$61))),0)</f>
        <v>0</v>
      </c>
      <c r="AH46" s="17" t="n">
        <f aca="false">IF(AND((Assumptions!$E$7=1),(AH$2&gt;=Assumptions!$E$61)),(Assumptions!$E$62+(Assumptions!$E$63*(AH$2-Assumptions!$E$61))),0)</f>
        <v>0</v>
      </c>
      <c r="AI46" s="17" t="n">
        <f aca="false">IF(AND((Assumptions!$E$7=1),(AI$2&gt;=Assumptions!$E$61)),(Assumptions!$E$62+(Assumptions!$E$63*(AI$2-Assumptions!$E$61))),0)</f>
        <v>0</v>
      </c>
      <c r="AJ46" s="17" t="n">
        <f aca="false">IF(AND((Assumptions!$E$7=1),(AJ$2&gt;=Assumptions!$E$61)),(Assumptions!$E$62+(Assumptions!$E$63*(AJ$2-Assumptions!$E$61))),0)</f>
        <v>0</v>
      </c>
      <c r="AK46" s="17" t="n">
        <f aca="false">IF(AND((Assumptions!$E$7=1),(AK$2&gt;=Assumptions!$E$61)),(Assumptions!$E$62+(Assumptions!$E$63*(AK$2-Assumptions!$E$61))),0)</f>
        <v>0</v>
      </c>
      <c r="AL46" s="17" t="n">
        <f aca="false">IF(AND((Assumptions!$E$7=1),(AL$2&gt;=Assumptions!$E$61)),(Assumptions!$E$62+(Assumptions!$E$63*(AL$2-Assumptions!$E$61))),0)</f>
        <v>0</v>
      </c>
    </row>
    <row r="47" customFormat="false" ht="15" hidden="false" customHeight="false" outlineLevel="0" collapsed="false">
      <c r="A47" s="6" t="s">
        <v>418</v>
      </c>
      <c r="B47" s="2" t="s">
        <v>419</v>
      </c>
      <c r="C47" s="17" t="n">
        <f aca="false">IF(AND((Assumptions!$E$7=1),(C$2&gt;=Assumptions!$E$61)),(Assumptions!$E$65+(Assumptions!$E$66*(C$2-Assumptions!$E$61))),0)</f>
        <v>0</v>
      </c>
      <c r="D47" s="17" t="n">
        <f aca="false">IF(AND((Assumptions!$E$7=1),(D$2&gt;=Assumptions!$E$61)),(Assumptions!$E$65+(Assumptions!$E$66*(D$2-Assumptions!$E$61))),0)</f>
        <v>0</v>
      </c>
      <c r="E47" s="17" t="n">
        <f aca="false">IF(AND((Assumptions!$E$7=1),(E$2&gt;=Assumptions!$E$61)),(Assumptions!$E$65+(Assumptions!$E$66*(E$2-Assumptions!$E$61))),0)</f>
        <v>0</v>
      </c>
      <c r="F47" s="17" t="n">
        <f aca="false">IF(AND((Assumptions!$E$7=1),(F$2&gt;=Assumptions!$E$61)),(Assumptions!$E$65+(Assumptions!$E$66*(F$2-Assumptions!$E$61))),0)</f>
        <v>0</v>
      </c>
      <c r="G47" s="17" t="n">
        <f aca="false">IF(AND((Assumptions!$E$7=1),(G$2&gt;=Assumptions!$E$61)),(Assumptions!$E$65+(Assumptions!$E$66*(G$2-Assumptions!$E$61))),0)</f>
        <v>0</v>
      </c>
      <c r="H47" s="17" t="n">
        <f aca="false">IF(AND((Assumptions!$E$7=1),(H$2&gt;=Assumptions!$E$61)),(Assumptions!$E$65+(Assumptions!$E$66*(H$2-Assumptions!$E$61))),0)</f>
        <v>0</v>
      </c>
      <c r="I47" s="17" t="n">
        <f aca="false">IF(AND((Assumptions!$E$7=1),(I$2&gt;=Assumptions!$E$61)),(Assumptions!$E$65+(Assumptions!$E$66*(I$2-Assumptions!$E$61))),0)</f>
        <v>0</v>
      </c>
      <c r="J47" s="17" t="n">
        <f aca="false">IF(AND((Assumptions!$E$7=1),(J$2&gt;=Assumptions!$E$61)),(Assumptions!$E$65+(Assumptions!$E$66*(J$2-Assumptions!$E$61))),0)</f>
        <v>0</v>
      </c>
      <c r="K47" s="17" t="n">
        <f aca="false">IF(AND((Assumptions!$E$7=1),(K$2&gt;=Assumptions!$E$61)),(Assumptions!$E$65+(Assumptions!$E$66*(K$2-Assumptions!$E$61))),0)</f>
        <v>0</v>
      </c>
      <c r="L47" s="17" t="n">
        <f aca="false">IF(AND((Assumptions!$E$7=1),(L$2&gt;=Assumptions!$E$61)),(Assumptions!$E$65+(Assumptions!$E$66*(L$2-Assumptions!$E$61))),0)</f>
        <v>0</v>
      </c>
      <c r="M47" s="17" t="n">
        <f aca="false">IF(AND((Assumptions!$E$7=1),(M$2&gt;=Assumptions!$E$61)),(Assumptions!$E$65+(Assumptions!$E$66*(M$2-Assumptions!$E$61))),0)</f>
        <v>0</v>
      </c>
      <c r="N47" s="17" t="n">
        <f aca="false">IF(AND((Assumptions!$E$7=1),(N$2&gt;=Assumptions!$E$61)),(Assumptions!$E$65+(Assumptions!$E$66*(N$2-Assumptions!$E$61))),0)</f>
        <v>0</v>
      </c>
      <c r="O47" s="17" t="n">
        <f aca="false">IF(AND((Assumptions!$E$7=1),(O$2&gt;=Assumptions!$E$61)),(Assumptions!$E$65+(Assumptions!$E$66*(O$2-Assumptions!$E$61))),0)</f>
        <v>0</v>
      </c>
      <c r="P47" s="17" t="n">
        <f aca="false">IF(AND((Assumptions!$E$7=1),(P$2&gt;=Assumptions!$E$61)),(Assumptions!$E$65+(Assumptions!$E$66*(P$2-Assumptions!$E$61))),0)</f>
        <v>0</v>
      </c>
      <c r="Q47" s="17" t="n">
        <f aca="false">IF(AND((Assumptions!$E$7=1),(Q$2&gt;=Assumptions!$E$61)),(Assumptions!$E$65+(Assumptions!$E$66*(Q$2-Assumptions!$E$61))),0)</f>
        <v>0</v>
      </c>
      <c r="R47" s="17" t="n">
        <f aca="false">IF(AND((Assumptions!$E$7=1),(R$2&gt;=Assumptions!$E$61)),(Assumptions!$E$65+(Assumptions!$E$66*(R$2-Assumptions!$E$61))),0)</f>
        <v>0</v>
      </c>
      <c r="S47" s="17" t="n">
        <f aca="false">IF(AND((Assumptions!$E$7=1),(S$2&gt;=Assumptions!$E$61)),(Assumptions!$E$65+(Assumptions!$E$66*(S$2-Assumptions!$E$61))),0)</f>
        <v>0</v>
      </c>
      <c r="T47" s="17" t="n">
        <f aca="false">IF(AND((Assumptions!$E$7=1),(T$2&gt;=Assumptions!$E$61)),(Assumptions!$E$65+(Assumptions!$E$66*(T$2-Assumptions!$E$61))),0)</f>
        <v>0</v>
      </c>
      <c r="U47" s="17" t="n">
        <f aca="false">IF(AND((Assumptions!$E$7=1),(U$2&gt;=Assumptions!$E$61)),(Assumptions!$E$65+(Assumptions!$E$66*(U$2-Assumptions!$E$61))),0)</f>
        <v>0</v>
      </c>
      <c r="V47" s="17" t="n">
        <f aca="false">IF(AND((Assumptions!$E$7=1),(V$2&gt;=Assumptions!$E$61)),(Assumptions!$E$65+(Assumptions!$E$66*(V$2-Assumptions!$E$61))),0)</f>
        <v>0</v>
      </c>
      <c r="W47" s="17" t="n">
        <f aca="false">IF(AND((Assumptions!$E$7=1),(W$2&gt;=Assumptions!$E$61)),(Assumptions!$E$65+(Assumptions!$E$66*(W$2-Assumptions!$E$61))),0)</f>
        <v>0</v>
      </c>
      <c r="X47" s="17" t="n">
        <f aca="false">IF(AND((Assumptions!$E$7=1),(X$2&gt;=Assumptions!$E$61)),(Assumptions!$E$65+(Assumptions!$E$66*(X$2-Assumptions!$E$61))),0)</f>
        <v>0</v>
      </c>
      <c r="Y47" s="17" t="n">
        <f aca="false">IF(AND((Assumptions!$E$7=1),(Y$2&gt;=Assumptions!$E$61)),(Assumptions!$E$65+(Assumptions!$E$66*(Y$2-Assumptions!$E$61))),0)</f>
        <v>0</v>
      </c>
      <c r="Z47" s="17" t="n">
        <f aca="false">IF(AND((Assumptions!$E$7=1),(Z$2&gt;=Assumptions!$E$61)),(Assumptions!$E$65+(Assumptions!$E$66*(Z$2-Assumptions!$E$61))),0)</f>
        <v>0</v>
      </c>
      <c r="AA47" s="17" t="n">
        <f aca="false">IF(AND((Assumptions!$E$7=1),(AA$2&gt;=Assumptions!$E$61)),(Assumptions!$E$65+(Assumptions!$E$66*(AA$2-Assumptions!$E$61))),0)</f>
        <v>0</v>
      </c>
      <c r="AB47" s="17" t="n">
        <f aca="false">IF(AND((Assumptions!$E$7=1),(AB$2&gt;=Assumptions!$E$61)),(Assumptions!$E$65+(Assumptions!$E$66*(AB$2-Assumptions!$E$61))),0)</f>
        <v>0</v>
      </c>
      <c r="AC47" s="17" t="n">
        <f aca="false">IF(AND((Assumptions!$E$7=1),(AC$2&gt;=Assumptions!$E$61)),(Assumptions!$E$65+(Assumptions!$E$66*(AC$2-Assumptions!$E$61))),0)</f>
        <v>0</v>
      </c>
      <c r="AD47" s="17" t="n">
        <f aca="false">IF(AND((Assumptions!$E$7=1),(AD$2&gt;=Assumptions!$E$61)),(Assumptions!$E$65+(Assumptions!$E$66*(AD$2-Assumptions!$E$61))),0)</f>
        <v>0</v>
      </c>
      <c r="AE47" s="17" t="n">
        <f aca="false">IF(AND((Assumptions!$E$7=1),(AE$2&gt;=Assumptions!$E$61)),(Assumptions!$E$65+(Assumptions!$E$66*(AE$2-Assumptions!$E$61))),0)</f>
        <v>0</v>
      </c>
      <c r="AF47" s="17" t="n">
        <f aca="false">IF(AND((Assumptions!$E$7=1),(AF$2&gt;=Assumptions!$E$61)),(Assumptions!$E$65+(Assumptions!$E$66*(AF$2-Assumptions!$E$61))),0)</f>
        <v>0</v>
      </c>
      <c r="AG47" s="17" t="n">
        <f aca="false">IF(AND((Assumptions!$E$7=1),(AG$2&gt;=Assumptions!$E$61)),(Assumptions!$E$65+(Assumptions!$E$66*(AG$2-Assumptions!$E$61))),0)</f>
        <v>0</v>
      </c>
      <c r="AH47" s="17" t="n">
        <f aca="false">IF(AND((Assumptions!$E$7=1),(AH$2&gt;=Assumptions!$E$61)),(Assumptions!$E$65+(Assumptions!$E$66*(AH$2-Assumptions!$E$61))),0)</f>
        <v>0</v>
      </c>
      <c r="AI47" s="17" t="n">
        <f aca="false">IF(AND((Assumptions!$E$7=1),(AI$2&gt;=Assumptions!$E$61)),(Assumptions!$E$65+(Assumptions!$E$66*(AI$2-Assumptions!$E$61))),0)</f>
        <v>0</v>
      </c>
      <c r="AJ47" s="17" t="n">
        <f aca="false">IF(AND((Assumptions!$E$7=1),(AJ$2&gt;=Assumptions!$E$61)),(Assumptions!$E$65+(Assumptions!$E$66*(AJ$2-Assumptions!$E$61))),0)</f>
        <v>0</v>
      </c>
      <c r="AK47" s="17" t="n">
        <f aca="false">IF(AND((Assumptions!$E$7=1),(AK$2&gt;=Assumptions!$E$61)),(Assumptions!$E$65+(Assumptions!$E$66*(AK$2-Assumptions!$E$61))),0)</f>
        <v>0</v>
      </c>
      <c r="AL47" s="17" t="n">
        <f aca="false">IF(AND((Assumptions!$E$7=1),(AL$2&gt;=Assumptions!$E$61)),(Assumptions!$E$65+(Assumptions!$E$66*(AL$2-Assumptions!$E$61))),0)</f>
        <v>0</v>
      </c>
    </row>
    <row r="48" customFormat="false" ht="15" hidden="false" customHeight="false" outlineLevel="0" collapsed="false">
      <c r="A48" s="6" t="s">
        <v>420</v>
      </c>
      <c r="B48" s="2" t="s">
        <v>421</v>
      </c>
      <c r="C48" s="8" t="n">
        <f aca="false">IF(AND((Assumptions!$E$9=1),(C$2&gt;=Assumptions!$E$73)),1,0)</f>
        <v>0</v>
      </c>
      <c r="D48" s="8" t="n">
        <f aca="false">IF(AND((Assumptions!$E$9=1),(D$2&gt;=Assumptions!$E$73)),1,0)</f>
        <v>0</v>
      </c>
      <c r="E48" s="8" t="n">
        <f aca="false">IF(AND((Assumptions!$E$9=1),(E$2&gt;=Assumptions!$E$73)),1,0)</f>
        <v>0</v>
      </c>
      <c r="F48" s="8" t="n">
        <f aca="false">IF(AND((Assumptions!$E$9=1),(F$2&gt;=Assumptions!$E$73)),1,0)</f>
        <v>0</v>
      </c>
      <c r="G48" s="8" t="n">
        <f aca="false">IF(AND((Assumptions!$E$9=1),(G$2&gt;=Assumptions!$E$73)),1,0)</f>
        <v>0</v>
      </c>
      <c r="H48" s="8" t="n">
        <f aca="false">IF(AND((Assumptions!$E$9=1),(H$2&gt;=Assumptions!$E$73)),1,0)</f>
        <v>0</v>
      </c>
      <c r="I48" s="8" t="n">
        <f aca="false">IF(AND((Assumptions!$E$9=1),(I$2&gt;=Assumptions!$E$73)),1,0)</f>
        <v>0</v>
      </c>
      <c r="J48" s="8" t="n">
        <f aca="false">IF(AND((Assumptions!$E$9=1),(J$2&gt;=Assumptions!$E$73)),1,0)</f>
        <v>0</v>
      </c>
      <c r="K48" s="8" t="n">
        <f aca="false">IF(AND((Assumptions!$E$9=1),(K$2&gt;=Assumptions!$E$73)),1,0)</f>
        <v>0</v>
      </c>
      <c r="L48" s="8" t="n">
        <f aca="false">IF(AND((Assumptions!$E$9=1),(L$2&gt;=Assumptions!$E$73)),1,0)</f>
        <v>0</v>
      </c>
      <c r="M48" s="8" t="n">
        <f aca="false">IF(AND((Assumptions!$E$9=1),(M$2&gt;=Assumptions!$E$73)),1,0)</f>
        <v>0</v>
      </c>
      <c r="N48" s="8" t="n">
        <f aca="false">IF(AND((Assumptions!$E$9=1),(N$2&gt;=Assumptions!$E$73)),1,0)</f>
        <v>0</v>
      </c>
      <c r="O48" s="8" t="n">
        <f aca="false">IF(AND((Assumptions!$E$9=1),(O$2&gt;=Assumptions!$E$73)),1,0)</f>
        <v>1</v>
      </c>
      <c r="P48" s="8" t="n">
        <f aca="false">IF(AND((Assumptions!$E$9=1),(P$2&gt;=Assumptions!$E$73)),1,0)</f>
        <v>1</v>
      </c>
      <c r="Q48" s="8" t="n">
        <f aca="false">IF(AND((Assumptions!$E$9=1),(Q$2&gt;=Assumptions!$E$73)),1,0)</f>
        <v>1</v>
      </c>
      <c r="R48" s="8" t="n">
        <f aca="false">IF(AND((Assumptions!$E$9=1),(R$2&gt;=Assumptions!$E$73)),1,0)</f>
        <v>1</v>
      </c>
      <c r="S48" s="8" t="n">
        <f aca="false">IF(AND((Assumptions!$E$9=1),(S$2&gt;=Assumptions!$E$73)),1,0)</f>
        <v>1</v>
      </c>
      <c r="T48" s="8" t="n">
        <f aca="false">IF(AND((Assumptions!$E$9=1),(T$2&gt;=Assumptions!$E$73)),1,0)</f>
        <v>1</v>
      </c>
      <c r="U48" s="8" t="n">
        <f aca="false">IF(AND((Assumptions!$E$9=1),(U$2&gt;=Assumptions!$E$73)),1,0)</f>
        <v>1</v>
      </c>
      <c r="V48" s="8" t="n">
        <f aca="false">IF(AND((Assumptions!$E$9=1),(V$2&gt;=Assumptions!$E$73)),1,0)</f>
        <v>1</v>
      </c>
      <c r="W48" s="8" t="n">
        <f aca="false">IF(AND((Assumptions!$E$9=1),(W$2&gt;=Assumptions!$E$73)),1,0)</f>
        <v>1</v>
      </c>
      <c r="X48" s="8" t="n">
        <f aca="false">IF(AND((Assumptions!$E$9=1),(X$2&gt;=Assumptions!$E$73)),1,0)</f>
        <v>1</v>
      </c>
      <c r="Y48" s="8" t="n">
        <f aca="false">IF(AND((Assumptions!$E$9=1),(Y$2&gt;=Assumptions!$E$73)),1,0)</f>
        <v>1</v>
      </c>
      <c r="Z48" s="8" t="n">
        <f aca="false">IF(AND((Assumptions!$E$9=1),(Z$2&gt;=Assumptions!$E$73)),1,0)</f>
        <v>1</v>
      </c>
      <c r="AA48" s="8" t="n">
        <f aca="false">IF(AND((Assumptions!$E$9=1),(AA$2&gt;=Assumptions!$E$73)),1,0)</f>
        <v>1</v>
      </c>
      <c r="AB48" s="8" t="n">
        <f aca="false">IF(AND((Assumptions!$E$9=1),(AB$2&gt;=Assumptions!$E$73)),1,0)</f>
        <v>1</v>
      </c>
      <c r="AC48" s="8" t="n">
        <f aca="false">IF(AND((Assumptions!$E$9=1),(AC$2&gt;=Assumptions!$E$73)),1,0)</f>
        <v>1</v>
      </c>
      <c r="AD48" s="8" t="n">
        <f aca="false">IF(AND((Assumptions!$E$9=1),(AD$2&gt;=Assumptions!$E$73)),1,0)</f>
        <v>1</v>
      </c>
      <c r="AE48" s="8" t="n">
        <f aca="false">IF(AND((Assumptions!$E$9=1),(AE$2&gt;=Assumptions!$E$73)),1,0)</f>
        <v>1</v>
      </c>
      <c r="AF48" s="8" t="n">
        <f aca="false">IF(AND((Assumptions!$E$9=1),(AF$2&gt;=Assumptions!$E$73)),1,0)</f>
        <v>1</v>
      </c>
      <c r="AG48" s="8" t="n">
        <f aca="false">IF(AND((Assumptions!$E$9=1),(AG$2&gt;=Assumptions!$E$73)),1,0)</f>
        <v>1</v>
      </c>
      <c r="AH48" s="8" t="n">
        <f aca="false">IF(AND((Assumptions!$E$9=1),(AH$2&gt;=Assumptions!$E$73)),1,0)</f>
        <v>1</v>
      </c>
      <c r="AI48" s="8" t="n">
        <f aca="false">IF(AND((Assumptions!$E$9=1),(AI$2&gt;=Assumptions!$E$73)),1,0)</f>
        <v>1</v>
      </c>
      <c r="AJ48" s="8" t="n">
        <f aca="false">IF(AND((Assumptions!$E$9=1),(AJ$2&gt;=Assumptions!$E$73)),1,0)</f>
        <v>1</v>
      </c>
      <c r="AK48" s="8" t="n">
        <f aca="false">IF(AND((Assumptions!$E$9=1),(AK$2&gt;=Assumptions!$E$73)),1,0)</f>
        <v>1</v>
      </c>
      <c r="AL48" s="8" t="n">
        <f aca="false">IF(AND((Assumptions!$E$9=1),(AL$2&gt;=Assumptions!$E$73)),1,0)</f>
        <v>1</v>
      </c>
    </row>
    <row r="49" customFormat="false" ht="15" hidden="false" customHeight="false" outlineLevel="0" collapsed="false">
      <c r="A49" s="6" t="s">
        <v>422</v>
      </c>
      <c r="B49" s="2" t="s">
        <v>423</v>
      </c>
      <c r="C49" s="17" t="n">
        <f aca="false">((C48*C35)*Assumptions!$E$74)</f>
        <v>0</v>
      </c>
      <c r="D49" s="17" t="n">
        <f aca="false">((D48*D35)*Assumptions!$E$74)</f>
        <v>0</v>
      </c>
      <c r="E49" s="17" t="n">
        <f aca="false">((E48*E35)*Assumptions!$E$74)</f>
        <v>0</v>
      </c>
      <c r="F49" s="17" t="n">
        <f aca="false">((F48*F35)*Assumptions!$E$74)</f>
        <v>0</v>
      </c>
      <c r="G49" s="17" t="n">
        <f aca="false">((G48*G35)*Assumptions!$E$74)</f>
        <v>0</v>
      </c>
      <c r="H49" s="17" t="n">
        <f aca="false">((H48*H35)*Assumptions!$E$74)</f>
        <v>0</v>
      </c>
      <c r="I49" s="17" t="n">
        <f aca="false">((I48*I35)*Assumptions!$E$74)</f>
        <v>0</v>
      </c>
      <c r="J49" s="17" t="n">
        <f aca="false">((J48*J35)*Assumptions!$E$74)</f>
        <v>0</v>
      </c>
      <c r="K49" s="17" t="n">
        <f aca="false">((K48*K35)*Assumptions!$E$74)</f>
        <v>0</v>
      </c>
      <c r="L49" s="17" t="n">
        <f aca="false">((L48*L35)*Assumptions!$E$74)</f>
        <v>0</v>
      </c>
      <c r="M49" s="17" t="n">
        <f aca="false">((M48*M35)*Assumptions!$E$74)</f>
        <v>0</v>
      </c>
      <c r="N49" s="17" t="n">
        <f aca="false">((N48*N35)*Assumptions!$E$74)</f>
        <v>0</v>
      </c>
      <c r="O49" s="17" t="n">
        <f aca="false">((O48*O35)*Assumptions!$E$74)</f>
        <v>431.662346970533</v>
      </c>
      <c r="P49" s="17" t="n">
        <f aca="false">((P48*P35)*Assumptions!$E$74)</f>
        <v>466.267276234185</v>
      </c>
      <c r="Q49" s="17" t="n">
        <f aca="false">((Q48*Q35)*Assumptions!$E$74)</f>
        <v>502.798203564791</v>
      </c>
      <c r="R49" s="17" t="n">
        <f aca="false">((R48*R35)*Assumptions!$E$74)</f>
        <v>541.42331218017</v>
      </c>
      <c r="S49" s="17" t="n">
        <f aca="false">((S48*S35)*Assumptions!$E$74)</f>
        <v>582.318587454219</v>
      </c>
      <c r="T49" s="17" t="n">
        <f aca="false">((T48*T35)*Assumptions!$E$74)</f>
        <v>625.671335174703</v>
      </c>
      <c r="U49" s="17" t="n">
        <f aca="false">((U48*U35)*Assumptions!$E$74)</f>
        <v>671.678869107385</v>
      </c>
      <c r="V49" s="17" t="n">
        <f aca="false">((V48*V35)*Assumptions!$E$74)</f>
        <v>720.55008027539</v>
      </c>
      <c r="W49" s="17" t="n">
        <f aca="false">((W48*W35)*Assumptions!$E$74)</f>
        <v>772.506427867588</v>
      </c>
      <c r="X49" s="17" t="n">
        <f aca="false">((X48*X35)*Assumptions!$E$74)</f>
        <v>827.782968828063</v>
      </c>
      <c r="Y49" s="17" t="n">
        <f aca="false">((Y48*Y35)*Assumptions!$E$74)</f>
        <v>886.629447081038</v>
      </c>
      <c r="Z49" s="17" t="n">
        <f aca="false">((Z48*Z35)*Assumptions!$E$74)</f>
        <v>949.311447816334</v>
      </c>
      <c r="AA49" s="17" t="n">
        <f aca="false">((AA48*AA35)*Assumptions!$E$74)</f>
        <v>1016.11162224168</v>
      </c>
      <c r="AB49" s="17" t="n">
        <f aca="false">((AB48*AB35)*Assumptions!$E$74)</f>
        <v>1087.32454317117</v>
      </c>
      <c r="AC49" s="17" t="n">
        <f aca="false">((AC48*AC35)*Assumptions!$E$74)</f>
        <v>1163.27602735543</v>
      </c>
      <c r="AD49" s="17" t="n">
        <f aca="false">((AD48*AD35)*Assumptions!$E$74)</f>
        <v>1244.30817147256</v>
      </c>
      <c r="AE49" s="17" t="n">
        <f aca="false">((AE48*AE35)*Assumptions!$E$74)</f>
        <v>1330.7853723721</v>
      </c>
      <c r="AF49" s="17" t="n">
        <f aca="false">((AF48*AF35)*Assumptions!$E$74)</f>
        <v>1423.09711702983</v>
      </c>
      <c r="AG49" s="17" t="n">
        <f aca="false">((AG48*AG35)*Assumptions!$E$74)</f>
        <v>1521.65884835392</v>
      </c>
      <c r="AH49" s="17" t="n">
        <f aca="false">((AH48*AH35)*Assumptions!$E$74)</f>
        <v>1626.91413364823</v>
      </c>
      <c r="AI49" s="17" t="n">
        <f aca="false">((AI48*AI35)*Assumptions!$E$74)</f>
        <v>1739.33669778184</v>
      </c>
      <c r="AJ49" s="17" t="n">
        <f aca="false">((AJ48*AJ35)*Assumptions!$E$74)</f>
        <v>1859.43258613381</v>
      </c>
      <c r="AK49" s="17" t="n">
        <f aca="false">((AK48*AK35)*Assumptions!$E$74)</f>
        <v>1987.74247397194</v>
      </c>
      <c r="AL49" s="17" t="n">
        <f aca="false">((AL48*AL35)*Assumptions!$E$74)</f>
        <v>2124.84413299394</v>
      </c>
    </row>
    <row r="50" customFormat="false" ht="15" hidden="false" customHeight="false" outlineLevel="0" collapsed="false">
      <c r="A50" s="6" t="s">
        <v>424</v>
      </c>
      <c r="B50" s="2" t="s">
        <v>425</v>
      </c>
      <c r="C50" s="17" t="n">
        <f aca="false">(((C48*C29)*Assumptions!$E$76)*Assumptions!$E$77)</f>
        <v>0</v>
      </c>
      <c r="D50" s="17" t="n">
        <f aca="false">(((D48*D29)*Assumptions!$E$76)*Assumptions!$E$77)</f>
        <v>0</v>
      </c>
      <c r="E50" s="17" t="n">
        <f aca="false">(((E48*E29)*Assumptions!$E$76)*Assumptions!$E$77)</f>
        <v>0</v>
      </c>
      <c r="F50" s="17" t="n">
        <f aca="false">(((F48*F29)*Assumptions!$E$76)*Assumptions!$E$77)</f>
        <v>0</v>
      </c>
      <c r="G50" s="17" t="n">
        <f aca="false">(((G48*G29)*Assumptions!$E$76)*Assumptions!$E$77)</f>
        <v>0</v>
      </c>
      <c r="H50" s="17" t="n">
        <f aca="false">(((H48*H29)*Assumptions!$E$76)*Assumptions!$E$77)</f>
        <v>0</v>
      </c>
      <c r="I50" s="17" t="n">
        <f aca="false">(((I48*I29)*Assumptions!$E$76)*Assumptions!$E$77)</f>
        <v>0</v>
      </c>
      <c r="J50" s="17" t="n">
        <f aca="false">(((J48*J29)*Assumptions!$E$76)*Assumptions!$E$77)</f>
        <v>0</v>
      </c>
      <c r="K50" s="17" t="n">
        <f aca="false">(((K48*K29)*Assumptions!$E$76)*Assumptions!$E$77)</f>
        <v>0</v>
      </c>
      <c r="L50" s="17" t="n">
        <f aca="false">(((L48*L29)*Assumptions!$E$76)*Assumptions!$E$77)</f>
        <v>0</v>
      </c>
      <c r="M50" s="17" t="n">
        <f aca="false">(((M48*M29)*Assumptions!$E$76)*Assumptions!$E$77)</f>
        <v>0</v>
      </c>
      <c r="N50" s="17" t="n">
        <f aca="false">(((N48*N29)*Assumptions!$E$76)*Assumptions!$E$77)</f>
        <v>0</v>
      </c>
      <c r="O50" s="17" t="n">
        <f aca="false">(((O48*O29)*Assumptions!$E$76)*Assumptions!$E$77)</f>
        <v>481.615776404149</v>
      </c>
      <c r="P50" s="17" t="n">
        <f aca="false">(((P48*P29)*Assumptions!$E$76)*Assumptions!$E$77)</f>
        <v>524.724882148373</v>
      </c>
      <c r="Q50" s="17" t="n">
        <f aca="false">(((Q48*Q29)*Assumptions!$E$76)*Assumptions!$E$77)</f>
        <v>570.521994360237</v>
      </c>
      <c r="R50" s="17" t="n">
        <f aca="false">(((R48*R29)*Assumptions!$E$76)*Assumptions!$E$77)</f>
        <v>618.642346674467</v>
      </c>
      <c r="S50" s="17" t="n">
        <f aca="false">(((S48*S29)*Assumptions!$E$76)*Assumptions!$E$77)</f>
        <v>669.856337994353</v>
      </c>
      <c r="T50" s="17" t="n">
        <f aca="false">(((T48*T29)*Assumptions!$E$76)*Assumptions!$E$77)</f>
        <v>724.407956508147</v>
      </c>
      <c r="U50" s="17" t="n">
        <f aca="false">(((U48*U29)*Assumptions!$E$76)*Assumptions!$E$77)</f>
        <v>782.547692411499</v>
      </c>
      <c r="V50" s="17" t="n">
        <f aca="false">(((V48*V29)*Assumptions!$E$76)*Assumptions!$E$77)</f>
        <v>844.540633177959</v>
      </c>
      <c r="W50" s="17" t="n">
        <f aca="false">(((W48*W29)*Assumptions!$E$76)*Assumptions!$E$77)</f>
        <v>910.667938029666</v>
      </c>
      <c r="X50" s="17" t="n">
        <f aca="false">(((X48*X29)*Assumptions!$E$76)*Assumptions!$E$77)</f>
        <v>981.228275018002</v>
      </c>
      <c r="Y50" s="17" t="n">
        <f aca="false">(((Y48*Y29)*Assumptions!$E$76)*Assumptions!$E$77)</f>
        <v>1056.53931418889</v>
      </c>
      <c r="Z50" s="17" t="n">
        <f aca="false">(((Z48*Z29)*Assumptions!$E$76)*Assumptions!$E$77)</f>
        <v>1136.9392877636</v>
      </c>
      <c r="AA50" s="17" t="n">
        <f aca="false">(((AA48*AA29)*Assumptions!$E$76)*Assumptions!$E$77)</f>
        <v>1218.38291033747</v>
      </c>
      <c r="AB50" s="17" t="n">
        <f aca="false">(((AB48*AB29)*Assumptions!$E$76)*Assumptions!$E$77)</f>
        <v>1305.29856653546</v>
      </c>
      <c r="AC50" s="17" t="n">
        <f aca="false">(((AC48*AC29)*Assumptions!$E$76)*Assumptions!$E$77)</f>
        <v>1398.12749882069</v>
      </c>
      <c r="AD50" s="17" t="n">
        <f aca="false">(((AD48*AD29)*Assumptions!$E$76)*Assumptions!$E$77)</f>
        <v>1497.04326302343</v>
      </c>
      <c r="AE50" s="17" t="n">
        <f aca="false">(((AE48*AE29)*Assumptions!$E$76)*Assumptions!$E$77)</f>
        <v>1602.71701516191</v>
      </c>
      <c r="AF50" s="17" t="n">
        <f aca="false">(((AF48*AF29)*Assumptions!$E$76)*Assumptions!$E$77)</f>
        <v>1715.62522187588</v>
      </c>
      <c r="AG50" s="17" t="n">
        <f aca="false">(((AG48*AG29)*Assumptions!$E$76)*Assumptions!$E$77)</f>
        <v>1836.27384693888</v>
      </c>
      <c r="AH50" s="17" t="n">
        <f aca="false">(((AH48*AH29)*Assumptions!$E$76)*Assumptions!$E$77)</f>
        <v>1965.20350382127</v>
      </c>
      <c r="AI50" s="17" t="n">
        <f aca="false">(((AI48*AI29)*Assumptions!$E$76)*Assumptions!$E$77)</f>
        <v>2102.99197979144</v>
      </c>
      <c r="AJ50" s="17" t="n">
        <f aca="false">(((AJ48*AJ29)*Assumptions!$E$76)*Assumptions!$E$77)</f>
        <v>2250.25688942617</v>
      </c>
      <c r="AK50" s="17" t="n">
        <f aca="false">(((AK48*AK29)*Assumptions!$E$76)*Assumptions!$E$77)</f>
        <v>2407.65850510403</v>
      </c>
      <c r="AL50" s="17" t="n">
        <f aca="false">(((AL48*AL29)*Assumptions!$E$76)*Assumptions!$E$77)</f>
        <v>2575.90277838142</v>
      </c>
    </row>
    <row r="52" customFormat="false" ht="15" hidden="false" customHeight="false" outlineLevel="0" collapsed="false">
      <c r="A52" s="4" t="s">
        <v>426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customFormat="false" ht="15" hidden="false" customHeight="false" outlineLevel="0" collapsed="false">
      <c r="A53" s="6" t="s">
        <v>427</v>
      </c>
      <c r="B53" s="2" t="s">
        <v>428</v>
      </c>
      <c r="C53" s="14" t="n">
        <f aca="false">(C24*Assumptions!$E$35)</f>
        <v>127.27169</v>
      </c>
      <c r="D53" s="14" t="n">
        <f aca="false">(D24*Assumptions!$E$35)</f>
        <v>247.515509340195</v>
      </c>
      <c r="E53" s="14" t="n">
        <f aca="false">(E24*Assumptions!$E$35)</f>
        <v>360.79833048514</v>
      </c>
      <c r="F53" s="14" t="n">
        <f aca="false">(F24*Assumptions!$E$35)</f>
        <v>475.710022307968</v>
      </c>
      <c r="G53" s="14" t="n">
        <f aca="false">(G24*Assumptions!$E$35)</f>
        <v>586.144562138498</v>
      </c>
      <c r="H53" s="14" t="n">
        <f aca="false">(H24*Assumptions!$E$35)</f>
        <v>693.379540963269</v>
      </c>
      <c r="I53" s="14" t="n">
        <f aca="false">(I24*Assumptions!$E$35)</f>
        <v>798.652630753856</v>
      </c>
      <c r="J53" s="14" t="n">
        <f aca="false">(J24*Assumptions!$E$35)</f>
        <v>903.089234152902</v>
      </c>
      <c r="K53" s="14" t="n">
        <f aca="false">(K24*Assumptions!$E$35)</f>
        <v>1007.72067418543</v>
      </c>
      <c r="L53" s="14" t="n">
        <f aca="false">(L24*Assumptions!$E$35)</f>
        <v>1113.50118279127</v>
      </c>
      <c r="M53" s="14" t="n">
        <f aca="false">(M24*Assumptions!$E$35)</f>
        <v>1221.32286465149</v>
      </c>
      <c r="N53" s="14" t="n">
        <f aca="false">(N24*Assumptions!$E$35)</f>
        <v>1332.02892109486</v>
      </c>
      <c r="O53" s="14" t="n">
        <f aca="false">(O24*Assumptions!$E$35)</f>
        <v>1446.42539385546</v>
      </c>
      <c r="P53" s="14" t="n">
        <f aca="false">(P24*Assumptions!$E$35)</f>
        <v>1565.2738773922</v>
      </c>
      <c r="Q53" s="14" t="n">
        <f aca="false">(Q24*Assumptions!$E$35)</f>
        <v>1689.33721971971</v>
      </c>
      <c r="R53" s="14" t="n">
        <f aca="false">(R24*Assumptions!$E$35)</f>
        <v>1819.36980592544</v>
      </c>
      <c r="S53" s="14" t="n">
        <f aca="false">(S24*Assumptions!$E$35)</f>
        <v>1956.12394368348</v>
      </c>
      <c r="T53" s="14" t="n">
        <f aca="false">(T24*Assumptions!$E$35)</f>
        <v>2100.35909712933</v>
      </c>
      <c r="U53" s="14" t="n">
        <f aca="false">(U24*Assumptions!$E$35)</f>
        <v>2252.84759498301</v>
      </c>
      <c r="V53" s="14" t="n">
        <f aca="false">(V24*Assumptions!$E$35)</f>
        <v>2414.38094574519</v>
      </c>
      <c r="W53" s="14" t="n">
        <f aca="false">(W24*Assumptions!$E$35)</f>
        <v>2585.77587709491</v>
      </c>
      <c r="X53" s="14" t="n">
        <f aca="false">(X24*Assumptions!$E$35)</f>
        <v>2767.88015493695</v>
      </c>
      <c r="Y53" s="14" t="n">
        <f aca="false">(Y24*Assumptions!$E$35)</f>
        <v>2961.57825410805</v>
      </c>
      <c r="Z53" s="14" t="n">
        <f aca="false">(Z24*Assumptions!$E$35)</f>
        <v>3167.79694625379</v>
      </c>
      <c r="AA53" s="14" t="n">
        <f aca="false">(AA24*Assumptions!$E$35)</f>
        <v>3387.51086458302</v>
      </c>
      <c r="AB53" s="14" t="n">
        <f aca="false">(AB24*Assumptions!$E$35)</f>
        <v>3621.74067907757</v>
      </c>
      <c r="AC53" s="14" t="n">
        <f aca="false">(AC24*Assumptions!$E$35)</f>
        <v>3871.573919469</v>
      </c>
      <c r="AD53" s="14" t="n">
        <f aca="false">(AD24*Assumptions!$E$35)</f>
        <v>4138.16315916945</v>
      </c>
      <c r="AE53" s="14" t="n">
        <f aca="false">(AE24*Assumptions!$E$35)</f>
        <v>4422.73140751888</v>
      </c>
      <c r="AF53" s="14" t="n">
        <f aca="false">(AF24*Assumptions!$E$35)</f>
        <v>4726.57916411303</v>
      </c>
      <c r="AG53" s="14" t="n">
        <f aca="false">(AG24*Assumptions!$E$35)</f>
        <v>5051.09046806041</v>
      </c>
      <c r="AH53" s="14" t="n">
        <f aca="false">(AH24*Assumptions!$E$35)</f>
        <v>5397.7396671416</v>
      </c>
      <c r="AI53" s="14" t="n">
        <f aca="false">(AI24*Assumptions!$E$35)</f>
        <v>5768.09854194244</v>
      </c>
      <c r="AJ53" s="14" t="n">
        <f aca="false">(AJ24*Assumptions!$E$35)</f>
        <v>6163.84381609449</v>
      </c>
      <c r="AK53" s="14" t="n">
        <f aca="false">(AK24*Assumptions!$E$35)</f>
        <v>6586.76509464491</v>
      </c>
      <c r="AL53" s="14" t="n">
        <f aca="false">(AL24*Assumptions!$E$35)</f>
        <v>7038.77327364557</v>
      </c>
    </row>
    <row r="54" customFormat="false" ht="15" hidden="false" customHeight="false" outlineLevel="0" collapsed="false">
      <c r="A54" s="6" t="s">
        <v>429</v>
      </c>
      <c r="B54" s="2" t="s">
        <v>430</v>
      </c>
      <c r="C54" s="14" t="n">
        <f aca="false">((C26*Assumptions!$E$36)/12)</f>
        <v>93.2994472222222</v>
      </c>
      <c r="D54" s="14" t="n">
        <f aca="false">((D26*Assumptions!$E$36)/12)</f>
        <v>194.254937319444</v>
      </c>
      <c r="E54" s="14" t="n">
        <f aca="false">((E26*Assumptions!$E$36)/12)</f>
        <v>302.208242985208</v>
      </c>
      <c r="F54" s="14" t="n">
        <f aca="false">((F26*Assumptions!$E$36)/12)</f>
        <v>422.755845679433</v>
      </c>
      <c r="G54" s="14" t="n">
        <f aca="false">((G26*Assumptions!$E$36)/12)</f>
        <v>551.585506067581</v>
      </c>
      <c r="H54" s="14" t="n">
        <f aca="false">((H26*Assumptions!$E$36)/12)</f>
        <v>689.183233527811</v>
      </c>
      <c r="I54" s="14" t="n">
        <f aca="false">((I26*Assumptions!$E$36)/12)</f>
        <v>836.134344242739</v>
      </c>
      <c r="J54" s="14" t="n">
        <f aca="false">((J26*Assumptions!$E$36)/12)</f>
        <v>993.066405883634</v>
      </c>
      <c r="K54" s="14" t="n">
        <f aca="false">((K26*Assumptions!$E$36)/12)</f>
        <v>1160.65127377471</v>
      </c>
      <c r="L54" s="14" t="n">
        <f aca="false">((L26*Assumptions!$E$36)/12)</f>
        <v>1339.608077027</v>
      </c>
      <c r="M54" s="14" t="n">
        <f aca="false">((M26*Assumptions!$E$36)/12)</f>
        <v>1530.70643005563</v>
      </c>
      <c r="N54" s="14" t="n">
        <f aca="false">((N26*Assumptions!$E$36)/12)</f>
        <v>1734.76987449317</v>
      </c>
      <c r="O54" s="14" t="n">
        <f aca="false">((O26*Assumptions!$E$36)/12)</f>
        <v>1900.52517583634</v>
      </c>
      <c r="P54" s="14" t="n">
        <f aca="false">((P26*Assumptions!$E$36)/12)</f>
        <v>2076.77668651269</v>
      </c>
      <c r="Q54" s="14" t="n">
        <f aca="false">((Q26*Assumptions!$E$36)/12)</f>
        <v>2264.89960698433</v>
      </c>
      <c r="R54" s="14" t="n">
        <f aca="false">((R26*Assumptions!$E$36)/12)</f>
        <v>2462.84332077301</v>
      </c>
      <c r="S54" s="14" t="n">
        <f aca="false">((S26*Assumptions!$E$36)/12)</f>
        <v>2674.17058096616</v>
      </c>
      <c r="T54" s="14" t="n">
        <f aca="false">((T26*Assumptions!$E$36)/12)</f>
        <v>2899.84287430674</v>
      </c>
      <c r="U54" s="14" t="n">
        <f aca="false">((U26*Assumptions!$E$36)/12)</f>
        <v>3140.85203438169</v>
      </c>
      <c r="V54" s="14" t="n">
        <f aca="false">((V26*Assumptions!$E$36)/12)</f>
        <v>3398.25805967094</v>
      </c>
      <c r="W54" s="14" t="n">
        <f aca="false">((W26*Assumptions!$E$36)/12)</f>
        <v>3673.19433280845</v>
      </c>
      <c r="X54" s="14" t="n">
        <f aca="false">((X26*Assumptions!$E$36)/12)</f>
        <v>3966.872755052</v>
      </c>
      <c r="Y54" s="14" t="n">
        <f aca="false">((Y26*Assumptions!$E$36)/12)</f>
        <v>4280.58923161866</v>
      </c>
      <c r="Z54" s="14" t="n">
        <f aca="false">((Z26*Assumptions!$E$36)/12)</f>
        <v>4615.72953818026</v>
      </c>
      <c r="AA54" s="14" t="n">
        <f aca="false">((AA26*Assumptions!$E$36)/12)</f>
        <v>4950.77550895126</v>
      </c>
      <c r="AB54" s="14" t="n">
        <f aca="false">((AB26*Assumptions!$E$36)/12)</f>
        <v>5308.42649160249</v>
      </c>
      <c r="AC54" s="14" t="n">
        <f aca="false">((AC26*Assumptions!$E$36)/12)</f>
        <v>5690.53974398456</v>
      </c>
      <c r="AD54" s="14" t="n">
        <f aca="false">((AD26*Assumptions!$E$36)/12)</f>
        <v>6097.54829873329</v>
      </c>
      <c r="AE54" s="14" t="n">
        <f aca="false">((AE26*Assumptions!$E$36)/12)</f>
        <v>6532.45391371883</v>
      </c>
      <c r="AF54" s="14" t="n">
        <f aca="false">((AF26*Assumptions!$E$36)/12)</f>
        <v>6997.21011722168</v>
      </c>
      <c r="AG54" s="14" t="n">
        <f aca="false">((AG26*Assumptions!$E$36)/12)</f>
        <v>7493.89007746576</v>
      </c>
      <c r="AH54" s="14" t="n">
        <f aca="false">((AH26*Assumptions!$E$36)/12)</f>
        <v>8024.71072553701</v>
      </c>
      <c r="AI54" s="14" t="n">
        <f aca="false">((AI26*Assumptions!$E$36)/12)</f>
        <v>8592.04301032329</v>
      </c>
      <c r="AJ54" s="14" t="n">
        <f aca="false">((AJ26*Assumptions!$E$36)/12)</f>
        <v>9198.42266980146</v>
      </c>
      <c r="AK54" s="14" t="n">
        <f aca="false">((AK26*Assumptions!$E$36)/12)</f>
        <v>9846.56174984437</v>
      </c>
      <c r="AL54" s="14" t="n">
        <f aca="false">((AL26*Assumptions!$E$36)/12)</f>
        <v>10539.360925484</v>
      </c>
    </row>
    <row r="55" customFormat="false" ht="15" hidden="false" customHeight="false" outlineLevel="0" collapsed="false">
      <c r="A55" s="6" t="s">
        <v>431</v>
      </c>
      <c r="B55" s="2" t="s">
        <v>432</v>
      </c>
      <c r="C55" s="14" t="n">
        <f aca="false">((C28*Assumptions!$E$37)/12)</f>
        <v>13.9931675</v>
      </c>
      <c r="D55" s="14" t="n">
        <f aca="false">((D28*Assumptions!$E$37)/12)</f>
        <v>29.1345978625</v>
      </c>
      <c r="E55" s="14" t="n">
        <f aca="false">((E28*Assumptions!$E$37)/12)</f>
        <v>45.3255693348361</v>
      </c>
      <c r="F55" s="14" t="n">
        <f aca="false">((F28*Assumptions!$E$37)/12)</f>
        <v>63.4054491888506</v>
      </c>
      <c r="G55" s="14" t="n">
        <f aca="false">((G28*Assumptions!$E$37)/12)</f>
        <v>82.7274823889583</v>
      </c>
      <c r="H55" s="14" t="n">
        <f aca="false">((H28*Assumptions!$E$37)/12)</f>
        <v>103.364561228068</v>
      </c>
      <c r="I55" s="14" t="n">
        <f aca="false">((I28*Assumptions!$E$37)/12)</f>
        <v>125.404472157522</v>
      </c>
      <c r="J55" s="14" t="n">
        <f aca="false">((J28*Assumptions!$E$37)/12)</f>
        <v>148.941338559644</v>
      </c>
      <c r="K55" s="14" t="n">
        <f aca="false">((K28*Assumptions!$E$37)/12)</f>
        <v>174.075926134206</v>
      </c>
      <c r="L55" s="14" t="n">
        <f aca="false">((L28*Assumptions!$E$37)/12)</f>
        <v>200.916090762507</v>
      </c>
      <c r="M55" s="14" t="n">
        <f aca="false">((M28*Assumptions!$E$37)/12)</f>
        <v>229.577260174739</v>
      </c>
      <c r="N55" s="14" t="n">
        <f aca="false">((N28*Assumptions!$E$37)/12)</f>
        <v>260.182950172454</v>
      </c>
      <c r="O55" s="14" t="n">
        <f aca="false">((O28*Assumptions!$E$37)/12)</f>
        <v>283.769758830991</v>
      </c>
      <c r="P55" s="14" t="n">
        <f aca="false">((P28*Assumptions!$E$37)/12)</f>
        <v>308.82631014049</v>
      </c>
      <c r="Q55" s="14" t="n">
        <f aca="false">((Q28*Assumptions!$E$37)/12)</f>
        <v>335.567842061526</v>
      </c>
      <c r="R55" s="14" t="n">
        <f aca="false">((R28*Assumptions!$E$37)/12)</f>
        <v>363.610418154491</v>
      </c>
      <c r="S55" s="14" t="n">
        <f aca="false">((S28*Assumptions!$E$37)/12)</f>
        <v>393.547239280765</v>
      </c>
      <c r="T55" s="14" t="n">
        <f aca="false">((T28*Assumptions!$E$37)/12)</f>
        <v>425.515877223008</v>
      </c>
      <c r="U55" s="14" t="n">
        <f aca="false">((U28*Assumptions!$E$37)/12)</f>
        <v>459.657099852983</v>
      </c>
      <c r="V55" s="14" t="n">
        <f aca="false">((V28*Assumptions!$E$37)/12)</f>
        <v>496.121321837432</v>
      </c>
      <c r="W55" s="14" t="n">
        <f aca="false">((W28*Assumptions!$E$37)/12)</f>
        <v>535.069359639189</v>
      </c>
      <c r="X55" s="14" t="n">
        <f aca="false">((X28*Assumptions!$E$37)/12)</f>
        <v>576.673160835735</v>
      </c>
      <c r="Y55" s="14" t="n">
        <f aca="false">((Y28*Assumptions!$E$37)/12)</f>
        <v>621.11658298492</v>
      </c>
      <c r="Z55" s="14" t="n">
        <f aca="false">((Z28*Assumptions!$E$37)/12)</f>
        <v>668.596226513036</v>
      </c>
      <c r="AA55" s="14" t="n">
        <f aca="false">((AA28*Assumptions!$E$37)/12)</f>
        <v>716.138879838503</v>
      </c>
      <c r="AB55" s="14" t="n">
        <f aca="false">((AB28*Assumptions!$E$37)/12)</f>
        <v>766.892033530872</v>
      </c>
      <c r="AC55" s="14" t="n">
        <f aca="false">((AC28*Assumptions!$E$37)/12)</f>
        <v>821.11861658804</v>
      </c>
      <c r="AD55" s="14" t="n">
        <f aca="false">((AD28*Assumptions!$E$37)/12)</f>
        <v>878.884829353021</v>
      </c>
      <c r="AE55" s="14" t="n">
        <f aca="false">((AE28*Assumptions!$E$37)/12)</f>
        <v>940.612852864288</v>
      </c>
      <c r="AF55" s="14" t="n">
        <f aca="false">((AF28*Assumptions!$E$37)/12)</f>
        <v>1006.58023545786</v>
      </c>
      <c r="AG55" s="14" t="n">
        <f aca="false">((AG28*Assumptions!$E$37)/12)</f>
        <v>1077.08158065614</v>
      </c>
      <c r="AH55" s="14" t="n">
        <f aca="false">((AH28*Assumptions!$E$37)/12)</f>
        <v>1152.43192154924</v>
      </c>
      <c r="AI55" s="14" t="n">
        <f aca="false">((AI28*Assumptions!$E$37)/12)</f>
        <v>1232.96817788307</v>
      </c>
      <c r="AJ55" s="14" t="n">
        <f aca="false">((AJ28*Assumptions!$E$37)/12)</f>
        <v>1319.05068720922</v>
      </c>
      <c r="AK55" s="14" t="n">
        <f aca="false">((AK28*Assumptions!$E$37)/12)</f>
        <v>1411.06484228338</v>
      </c>
      <c r="AL55" s="14" t="n">
        <f aca="false">((AL28*Assumptions!$E$37)/12)</f>
        <v>1509.42284251447</v>
      </c>
    </row>
    <row r="56" customFormat="false" ht="15" hidden="false" customHeight="false" outlineLevel="0" collapsed="false">
      <c r="A56" s="6" t="s">
        <v>433</v>
      </c>
      <c r="B56" s="2" t="s">
        <v>434</v>
      </c>
      <c r="C56" s="14" t="n">
        <f aca="false">(C21*Assumptions!$E$38)</f>
        <v>144.386666666667</v>
      </c>
      <c r="D56" s="14" t="n">
        <f aca="false">(D21*Assumptions!$E$38)</f>
        <v>156.234866666667</v>
      </c>
      <c r="E56" s="14" t="n">
        <f aca="false">(E21*Assumptions!$E$38)</f>
        <v>167.064419187843</v>
      </c>
      <c r="F56" s="14" t="n">
        <f aca="false">(F21*Assumptions!$E$38)</f>
        <v>186.554873001769</v>
      </c>
      <c r="G56" s="14" t="n">
        <f aca="false">(G21*Assumptions!$E$38)</f>
        <v>199.371869663263</v>
      </c>
      <c r="H56" s="14" t="n">
        <f aca="false">(H21*Assumptions!$E$38)</f>
        <v>212.940995905054</v>
      </c>
      <c r="I56" s="14" t="n">
        <f aca="false">(I21*Assumptions!$E$38)</f>
        <v>227.415935150784</v>
      </c>
      <c r="J56" s="14" t="n">
        <f aca="false">(J21*Assumptions!$E$38)</f>
        <v>242.86207419308</v>
      </c>
      <c r="K56" s="14" t="n">
        <f aca="false">(K21*Assumptions!$E$38)</f>
        <v>259.347950914789</v>
      </c>
      <c r="L56" s="14" t="n">
        <f aca="false">(L21*Assumptions!$E$38)</f>
        <v>276.946724425683</v>
      </c>
      <c r="M56" s="14" t="n">
        <f aca="false">(M21*Assumptions!$E$38)</f>
        <v>295.736523857144</v>
      </c>
      <c r="N56" s="14" t="n">
        <f aca="false">(N21*Assumptions!$E$38)</f>
        <v>315.800804914502</v>
      </c>
      <c r="O56" s="14" t="n">
        <f aca="false">(O21*Assumptions!$E$38)</f>
        <v>337.22873016008</v>
      </c>
      <c r="P56" s="14" t="n">
        <f aca="false">(P21*Assumptions!$E$38)</f>
        <v>360.095407264668</v>
      </c>
      <c r="Q56" s="14" t="n">
        <f aca="false">(Q21*Assumptions!$E$38)</f>
        <v>384.520868222255</v>
      </c>
      <c r="R56" s="14" t="n">
        <f aca="false">(R21*Assumptions!$E$38)</f>
        <v>410.614317138365</v>
      </c>
      <c r="S56" s="14" t="n">
        <f aca="false">(S21*Assumptions!$E$38)</f>
        <v>438.490884323367</v>
      </c>
      <c r="T56" s="14" t="n">
        <f aca="false">(T21*Assumptions!$E$38)</f>
        <v>468.275852162099</v>
      </c>
      <c r="U56" s="14" t="n">
        <f aca="false">(U21*Assumptions!$E$38)</f>
        <v>500.102093306877</v>
      </c>
      <c r="V56" s="14" t="n">
        <f aca="false">(V21*Assumptions!$E$38)</f>
        <v>534.111648363807</v>
      </c>
      <c r="W56" s="14" t="n">
        <f aca="false">(W21*Assumptions!$E$38)</f>
        <v>570.45639652774</v>
      </c>
      <c r="X56" s="14" t="n">
        <f aca="false">(X21*Assumptions!$E$38)</f>
        <v>609.29874616909</v>
      </c>
      <c r="Y56" s="14" t="n">
        <f aca="false">(Y21*Assumptions!$E$38)</f>
        <v>650.812372796286</v>
      </c>
      <c r="Z56" s="14" t="n">
        <f aca="false">(Z21*Assumptions!$E$38)</f>
        <v>695.183008237302</v>
      </c>
      <c r="AA56" s="14" t="n">
        <f aca="false">(AA21*Assumptions!$E$38)</f>
        <v>742.609284657444</v>
      </c>
      <c r="AB56" s="14" t="n">
        <f aca="false">(AB21*Assumptions!$E$38)</f>
        <v>793.295217947473</v>
      </c>
      <c r="AC56" s="14" t="n">
        <f aca="false">(AC21*Assumptions!$E$38)</f>
        <v>847.47561687899</v>
      </c>
      <c r="AD56" s="14" t="n">
        <f aca="false">(AD21*Assumptions!$E$38)</f>
        <v>905.393642599152</v>
      </c>
      <c r="AE56" s="14" t="n">
        <f aca="false">(AE21*Assumptions!$E$38)</f>
        <v>967.308703459516</v>
      </c>
      <c r="AF56" s="14" t="n">
        <f aca="false">(AF21*Assumptions!$E$38)</f>
        <v>1033.49918038897</v>
      </c>
      <c r="AG56" s="14" t="n">
        <f aca="false">(AG21*Assumptions!$E$38)</f>
        <v>1104.26238529812</v>
      </c>
      <c r="AH56" s="14" t="n">
        <f aca="false">(AH21*Assumptions!$E$38)</f>
        <v>1179.91631989561</v>
      </c>
      <c r="AI56" s="14" t="n">
        <f aca="false">(AI21*Assumptions!$E$38)</f>
        <v>1260.80113261868</v>
      </c>
      <c r="AJ56" s="14" t="n">
        <f aca="false">(AJ21*Assumptions!$E$38)</f>
        <v>1347.28066616706</v>
      </c>
      <c r="AK56" s="14" t="n">
        <f aca="false">(AK21*Assumptions!$E$38)</f>
        <v>1439.74411284192</v>
      </c>
      <c r="AL56" s="14" t="n">
        <f aca="false">(AL21*Assumptions!$E$38)</f>
        <v>1538.60778544553</v>
      </c>
    </row>
    <row r="57" customFormat="false" ht="15" hidden="false" customHeight="false" outlineLevel="0" collapsed="false">
      <c r="A57" s="21" t="s">
        <v>435</v>
      </c>
      <c r="B57" s="2" t="s">
        <v>436</v>
      </c>
      <c r="C57" s="23" t="n">
        <f aca="false">(((C53+C54)+C55)+C56)</f>
        <v>378.950971388889</v>
      </c>
      <c r="D57" s="23" t="n">
        <f aca="false">(((D53+D54)+D55)+D56)</f>
        <v>627.139911188806</v>
      </c>
      <c r="E57" s="23" t="n">
        <f aca="false">(((E53+E54)+E55)+E56)</f>
        <v>875.396561993027</v>
      </c>
      <c r="F57" s="23" t="n">
        <f aca="false">(((F53+F54)+F55)+F56)</f>
        <v>1148.42619017802</v>
      </c>
      <c r="G57" s="23" t="n">
        <f aca="false">(((G53+G54)+G55)+G56)</f>
        <v>1419.8294202583</v>
      </c>
      <c r="H57" s="23" t="n">
        <f aca="false">(((H53+H54)+H55)+H56)</f>
        <v>1698.8683316242</v>
      </c>
      <c r="I57" s="23" t="n">
        <f aca="false">(((I53+I54)+I55)+I56)</f>
        <v>1987.6073823049</v>
      </c>
      <c r="J57" s="23" t="n">
        <f aca="false">(((J53+J54)+J55)+J56)</f>
        <v>2287.95905278926</v>
      </c>
      <c r="K57" s="23" t="n">
        <f aca="false">(((K53+K54)+K55)+K56)</f>
        <v>2601.79582500913</v>
      </c>
      <c r="L57" s="23" t="n">
        <f aca="false">(((L53+L54)+L55)+L56)</f>
        <v>2930.97207500647</v>
      </c>
      <c r="M57" s="23" t="n">
        <f aca="false">(((M53+M54)+M55)+M56)</f>
        <v>3277.343078739</v>
      </c>
      <c r="N57" s="23" t="n">
        <f aca="false">(((N53+N54)+N55)+N56)</f>
        <v>3642.78255067499</v>
      </c>
      <c r="O57" s="23" t="n">
        <f aca="false">(((O53+O54)+O55)+O56)</f>
        <v>3967.94905868287</v>
      </c>
      <c r="P57" s="23" t="n">
        <f aca="false">(((P53+P54)+P55)+P56)</f>
        <v>4310.97228131005</v>
      </c>
      <c r="Q57" s="23" t="n">
        <f aca="false">(((Q53+Q54)+Q55)+Q56)</f>
        <v>4674.32553698782</v>
      </c>
      <c r="R57" s="23" t="n">
        <f aca="false">(((R53+R54)+R55)+R56)</f>
        <v>5056.43786199131</v>
      </c>
      <c r="S57" s="23" t="n">
        <f aca="false">(((S53+S54)+S55)+S56)</f>
        <v>5462.33264825378</v>
      </c>
      <c r="T57" s="23" t="n">
        <f aca="false">(((T53+T54)+T55)+T56)</f>
        <v>5893.99370082118</v>
      </c>
      <c r="U57" s="23" t="n">
        <f aca="false">(((U53+U54)+U55)+U56)</f>
        <v>6353.45882252456</v>
      </c>
      <c r="V57" s="23" t="n">
        <f aca="false">(((V53+V54)+V55)+V56)</f>
        <v>6842.87197561737</v>
      </c>
      <c r="W57" s="23" t="n">
        <f aca="false">(((W53+W54)+W55)+W56)</f>
        <v>7364.49596607029</v>
      </c>
      <c r="X57" s="23" t="n">
        <f aca="false">(((X53+X54)+X55)+X56)</f>
        <v>7920.72481699378</v>
      </c>
      <c r="Y57" s="23" t="n">
        <f aca="false">(((Y53+Y54)+Y55)+Y56)</f>
        <v>8514.09644150792</v>
      </c>
      <c r="Z57" s="23" t="n">
        <f aca="false">(((Z53+Z54)+Z55)+Z56)</f>
        <v>9147.30571918438</v>
      </c>
      <c r="AA57" s="23" t="n">
        <f aca="false">(((AA53+AA54)+AA55)+AA56)</f>
        <v>9797.03453803023</v>
      </c>
      <c r="AB57" s="23" t="n">
        <f aca="false">(((AB53+AB54)+AB55)+AB56)</f>
        <v>10490.3544221584</v>
      </c>
      <c r="AC57" s="23" t="n">
        <f aca="false">(((AC53+AC54)+AC55)+AC56)</f>
        <v>11230.7078969206</v>
      </c>
      <c r="AD57" s="23" t="n">
        <f aca="false">(((AD53+AD54)+AD55)+AD56)</f>
        <v>12019.9899298549</v>
      </c>
      <c r="AE57" s="23" t="n">
        <f aca="false">(((AE53+AE54)+AE55)+AE56)</f>
        <v>12863.1068775615</v>
      </c>
      <c r="AF57" s="23" t="n">
        <f aca="false">(((AF53+AF54)+AF55)+AF56)</f>
        <v>13763.8686971815</v>
      </c>
      <c r="AG57" s="23" t="n">
        <f aca="false">(((AG53+AG54)+AG55)+AG56)</f>
        <v>14726.3245114804</v>
      </c>
      <c r="AH57" s="23" t="n">
        <f aca="false">(((AH53+AH54)+AH55)+AH56)</f>
        <v>15754.7986341235</v>
      </c>
      <c r="AI57" s="23" t="n">
        <f aca="false">(((AI53+AI54)+AI55)+AI56)</f>
        <v>16853.9108627675</v>
      </c>
      <c r="AJ57" s="23" t="n">
        <f aca="false">(((AJ53+AJ54)+AJ55)+AJ56)</f>
        <v>18028.5978392722</v>
      </c>
      <c r="AK57" s="23" t="n">
        <f aca="false">(((AK53+AK54)+AK55)+AK56)</f>
        <v>19284.1357996146</v>
      </c>
      <c r="AL57" s="23" t="n">
        <f aca="false">(((AL53+AL54)+AL55)+AL56)</f>
        <v>20626.1648270895</v>
      </c>
    </row>
    <row r="58" customFormat="false" ht="15" hidden="false" customHeight="false" outlineLevel="0" collapsed="false">
      <c r="A58" s="6" t="s">
        <v>437</v>
      </c>
      <c r="B58" s="2" t="s">
        <v>438</v>
      </c>
      <c r="C58" s="14" t="n">
        <f aca="false">((-C57)*Assumptions!$E$40)</f>
        <v>-7.57901942777778</v>
      </c>
      <c r="D58" s="14" t="n">
        <f aca="false">((-D57)*Assumptions!$E$40)</f>
        <v>-12.5427982237761</v>
      </c>
      <c r="E58" s="14" t="n">
        <f aca="false">((-E57)*Assumptions!$E$40)</f>
        <v>-17.5079312398605</v>
      </c>
      <c r="F58" s="14" t="n">
        <f aca="false">((-F57)*Assumptions!$E$40)</f>
        <v>-22.9685238035604</v>
      </c>
      <c r="G58" s="14" t="n">
        <f aca="false">((-G57)*Assumptions!$E$40)</f>
        <v>-28.396588405166</v>
      </c>
      <c r="H58" s="14" t="n">
        <f aca="false">((-H57)*Assumptions!$E$40)</f>
        <v>-33.977366632484</v>
      </c>
      <c r="I58" s="14" t="n">
        <f aca="false">((-I57)*Assumptions!$E$40)</f>
        <v>-39.752147646098</v>
      </c>
      <c r="J58" s="14" t="n">
        <f aca="false">((-J57)*Assumptions!$E$40)</f>
        <v>-45.7591810557852</v>
      </c>
      <c r="K58" s="14" t="n">
        <f aca="false">((-K57)*Assumptions!$E$40)</f>
        <v>-52.0359165001826</v>
      </c>
      <c r="L58" s="14" t="n">
        <f aca="false">((-L57)*Assumptions!$E$40)</f>
        <v>-58.6194415001293</v>
      </c>
      <c r="M58" s="14" t="n">
        <f aca="false">((-M57)*Assumptions!$E$40)</f>
        <v>-65.5468615747801</v>
      </c>
      <c r="N58" s="14" t="n">
        <f aca="false">((-N57)*Assumptions!$E$40)</f>
        <v>-72.8556510134998</v>
      </c>
      <c r="O58" s="14" t="n">
        <f aca="false">((-O57)*Assumptions!$E$40)</f>
        <v>-79.3589811736575</v>
      </c>
      <c r="P58" s="14" t="n">
        <f aca="false">((-P57)*Assumptions!$E$40)</f>
        <v>-86.219445626201</v>
      </c>
      <c r="Q58" s="14" t="n">
        <f aca="false">((-Q57)*Assumptions!$E$40)</f>
        <v>-93.4865107397564</v>
      </c>
      <c r="R58" s="14" t="n">
        <f aca="false">((-R57)*Assumptions!$E$40)</f>
        <v>-101.128757239826</v>
      </c>
      <c r="S58" s="14" t="n">
        <f aca="false">((-S57)*Assumptions!$E$40)</f>
        <v>-109.246652965076</v>
      </c>
      <c r="T58" s="14" t="n">
        <f aca="false">((-T57)*Assumptions!$E$40)</f>
        <v>-117.879874016424</v>
      </c>
      <c r="U58" s="14" t="n">
        <f aca="false">((-U57)*Assumptions!$E$40)</f>
        <v>-127.069176450491</v>
      </c>
      <c r="V58" s="14" t="n">
        <f aca="false">((-V57)*Assumptions!$E$40)</f>
        <v>-136.857439512347</v>
      </c>
      <c r="W58" s="14" t="n">
        <f aca="false">((-W57)*Assumptions!$E$40)</f>
        <v>-147.289919321406</v>
      </c>
      <c r="X58" s="14" t="n">
        <f aca="false">((-X57)*Assumptions!$E$40)</f>
        <v>-158.414496339876</v>
      </c>
      <c r="Y58" s="14" t="n">
        <f aca="false">((-Y57)*Assumptions!$E$40)</f>
        <v>-170.281928830158</v>
      </c>
      <c r="Z58" s="14" t="n">
        <f aca="false">((-Z57)*Assumptions!$E$40)</f>
        <v>-182.946114383688</v>
      </c>
      <c r="AA58" s="14" t="n">
        <f aca="false">((-AA57)*Assumptions!$E$40)</f>
        <v>-195.940690760605</v>
      </c>
      <c r="AB58" s="14" t="n">
        <f aca="false">((-AB57)*Assumptions!$E$40)</f>
        <v>-209.807088443168</v>
      </c>
      <c r="AC58" s="14" t="n">
        <f aca="false">((-AC57)*Assumptions!$E$40)</f>
        <v>-224.614157938412</v>
      </c>
      <c r="AD58" s="14" t="n">
        <f aca="false">((-AD57)*Assumptions!$E$40)</f>
        <v>-240.399798597098</v>
      </c>
      <c r="AE58" s="14" t="n">
        <f aca="false">((-AE57)*Assumptions!$E$40)</f>
        <v>-257.26213755123</v>
      </c>
      <c r="AF58" s="14" t="n">
        <f aca="false">((-AF57)*Assumptions!$E$40)</f>
        <v>-275.277373943631</v>
      </c>
      <c r="AG58" s="14" t="n">
        <f aca="false">((-AG57)*Assumptions!$E$40)</f>
        <v>-294.526490229609</v>
      </c>
      <c r="AH58" s="14" t="n">
        <f aca="false">((-AH57)*Assumptions!$E$40)</f>
        <v>-315.095972682469</v>
      </c>
      <c r="AI58" s="14" t="n">
        <f aca="false">((-AI57)*Assumptions!$E$40)</f>
        <v>-337.07821725535</v>
      </c>
      <c r="AJ58" s="14" t="n">
        <f aca="false">((-AJ57)*Assumptions!$E$40)</f>
        <v>-360.571956785445</v>
      </c>
      <c r="AK58" s="14" t="n">
        <f aca="false">((-AK57)*Assumptions!$E$40)</f>
        <v>-385.682715992292</v>
      </c>
      <c r="AL58" s="14" t="n">
        <f aca="false">((-AL57)*Assumptions!$E$40)</f>
        <v>-412.523296541791</v>
      </c>
    </row>
    <row r="59" customFormat="false" ht="15" hidden="false" customHeight="false" outlineLevel="0" collapsed="false">
      <c r="A59" s="6" t="s">
        <v>439</v>
      </c>
      <c r="B59" s="2" t="s">
        <v>117</v>
      </c>
      <c r="C59" s="14" t="n">
        <f aca="false">((-(C57+C58))*Assumptions!$E$39)</f>
        <v>-55.7057927941667</v>
      </c>
      <c r="D59" s="14" t="n">
        <f aca="false">((-(D57+D58))*Assumptions!$E$39)</f>
        <v>-92.1895669447545</v>
      </c>
      <c r="E59" s="14" t="n">
        <f aca="false">((-(E57+E58))*Assumptions!$E$39)</f>
        <v>-128.683294612975</v>
      </c>
      <c r="F59" s="14" t="n">
        <f aca="false">((-(F57+F58))*Assumptions!$E$39)</f>
        <v>-168.818649956169</v>
      </c>
      <c r="G59" s="14" t="n">
        <f aca="false">((-(G57+G58))*Assumptions!$E$39)</f>
        <v>-208.71492477797</v>
      </c>
      <c r="H59" s="14" t="n">
        <f aca="false">((-(H57+H58))*Assumptions!$E$39)</f>
        <v>-249.733644748758</v>
      </c>
      <c r="I59" s="14" t="n">
        <f aca="false">((-(I57+I58))*Assumptions!$E$39)</f>
        <v>-292.17828519882</v>
      </c>
      <c r="J59" s="14" t="n">
        <f aca="false">((-(J57+J58))*Assumptions!$E$39)</f>
        <v>-336.329980760021</v>
      </c>
      <c r="K59" s="14" t="n">
        <f aca="false">((-(K57+K58))*Assumptions!$E$39)</f>
        <v>-382.463986276342</v>
      </c>
      <c r="L59" s="14" t="n">
        <f aca="false">((-(L57+L58))*Assumptions!$E$39)</f>
        <v>-430.852895025951</v>
      </c>
      <c r="M59" s="14" t="n">
        <f aca="false">((-(M57+M58))*Assumptions!$E$39)</f>
        <v>-481.769432574634</v>
      </c>
      <c r="N59" s="14" t="n">
        <f aca="false">((-(N57+N58))*Assumptions!$E$39)</f>
        <v>-535.489034949223</v>
      </c>
      <c r="O59" s="14" t="n">
        <f aca="false">((-(O57+O58))*Assumptions!$E$39)</f>
        <v>-583.288511626383</v>
      </c>
      <c r="P59" s="14" t="n">
        <f aca="false">((-(P57+P58))*Assumptions!$E$39)</f>
        <v>-633.712925352577</v>
      </c>
      <c r="Q59" s="14" t="n">
        <f aca="false">((-(Q57+Q58))*Assumptions!$E$39)</f>
        <v>-687.125853937209</v>
      </c>
      <c r="R59" s="14" t="n">
        <f aca="false">((-(R57+R58))*Assumptions!$E$39)</f>
        <v>-743.296365712722</v>
      </c>
      <c r="S59" s="14" t="n">
        <f aca="false">((-(S57+S58))*Assumptions!$E$39)</f>
        <v>-802.962899293305</v>
      </c>
      <c r="T59" s="14" t="n">
        <f aca="false">((-(T57+T58))*Assumptions!$E$39)</f>
        <v>-866.417074020713</v>
      </c>
      <c r="U59" s="14" t="n">
        <f aca="false">((-(U57+U58))*Assumptions!$E$39)</f>
        <v>-933.95844691111</v>
      </c>
      <c r="V59" s="14" t="n">
        <f aca="false">((-(V57+V58))*Assumptions!$E$39)</f>
        <v>-1005.90218041575</v>
      </c>
      <c r="W59" s="14" t="n">
        <f aca="false">((-(W57+W58))*Assumptions!$E$39)</f>
        <v>-1082.58090701233</v>
      </c>
      <c r="X59" s="14" t="n">
        <f aca="false">((-(X57+X58))*Assumptions!$E$39)</f>
        <v>-1164.34654809809</v>
      </c>
      <c r="Y59" s="14" t="n">
        <f aca="false">((-(Y57+Y58))*Assumptions!$E$39)</f>
        <v>-1251.57217690166</v>
      </c>
      <c r="Z59" s="14" t="n">
        <f aca="false">((-(Z57+Z58))*Assumptions!$E$39)</f>
        <v>-1344.6539407201</v>
      </c>
      <c r="AA59" s="14" t="n">
        <f aca="false">((-(AA57+AA58))*Assumptions!$E$39)</f>
        <v>-1440.16407709044</v>
      </c>
      <c r="AB59" s="14" t="n">
        <f aca="false">((-(AB57+AB58))*Assumptions!$E$39)</f>
        <v>-1542.08210005728</v>
      </c>
      <c r="AC59" s="14" t="n">
        <f aca="false">((-(AC57+AC58))*Assumptions!$E$39)</f>
        <v>-1650.91406084733</v>
      </c>
      <c r="AD59" s="14" t="n">
        <f aca="false">((-(AD57+AD58))*Assumptions!$E$39)</f>
        <v>-1766.93851968867</v>
      </c>
      <c r="AE59" s="14" t="n">
        <f aca="false">((-(AE57+AE58))*Assumptions!$E$39)</f>
        <v>-1890.87671100154</v>
      </c>
      <c r="AF59" s="14" t="n">
        <f aca="false">((-(AF57+AF58))*Assumptions!$E$39)</f>
        <v>-2023.28869848569</v>
      </c>
      <c r="AG59" s="14" t="n">
        <f aca="false">((-(AG57+AG58))*Assumptions!$E$39)</f>
        <v>-2164.76970318762</v>
      </c>
      <c r="AH59" s="14" t="n">
        <f aca="false">((-(AH57+AH58))*Assumptions!$E$39)</f>
        <v>-2315.95539921615</v>
      </c>
      <c r="AI59" s="14" t="n">
        <f aca="false">((-(AI57+AI58))*Assumptions!$E$39)</f>
        <v>-2477.52489682682</v>
      </c>
      <c r="AJ59" s="14" t="n">
        <f aca="false">((-(AJ57+AJ58))*Assumptions!$E$39)</f>
        <v>-2650.20388237302</v>
      </c>
      <c r="AK59" s="14" t="n">
        <f aca="false">((-(AK57+AK58))*Assumptions!$E$39)</f>
        <v>-2834.76796254334</v>
      </c>
      <c r="AL59" s="14" t="n">
        <f aca="false">((-(AL57+AL58))*Assumptions!$E$39)</f>
        <v>-3032.04622958216</v>
      </c>
    </row>
    <row r="60" customFormat="false" ht="15" hidden="false" customHeight="false" outlineLevel="0" collapsed="false">
      <c r="A60" s="21" t="s">
        <v>440</v>
      </c>
      <c r="B60" s="2" t="s">
        <v>441</v>
      </c>
      <c r="C60" s="23" t="n">
        <f aca="false">((C57+C58)+C59)</f>
        <v>315.666159166944</v>
      </c>
      <c r="D60" s="23" t="n">
        <f aca="false">((D57+D58)+D59)</f>
        <v>522.407546020275</v>
      </c>
      <c r="E60" s="23" t="n">
        <f aca="false">((E57+E58)+E59)</f>
        <v>729.205336140192</v>
      </c>
      <c r="F60" s="23" t="n">
        <f aca="false">((F57+F58)+F59)</f>
        <v>956.639016418291</v>
      </c>
      <c r="G60" s="23" t="n">
        <f aca="false">((G57+G58)+G59)</f>
        <v>1182.71790707516</v>
      </c>
      <c r="H60" s="23" t="n">
        <f aca="false">((H57+H58)+H59)</f>
        <v>1415.15732024296</v>
      </c>
      <c r="I60" s="23" t="n">
        <f aca="false">((I57+I58)+I59)</f>
        <v>1655.67694945998</v>
      </c>
      <c r="J60" s="23" t="n">
        <f aca="false">((J57+J58)+J59)</f>
        <v>1905.86989097345</v>
      </c>
      <c r="K60" s="23" t="n">
        <f aca="false">((K57+K58)+K59)</f>
        <v>2167.29592223261</v>
      </c>
      <c r="L60" s="23" t="n">
        <f aca="false">((L57+L58)+L59)</f>
        <v>2441.49973848039</v>
      </c>
      <c r="M60" s="23" t="n">
        <f aca="false">((M57+M58)+M59)</f>
        <v>2730.02678458959</v>
      </c>
      <c r="N60" s="23" t="n">
        <f aca="false">((N57+N58)+N59)</f>
        <v>3034.43786471227</v>
      </c>
      <c r="O60" s="23" t="n">
        <f aca="false">((O57+O58)+O59)</f>
        <v>3305.30156588283</v>
      </c>
      <c r="P60" s="23" t="n">
        <f aca="false">((P57+P58)+P59)</f>
        <v>3591.03991033127</v>
      </c>
      <c r="Q60" s="23" t="n">
        <f aca="false">((Q57+Q58)+Q59)</f>
        <v>3893.71317231085</v>
      </c>
      <c r="R60" s="23" t="n">
        <f aca="false">((R57+R58)+R59)</f>
        <v>4212.01273903876</v>
      </c>
      <c r="S60" s="23" t="n">
        <f aca="false">((S57+S58)+S59)</f>
        <v>4550.1230959954</v>
      </c>
      <c r="T60" s="23" t="n">
        <f aca="false">((T57+T58)+T59)</f>
        <v>4909.69675278404</v>
      </c>
      <c r="U60" s="23" t="n">
        <f aca="false">((U57+U58)+U59)</f>
        <v>5292.43119916296</v>
      </c>
      <c r="V60" s="23" t="n">
        <f aca="false">((V57+V58)+V59)</f>
        <v>5700.11235568927</v>
      </c>
      <c r="W60" s="23" t="n">
        <f aca="false">((W57+W58)+W59)</f>
        <v>6134.62513973655</v>
      </c>
      <c r="X60" s="23" t="n">
        <f aca="false">((X57+X58)+X59)</f>
        <v>6597.96377255582</v>
      </c>
      <c r="Y60" s="23" t="n">
        <f aca="false">((Y57+Y58)+Y59)</f>
        <v>7092.2423357761</v>
      </c>
      <c r="Z60" s="23" t="n">
        <f aca="false">((Z57+Z58)+Z59)</f>
        <v>7619.70566408059</v>
      </c>
      <c r="AA60" s="23" t="n">
        <f aca="false">((AA57+AA58)+AA59)</f>
        <v>8160.92977017918</v>
      </c>
      <c r="AB60" s="23" t="n">
        <f aca="false">((AB57+AB58)+AB59)</f>
        <v>8738.46523365795</v>
      </c>
      <c r="AC60" s="23" t="n">
        <f aca="false">((AC57+AC58)+AC59)</f>
        <v>9355.17967813486</v>
      </c>
      <c r="AD60" s="23" t="n">
        <f aca="false">((AD57+AD58)+AD59)</f>
        <v>10012.6516115691</v>
      </c>
      <c r="AE60" s="23" t="n">
        <f aca="false">((AE57+AE58)+AE59)</f>
        <v>10714.9680290087</v>
      </c>
      <c r="AF60" s="23" t="n">
        <f aca="false">((AF57+AF58)+AF59)</f>
        <v>11465.3026247522</v>
      </c>
      <c r="AG60" s="23" t="n">
        <f aca="false">((AG57+AG58)+AG59)</f>
        <v>12267.0283180632</v>
      </c>
      <c r="AH60" s="23" t="n">
        <f aca="false">((AH57+AH58)+AH59)</f>
        <v>13123.7472622248</v>
      </c>
      <c r="AI60" s="23" t="n">
        <f aca="false">((AI57+AI58)+AI59)</f>
        <v>14039.3077486853</v>
      </c>
      <c r="AJ60" s="23" t="n">
        <f aca="false">((AJ57+AJ58)+AJ59)</f>
        <v>15017.8220001138</v>
      </c>
      <c r="AK60" s="23" t="n">
        <f aca="false">((AK57+AK58)+AK59)</f>
        <v>16063.6851210789</v>
      </c>
      <c r="AL60" s="23" t="n">
        <f aca="false">((AL57+AL58)+AL59)</f>
        <v>17181.5953009656</v>
      </c>
    </row>
    <row r="61" customFormat="false" ht="15" hidden="false" customHeight="false" outlineLevel="0" collapsed="false">
      <c r="A61" s="6" t="s">
        <v>442</v>
      </c>
      <c r="B61" s="2" t="s">
        <v>443</v>
      </c>
      <c r="C61" s="14" t="n">
        <f aca="false">(((C41/1000)*Assumptions!$E$51)*Assumptions!$E$54)</f>
        <v>0</v>
      </c>
      <c r="D61" s="14" t="n">
        <f aca="false">(((D41/1000)*Assumptions!$E$51)*Assumptions!$E$54)</f>
        <v>0</v>
      </c>
      <c r="E61" s="14" t="n">
        <f aca="false">(((E41/1000)*Assumptions!$E$51)*Assumptions!$E$54)</f>
        <v>0</v>
      </c>
      <c r="F61" s="14" t="n">
        <f aca="false">(((F41/1000)*Assumptions!$E$51)*Assumptions!$E$54)</f>
        <v>21.7286763235407</v>
      </c>
      <c r="G61" s="14" t="n">
        <f aca="false">(((G41/1000)*Assumptions!$E$51)*Assumptions!$E$54)</f>
        <v>24.5570128567705</v>
      </c>
      <c r="H61" s="14" t="n">
        <f aca="false">(((H41/1000)*Assumptions!$E$51)*Assumptions!$E$54)</f>
        <v>27.4611253295601</v>
      </c>
      <c r="I61" s="14" t="n">
        <f aca="false">(((I41/1000)*Assumptions!$E$51)*Assumptions!$E$54)</f>
        <v>30.4626558604986</v>
      </c>
      <c r="J61" s="14" t="n">
        <f aca="false">(((J41/1000)*Assumptions!$E$51)*Assumptions!$E$54)</f>
        <v>33.5762715192075</v>
      </c>
      <c r="K61" s="14" t="n">
        <f aca="false">(((K41/1000)*Assumptions!$E$51)*Assumptions!$E$54)</f>
        <v>36.8169444125025</v>
      </c>
      <c r="L61" s="14" t="n">
        <f aca="false">(((L41/1000)*Assumptions!$E$51)*Assumptions!$E$54)</f>
        <v>40.2001186225815</v>
      </c>
      <c r="M61" s="14" t="n">
        <f aca="false">(((M41/1000)*Assumptions!$E$51)*Assumptions!$E$54)</f>
        <v>43.7417884222455</v>
      </c>
      <c r="N61" s="14" t="n">
        <f aca="false">(((N41/1000)*Assumptions!$E$51)*Assumptions!$E$54)</f>
        <v>47.458577294619</v>
      </c>
      <c r="O61" s="14" t="n">
        <f aca="false">(((O41/1000)*Assumptions!$E$51)*Assumptions!$E$54)</f>
        <v>51.3678192894934</v>
      </c>
      <c r="P61" s="14" t="n">
        <f aca="false">(((P41/1000)*Assumptions!$E$51)*Assumptions!$E$54)</f>
        <v>55.485805871868</v>
      </c>
      <c r="Q61" s="14" t="n">
        <f aca="false">(((Q41/1000)*Assumptions!$E$51)*Assumptions!$E$54)</f>
        <v>59.8329862242101</v>
      </c>
      <c r="R61" s="14" t="n">
        <f aca="false">(((R41/1000)*Assumptions!$E$51)*Assumptions!$E$54)</f>
        <v>64.4293741494402</v>
      </c>
      <c r="S61" s="14" t="n">
        <f aca="false">(((S41/1000)*Assumptions!$E$51)*Assumptions!$E$54)</f>
        <v>69.2959119070521</v>
      </c>
      <c r="T61" s="14" t="n">
        <f aca="false">(((T41/1000)*Assumptions!$E$51)*Assumptions!$E$54)</f>
        <v>74.4548888857897</v>
      </c>
      <c r="U61" s="14" t="n">
        <f aca="false">(((U41/1000)*Assumptions!$E$51)*Assumptions!$E$54)</f>
        <v>79.9297854237788</v>
      </c>
      <c r="V61" s="14" t="n">
        <f aca="false">(((V41/1000)*Assumptions!$E$51)*Assumptions!$E$54)</f>
        <v>85.7454595527714</v>
      </c>
      <c r="W61" s="14" t="n">
        <f aca="false">(((W41/1000)*Assumptions!$E$51)*Assumptions!$E$54)</f>
        <v>91.9282649162429</v>
      </c>
      <c r="X61" s="14" t="n">
        <f aca="false">(((X41/1000)*Assumptions!$E$51)*Assumptions!$E$54)</f>
        <v>98.5061732905394</v>
      </c>
      <c r="Y61" s="14" t="n">
        <f aca="false">(((Y41/1000)*Assumptions!$E$51)*Assumptions!$E$54)</f>
        <v>105.508904202643</v>
      </c>
      <c r="Z61" s="14" t="n">
        <f aca="false">(((Z41/1000)*Assumptions!$E$51)*Assumptions!$E$54)</f>
        <v>112.968062290144</v>
      </c>
      <c r="AA61" s="14" t="n">
        <f aca="false">(((AA41/1000)*Assumptions!$E$51)*Assumptions!$E$54)</f>
        <v>120.91728304676</v>
      </c>
      <c r="AB61" s="14" t="n">
        <f aca="false">(((AB41/1000)*Assumptions!$E$51)*Assumptions!$E$54)</f>
        <v>129.39162063737</v>
      </c>
      <c r="AC61" s="14" t="n">
        <f aca="false">(((AC41/1000)*Assumptions!$E$51)*Assumptions!$E$54)</f>
        <v>138.429847255296</v>
      </c>
      <c r="AD61" s="14" t="n">
        <f aca="false">(((AD41/1000)*Assumptions!$E$51)*Assumptions!$E$54)</f>
        <v>148.072672405234</v>
      </c>
      <c r="AE61" s="14" t="n">
        <f aca="false">(((AE41/1000)*Assumptions!$E$51)*Assumptions!$E$54)</f>
        <v>158.36345931228</v>
      </c>
      <c r="AF61" s="14" t="n">
        <f aca="false">(((AF41/1000)*Assumptions!$E$51)*Assumptions!$E$54)</f>
        <v>169.34855692655</v>
      </c>
      <c r="AG61" s="14" t="n">
        <f aca="false">(((AG41/1000)*Assumptions!$E$51)*Assumptions!$E$54)</f>
        <v>181.077402954116</v>
      </c>
      <c r="AH61" s="14" t="n">
        <f aca="false">(((AH41/1000)*Assumptions!$E$51)*Assumptions!$E$54)</f>
        <v>193.602781904139</v>
      </c>
      <c r="AI61" s="14" t="n">
        <f aca="false">(((AI41/1000)*Assumptions!$E$51)*Assumptions!$E$54)</f>
        <v>206.981067036039</v>
      </c>
      <c r="AJ61" s="14" t="n">
        <f aca="false">(((AJ41/1000)*Assumptions!$E$51)*Assumptions!$E$54)</f>
        <v>221.272477749924</v>
      </c>
      <c r="AK61" s="14" t="n">
        <f aca="false">(((AK41/1000)*Assumptions!$E$51)*Assumptions!$E$54)</f>
        <v>236.541354402661</v>
      </c>
      <c r="AL61" s="14" t="n">
        <f aca="false">(((AL41/1000)*Assumptions!$E$51)*Assumptions!$E$54)</f>
        <v>252.856451826279</v>
      </c>
    </row>
    <row r="62" customFormat="false" ht="15" hidden="false" customHeight="false" outlineLevel="0" collapsed="false">
      <c r="A62" s="6" t="s">
        <v>444</v>
      </c>
      <c r="B62" s="2" t="s">
        <v>445</v>
      </c>
      <c r="C62" s="14" t="n">
        <f aca="false">(((C42/1000)*Assumptions!$E$52)*Assumptions!$E$54)</f>
        <v>0</v>
      </c>
      <c r="D62" s="14" t="n">
        <f aca="false">(((D42/1000)*Assumptions!$E$52)*Assumptions!$E$54)</f>
        <v>0</v>
      </c>
      <c r="E62" s="14" t="n">
        <f aca="false">(((E42/1000)*Assumptions!$E$52)*Assumptions!$E$54)</f>
        <v>0</v>
      </c>
      <c r="F62" s="14" t="n">
        <f aca="false">(((F42/1000)*Assumptions!$E$52)*Assumptions!$E$54)</f>
        <v>13.0372057941244</v>
      </c>
      <c r="G62" s="14" t="n">
        <f aca="false">(((G42/1000)*Assumptions!$E$52)*Assumptions!$E$54)</f>
        <v>14.7342077140623</v>
      </c>
      <c r="H62" s="14" t="n">
        <f aca="false">(((H42/1000)*Assumptions!$E$52)*Assumptions!$E$54)</f>
        <v>16.4766751977361</v>
      </c>
      <c r="I62" s="14" t="n">
        <f aca="false">(((I42/1000)*Assumptions!$E$52)*Assumptions!$E$54)</f>
        <v>18.2775935162991</v>
      </c>
      <c r="J62" s="14" t="n">
        <f aca="false">(((J42/1000)*Assumptions!$E$52)*Assumptions!$E$54)</f>
        <v>20.1457629115245</v>
      </c>
      <c r="K62" s="14" t="n">
        <f aca="false">(((K42/1000)*Assumptions!$E$52)*Assumptions!$E$54)</f>
        <v>22.0901666475015</v>
      </c>
      <c r="L62" s="14" t="n">
        <f aca="false">(((L42/1000)*Assumptions!$E$52)*Assumptions!$E$54)</f>
        <v>24.1200711735489</v>
      </c>
      <c r="M62" s="14" t="n">
        <f aca="false">(((M42/1000)*Assumptions!$E$52)*Assumptions!$E$54)</f>
        <v>26.2450730533473</v>
      </c>
      <c r="N62" s="14" t="n">
        <f aca="false">(((N42/1000)*Assumptions!$E$52)*Assumptions!$E$54)</f>
        <v>28.4751463767714</v>
      </c>
      <c r="O62" s="14" t="n">
        <f aca="false">(((O42/1000)*Assumptions!$E$52)*Assumptions!$E$54)</f>
        <v>30.820691573696</v>
      </c>
      <c r="P62" s="14" t="n">
        <f aca="false">(((P42/1000)*Assumptions!$E$52)*Assumptions!$E$54)</f>
        <v>33.2914835231208</v>
      </c>
      <c r="Q62" s="14" t="n">
        <f aca="false">(((Q42/1000)*Assumptions!$E$52)*Assumptions!$E$54)</f>
        <v>35.8997917345261</v>
      </c>
      <c r="R62" s="14" t="n">
        <f aca="false">(((R42/1000)*Assumptions!$E$52)*Assumptions!$E$54)</f>
        <v>38.6576244896641</v>
      </c>
      <c r="S62" s="14" t="n">
        <f aca="false">(((S42/1000)*Assumptions!$E$52)*Assumptions!$E$54)</f>
        <v>41.5775471442312</v>
      </c>
      <c r="T62" s="14" t="n">
        <f aca="false">(((T42/1000)*Assumptions!$E$52)*Assumptions!$E$54)</f>
        <v>44.6729333314738</v>
      </c>
      <c r="U62" s="14" t="n">
        <f aca="false">(((U42/1000)*Assumptions!$E$52)*Assumptions!$E$54)</f>
        <v>47.9578712542673</v>
      </c>
      <c r="V62" s="14" t="n">
        <f aca="false">(((V42/1000)*Assumptions!$E$52)*Assumptions!$E$54)</f>
        <v>51.4472757316628</v>
      </c>
      <c r="W62" s="14" t="n">
        <f aca="false">(((W42/1000)*Assumptions!$E$52)*Assumptions!$E$54)</f>
        <v>55.1569589497458</v>
      </c>
      <c r="X62" s="14" t="n">
        <f aca="false">(((X42/1000)*Assumptions!$E$52)*Assumptions!$E$54)</f>
        <v>59.1037039743237</v>
      </c>
      <c r="Y62" s="14" t="n">
        <f aca="false">(((Y42/1000)*Assumptions!$E$52)*Assumptions!$E$54)</f>
        <v>63.3053425215861</v>
      </c>
      <c r="Z62" s="14" t="n">
        <f aca="false">(((Z42/1000)*Assumptions!$E$52)*Assumptions!$E$54)</f>
        <v>67.7808373740862</v>
      </c>
      <c r="AA62" s="14" t="n">
        <f aca="false">(((AA42/1000)*Assumptions!$E$52)*Assumptions!$E$54)</f>
        <v>72.550369828056</v>
      </c>
      <c r="AB62" s="14" t="n">
        <f aca="false">(((AB42/1000)*Assumptions!$E$52)*Assumptions!$E$54)</f>
        <v>77.6349723824218</v>
      </c>
      <c r="AC62" s="14" t="n">
        <f aca="false">(((AC42/1000)*Assumptions!$E$52)*Assumptions!$E$54)</f>
        <v>83.0579083531774</v>
      </c>
      <c r="AD62" s="14" t="n">
        <f aca="false">(((AD42/1000)*Assumptions!$E$52)*Assumptions!$E$54)</f>
        <v>88.8436034431405</v>
      </c>
      <c r="AE62" s="14" t="n">
        <f aca="false">(((AE42/1000)*Assumptions!$E$52)*Assumptions!$E$54)</f>
        <v>95.0180755873681</v>
      </c>
      <c r="AF62" s="14" t="n">
        <f aca="false">(((AF42/1000)*Assumptions!$E$52)*Assumptions!$E$54)</f>
        <v>101.60913415593</v>
      </c>
      <c r="AG62" s="14" t="n">
        <f aca="false">(((AG42/1000)*Assumptions!$E$52)*Assumptions!$E$54)</f>
        <v>108.64644177247</v>
      </c>
      <c r="AH62" s="14" t="n">
        <f aca="false">(((AH42/1000)*Assumptions!$E$52)*Assumptions!$E$54)</f>
        <v>116.161669142483</v>
      </c>
      <c r="AI62" s="14" t="n">
        <f aca="false">(((AI42/1000)*Assumptions!$E$52)*Assumptions!$E$54)</f>
        <v>124.188640221623</v>
      </c>
      <c r="AJ62" s="14" t="n">
        <f aca="false">(((AJ42/1000)*Assumptions!$E$52)*Assumptions!$E$54)</f>
        <v>132.763486649954</v>
      </c>
      <c r="AK62" s="14" t="n">
        <f aca="false">(((AK42/1000)*Assumptions!$E$52)*Assumptions!$E$54)</f>
        <v>141.924812641596</v>
      </c>
      <c r="AL62" s="14" t="n">
        <f aca="false">(((AL42/1000)*Assumptions!$E$52)*Assumptions!$E$54)</f>
        <v>151.713871095767</v>
      </c>
    </row>
    <row r="63" customFormat="false" ht="15" hidden="false" customHeight="false" outlineLevel="0" collapsed="false">
      <c r="A63" s="6" t="s">
        <v>446</v>
      </c>
      <c r="B63" s="2" t="s">
        <v>447</v>
      </c>
      <c r="C63" s="14" t="n">
        <f aca="false">(((C43/1000)*Assumptions!$E$53)*Assumptions!$E$54)</f>
        <v>0</v>
      </c>
      <c r="D63" s="14" t="n">
        <f aca="false">(((D43/1000)*Assumptions!$E$53)*Assumptions!$E$54)</f>
        <v>0</v>
      </c>
      <c r="E63" s="14" t="n">
        <f aca="false">(((E43/1000)*Assumptions!$E$53)*Assumptions!$E$54)</f>
        <v>0</v>
      </c>
      <c r="F63" s="14" t="n">
        <f aca="false">(((F43/1000)*Assumptions!$E$53)*Assumptions!$E$54)</f>
        <v>13.0372057941244</v>
      </c>
      <c r="G63" s="14" t="n">
        <f aca="false">(((G43/1000)*Assumptions!$E$53)*Assumptions!$E$54)</f>
        <v>14.7342077140623</v>
      </c>
      <c r="H63" s="14" t="n">
        <f aca="false">(((H43/1000)*Assumptions!$E$53)*Assumptions!$E$54)</f>
        <v>16.4766751977361</v>
      </c>
      <c r="I63" s="14" t="n">
        <f aca="false">(((I43/1000)*Assumptions!$E$53)*Assumptions!$E$54)</f>
        <v>18.2775935162991</v>
      </c>
      <c r="J63" s="14" t="n">
        <f aca="false">(((J43/1000)*Assumptions!$E$53)*Assumptions!$E$54)</f>
        <v>20.1457629115245</v>
      </c>
      <c r="K63" s="14" t="n">
        <f aca="false">(((K43/1000)*Assumptions!$E$53)*Assumptions!$E$54)</f>
        <v>22.0901666475015</v>
      </c>
      <c r="L63" s="14" t="n">
        <f aca="false">(((L43/1000)*Assumptions!$E$53)*Assumptions!$E$54)</f>
        <v>24.1200711735489</v>
      </c>
      <c r="M63" s="14" t="n">
        <f aca="false">(((M43/1000)*Assumptions!$E$53)*Assumptions!$E$54)</f>
        <v>26.2450730533473</v>
      </c>
      <c r="N63" s="14" t="n">
        <f aca="false">(((N43/1000)*Assumptions!$E$53)*Assumptions!$E$54)</f>
        <v>28.4751463767714</v>
      </c>
      <c r="O63" s="14" t="n">
        <f aca="false">(((O43/1000)*Assumptions!$E$53)*Assumptions!$E$54)</f>
        <v>30.820691573696</v>
      </c>
      <c r="P63" s="14" t="n">
        <f aca="false">(((P43/1000)*Assumptions!$E$53)*Assumptions!$E$54)</f>
        <v>33.2914835231208</v>
      </c>
      <c r="Q63" s="14" t="n">
        <f aca="false">(((Q43/1000)*Assumptions!$E$53)*Assumptions!$E$54)</f>
        <v>35.8997917345261</v>
      </c>
      <c r="R63" s="14" t="n">
        <f aca="false">(((R43/1000)*Assumptions!$E$53)*Assumptions!$E$54)</f>
        <v>38.6576244896641</v>
      </c>
      <c r="S63" s="14" t="n">
        <f aca="false">(((S43/1000)*Assumptions!$E$53)*Assumptions!$E$54)</f>
        <v>41.5775471442312</v>
      </c>
      <c r="T63" s="14" t="n">
        <f aca="false">(((T43/1000)*Assumptions!$E$53)*Assumptions!$E$54)</f>
        <v>44.6729333314738</v>
      </c>
      <c r="U63" s="14" t="n">
        <f aca="false">(((U43/1000)*Assumptions!$E$53)*Assumptions!$E$54)</f>
        <v>47.9578712542673</v>
      </c>
      <c r="V63" s="14" t="n">
        <f aca="false">(((V43/1000)*Assumptions!$E$53)*Assumptions!$E$54)</f>
        <v>51.4472757316628</v>
      </c>
      <c r="W63" s="14" t="n">
        <f aca="false">(((W43/1000)*Assumptions!$E$53)*Assumptions!$E$54)</f>
        <v>55.1569589497458</v>
      </c>
      <c r="X63" s="14" t="n">
        <f aca="false">(((X43/1000)*Assumptions!$E$53)*Assumptions!$E$54)</f>
        <v>59.1037039743237</v>
      </c>
      <c r="Y63" s="14" t="n">
        <f aca="false">(((Y43/1000)*Assumptions!$E$53)*Assumptions!$E$54)</f>
        <v>63.3053425215861</v>
      </c>
      <c r="Z63" s="14" t="n">
        <f aca="false">(((Z43/1000)*Assumptions!$E$53)*Assumptions!$E$54)</f>
        <v>67.7808373740862</v>
      </c>
      <c r="AA63" s="14" t="n">
        <f aca="false">(((AA43/1000)*Assumptions!$E$53)*Assumptions!$E$54)</f>
        <v>72.550369828056</v>
      </c>
      <c r="AB63" s="14" t="n">
        <f aca="false">(((AB43/1000)*Assumptions!$E$53)*Assumptions!$E$54)</f>
        <v>77.6349723824218</v>
      </c>
      <c r="AC63" s="14" t="n">
        <f aca="false">(((AC43/1000)*Assumptions!$E$53)*Assumptions!$E$54)</f>
        <v>83.0579083531774</v>
      </c>
      <c r="AD63" s="14" t="n">
        <f aca="false">(((AD43/1000)*Assumptions!$E$53)*Assumptions!$E$54)</f>
        <v>88.8436034431405</v>
      </c>
      <c r="AE63" s="14" t="n">
        <f aca="false">(((AE43/1000)*Assumptions!$E$53)*Assumptions!$E$54)</f>
        <v>95.0180755873681</v>
      </c>
      <c r="AF63" s="14" t="n">
        <f aca="false">(((AF43/1000)*Assumptions!$E$53)*Assumptions!$E$54)</f>
        <v>101.60913415593</v>
      </c>
      <c r="AG63" s="14" t="n">
        <f aca="false">(((AG43/1000)*Assumptions!$E$53)*Assumptions!$E$54)</f>
        <v>108.64644177247</v>
      </c>
      <c r="AH63" s="14" t="n">
        <f aca="false">(((AH43/1000)*Assumptions!$E$53)*Assumptions!$E$54)</f>
        <v>116.161669142483</v>
      </c>
      <c r="AI63" s="14" t="n">
        <f aca="false">(((AI43/1000)*Assumptions!$E$53)*Assumptions!$E$54)</f>
        <v>124.188640221623</v>
      </c>
      <c r="AJ63" s="14" t="n">
        <f aca="false">(((AJ43/1000)*Assumptions!$E$53)*Assumptions!$E$54)</f>
        <v>132.763486649954</v>
      </c>
      <c r="AK63" s="14" t="n">
        <f aca="false">(((AK43/1000)*Assumptions!$E$53)*Assumptions!$E$54)</f>
        <v>141.924812641596</v>
      </c>
      <c r="AL63" s="14" t="n">
        <f aca="false">(((AL43/1000)*Assumptions!$E$53)*Assumptions!$E$54)</f>
        <v>151.713871095767</v>
      </c>
    </row>
    <row r="64" customFormat="false" ht="15" hidden="false" customHeight="false" outlineLevel="0" collapsed="false">
      <c r="A64" s="21" t="s">
        <v>448</v>
      </c>
      <c r="B64" s="2" t="s">
        <v>449</v>
      </c>
      <c r="C64" s="23" t="n">
        <f aca="false">((C61+C62)+C63)</f>
        <v>0</v>
      </c>
      <c r="D64" s="23" t="n">
        <f aca="false">((D61+D62)+D63)</f>
        <v>0</v>
      </c>
      <c r="E64" s="23" t="n">
        <f aca="false">((E61+E62)+E63)</f>
        <v>0</v>
      </c>
      <c r="F64" s="23" t="n">
        <f aca="false">((F61+F62)+F63)</f>
        <v>47.8030879117896</v>
      </c>
      <c r="G64" s="23" t="n">
        <f aca="false">((G61+G62)+G63)</f>
        <v>54.025428284895</v>
      </c>
      <c r="H64" s="23" t="n">
        <f aca="false">((H61+H62)+H63)</f>
        <v>60.4144757250322</v>
      </c>
      <c r="I64" s="23" t="n">
        <f aca="false">((I61+I62)+I63)</f>
        <v>67.0178428930969</v>
      </c>
      <c r="J64" s="23" t="n">
        <f aca="false">((J61+J62)+J63)</f>
        <v>73.8677973422564</v>
      </c>
      <c r="K64" s="23" t="n">
        <f aca="false">((K61+K62)+K63)</f>
        <v>80.9972777075055</v>
      </c>
      <c r="L64" s="23" t="n">
        <f aca="false">((L61+L62)+L63)</f>
        <v>88.4402609696793</v>
      </c>
      <c r="M64" s="23" t="n">
        <f aca="false">((M61+M62)+M63)</f>
        <v>96.23193452894</v>
      </c>
      <c r="N64" s="23" t="n">
        <f aca="false">((N61+N62)+N63)</f>
        <v>104.408870048162</v>
      </c>
      <c r="O64" s="23" t="n">
        <f aca="false">((O61+O62)+O63)</f>
        <v>113.009202436885</v>
      </c>
      <c r="P64" s="23" t="n">
        <f aca="false">((P61+P62)+P63)</f>
        <v>122.06877291811</v>
      </c>
      <c r="Q64" s="23" t="n">
        <f aca="false">((Q61+Q62)+Q63)</f>
        <v>131.632569693262</v>
      </c>
      <c r="R64" s="23" t="n">
        <f aca="false">((R61+R62)+R63)</f>
        <v>141.744623128768</v>
      </c>
      <c r="S64" s="23" t="n">
        <f aca="false">((S61+S62)+S63)</f>
        <v>152.451006195515</v>
      </c>
      <c r="T64" s="23" t="n">
        <f aca="false">((T61+T62)+T63)</f>
        <v>163.800755548737</v>
      </c>
      <c r="U64" s="23" t="n">
        <f aca="false">((U61+U62)+U63)</f>
        <v>175.845527932313</v>
      </c>
      <c r="V64" s="23" t="n">
        <f aca="false">((V61+V62)+V63)</f>
        <v>188.640011016097</v>
      </c>
      <c r="W64" s="23" t="n">
        <f aca="false">((W61+W62)+W63)</f>
        <v>202.242182815734</v>
      </c>
      <c r="X64" s="23" t="n">
        <f aca="false">((X61+X62)+X63)</f>
        <v>216.713581239187</v>
      </c>
      <c r="Y64" s="23" t="n">
        <f aca="false">((Y61+Y62)+Y63)</f>
        <v>232.119589245816</v>
      </c>
      <c r="Z64" s="23" t="n">
        <f aca="false">((Z61+Z62)+Z63)</f>
        <v>248.529737038316</v>
      </c>
      <c r="AA64" s="23" t="n">
        <f aca="false">((AA61+AA62)+AA63)</f>
        <v>266.018022702872</v>
      </c>
      <c r="AB64" s="23" t="n">
        <f aca="false">((AB61+AB62)+AB63)</f>
        <v>284.661565402213</v>
      </c>
      <c r="AC64" s="23" t="n">
        <f aca="false">((AC61+AC62)+AC63)</f>
        <v>304.54566396165</v>
      </c>
      <c r="AD64" s="23" t="n">
        <f aca="false">((AD61+AD62)+AD63)</f>
        <v>325.759879291515</v>
      </c>
      <c r="AE64" s="23" t="n">
        <f aca="false">((AE61+AE62)+AE63)</f>
        <v>348.399610487016</v>
      </c>
      <c r="AF64" s="23" t="n">
        <f aca="false">((AF61+AF62)+AF63)</f>
        <v>372.566825238409</v>
      </c>
      <c r="AG64" s="23" t="n">
        <f aca="false">((AG61+AG62)+AG63)</f>
        <v>398.370286499055</v>
      </c>
      <c r="AH64" s="23" t="n">
        <f aca="false">((AH61+AH62)+AH63)</f>
        <v>425.926120189106</v>
      </c>
      <c r="AI64" s="23" t="n">
        <f aca="false">((AI61+AI62)+AI63)</f>
        <v>455.358347479286</v>
      </c>
      <c r="AJ64" s="23" t="n">
        <f aca="false">((AJ61+AJ62)+AJ63)</f>
        <v>486.799451049832</v>
      </c>
      <c r="AK64" s="23" t="n">
        <f aca="false">((AK61+AK62)+AK63)</f>
        <v>520.390979685854</v>
      </c>
      <c r="AL64" s="23" t="n">
        <f aca="false">((AL61+AL62)+AL63)</f>
        <v>556.284194017814</v>
      </c>
    </row>
    <row r="65" customFormat="false" ht="15" hidden="false" customHeight="false" outlineLevel="0" collapsed="false">
      <c r="A65" s="6" t="s">
        <v>450</v>
      </c>
      <c r="B65" s="2" t="s">
        <v>451</v>
      </c>
      <c r="C65" s="14" t="n">
        <f aca="false">(C45*Assumptions!$E$59)</f>
        <v>0</v>
      </c>
      <c r="D65" s="14" t="n">
        <f aca="false">(D45*Assumptions!$E$59)</f>
        <v>0</v>
      </c>
      <c r="E65" s="14" t="n">
        <f aca="false">(E45*Assumptions!$E$59)</f>
        <v>0</v>
      </c>
      <c r="F65" s="14" t="n">
        <f aca="false">(F45*Assumptions!$E$59)</f>
        <v>0</v>
      </c>
      <c r="G65" s="14" t="n">
        <f aca="false">(G45*Assumptions!$E$59)</f>
        <v>0</v>
      </c>
      <c r="H65" s="14" t="n">
        <f aca="false">(H45*Assumptions!$E$59)</f>
        <v>0</v>
      </c>
      <c r="I65" s="14" t="n">
        <f aca="false">(I45*Assumptions!$E$59)</f>
        <v>27.8443573923297</v>
      </c>
      <c r="J65" s="14" t="n">
        <f aca="false">(J45*Assumptions!$E$59)</f>
        <v>30.8472946094636</v>
      </c>
      <c r="K65" s="14" t="n">
        <f aca="false">(K45*Assumptions!$E$59)</f>
        <v>33.9779281708082</v>
      </c>
      <c r="L65" s="14" t="n">
        <f aca="false">(L45*Assumptions!$E$59)</f>
        <v>37.251373363412</v>
      </c>
      <c r="M65" s="14" t="n">
        <f aca="false">(M45*Assumptions!$E$59)</f>
        <v>40.6832584510293</v>
      </c>
      <c r="N65" s="14" t="n">
        <f aca="false">(N45*Assumptions!$E$59)</f>
        <v>44.2898079698838</v>
      </c>
      <c r="O65" s="14" t="n">
        <f aca="false">(O45*Assumptions!$E$59)</f>
        <v>47.9823924610948</v>
      </c>
      <c r="P65" s="14" t="n">
        <f aca="false">(P45*Assumptions!$E$59)</f>
        <v>51.8739764449022</v>
      </c>
      <c r="Q65" s="14" t="n">
        <f aca="false">(Q45*Assumptions!$E$59)</f>
        <v>55.9850403000815</v>
      </c>
      <c r="R65" s="14" t="n">
        <f aca="false">(R45*Assumptions!$E$59)</f>
        <v>60.3287546847616</v>
      </c>
      <c r="S65" s="14" t="n">
        <f aca="false">(S45*Assumptions!$E$59)</f>
        <v>64.9304221253654</v>
      </c>
      <c r="T65" s="14" t="n">
        <f aca="false">(T45*Assumptions!$E$59)</f>
        <v>69.8112130825518</v>
      </c>
      <c r="U65" s="14" t="n">
        <f aca="false">(U45*Assumptions!$E$59)</f>
        <v>74.9933638348534</v>
      </c>
      <c r="V65" s="14" t="n">
        <f aca="false">(V45*Assumptions!$E$59)</f>
        <v>80.5004143593185</v>
      </c>
      <c r="W65" s="14" t="n">
        <f aca="false">(W45*Assumptions!$E$59)</f>
        <v>86.3573221670554</v>
      </c>
      <c r="X65" s="14" t="n">
        <f aca="false">(X45*Assumptions!$E$59)</f>
        <v>92.5905796329863</v>
      </c>
      <c r="Y65" s="14" t="n">
        <f aca="false">(Y45*Assumptions!$E$59)</f>
        <v>99.2283378499927</v>
      </c>
      <c r="Z65" s="14" t="n">
        <f aca="false">(Z45*Assumptions!$E$59)</f>
        <v>106.300537659269</v>
      </c>
      <c r="AA65" s="14" t="n">
        <f aca="false">(AA45*Assumptions!$E$59)</f>
        <v>113.794991327543</v>
      </c>
      <c r="AB65" s="14" t="n">
        <f aca="false">(AB45*Assumptions!$E$59)</f>
        <v>121.785439982472</v>
      </c>
      <c r="AC65" s="14" t="n">
        <f aca="false">(AC45*Assumptions!$E$59)</f>
        <v>130.308877723749</v>
      </c>
      <c r="AD65" s="14" t="n">
        <f aca="false">(AD45*Assumptions!$E$59)</f>
        <v>139.40124977749</v>
      </c>
      <c r="AE65" s="14" t="n">
        <f aca="false">(AE45*Assumptions!$E$59)</f>
        <v>149.105707388829</v>
      </c>
      <c r="AF65" s="14" t="n">
        <f aca="false">(AF45*Assumptions!$E$59)</f>
        <v>159.465963921742</v>
      </c>
      <c r="AG65" s="14" t="n">
        <f aca="false">(AG45*Assumptions!$E$59)</f>
        <v>170.52862330478</v>
      </c>
      <c r="AH65" s="14" t="n">
        <f aca="false">(AH45*Assumptions!$E$59)</f>
        <v>182.343448403035</v>
      </c>
      <c r="AI65" s="14" t="n">
        <f aca="false">(AI45*Assumptions!$E$59)</f>
        <v>194.963589576098</v>
      </c>
      <c r="AJ65" s="14" t="n">
        <f aca="false">(AJ45*Assumptions!$E$59)</f>
        <v>208.445827507643</v>
      </c>
      <c r="AK65" s="14" t="n">
        <f aca="false">(AK45*Assumptions!$E$59)</f>
        <v>222.850832448234</v>
      </c>
      <c r="AL65" s="14" t="n">
        <f aca="false">(AL45*Assumptions!$E$59)</f>
        <v>238.243441083208</v>
      </c>
    </row>
    <row r="66" customFormat="false" ht="15" hidden="false" customHeight="false" outlineLevel="0" collapsed="false">
      <c r="A66" s="6" t="s">
        <v>452</v>
      </c>
      <c r="B66" s="2" t="s">
        <v>453</v>
      </c>
      <c r="C66" s="14" t="n">
        <f aca="false">(((C46*Assumptions!$E$64)/12)+((C47*Assumptions!$E$67)/12))</f>
        <v>0</v>
      </c>
      <c r="D66" s="14" t="n">
        <f aca="false">(((D46*Assumptions!$E$64)/12)+((D47*Assumptions!$E$67)/12))</f>
        <v>0</v>
      </c>
      <c r="E66" s="14" t="n">
        <f aca="false">(((E46*Assumptions!$E$64)/12)+((E47*Assumptions!$E$67)/12))</f>
        <v>0</v>
      </c>
      <c r="F66" s="14" t="n">
        <f aca="false">(((F46*Assumptions!$E$64)/12)+((F47*Assumptions!$E$67)/12))</f>
        <v>0</v>
      </c>
      <c r="G66" s="14" t="n">
        <f aca="false">(((G46*Assumptions!$E$64)/12)+((G47*Assumptions!$E$67)/12))</f>
        <v>0</v>
      </c>
      <c r="H66" s="14" t="n">
        <f aca="false">(((H46*Assumptions!$E$64)/12)+((H47*Assumptions!$E$67)/12))</f>
        <v>0</v>
      </c>
      <c r="I66" s="14" t="n">
        <f aca="false">(((I46*Assumptions!$E$64)/12)+((I47*Assumptions!$E$67)/12))</f>
        <v>0</v>
      </c>
      <c r="J66" s="14" t="n">
        <f aca="false">(((J46*Assumptions!$E$64)/12)+((J47*Assumptions!$E$67)/12))</f>
        <v>0</v>
      </c>
      <c r="K66" s="14" t="n">
        <f aca="false">(((K46*Assumptions!$E$64)/12)+((K47*Assumptions!$E$67)/12))</f>
        <v>0</v>
      </c>
      <c r="L66" s="14" t="n">
        <f aca="false">(((L46*Assumptions!$E$64)/12)+((L47*Assumptions!$E$67)/12))</f>
        <v>0</v>
      </c>
      <c r="M66" s="14" t="n">
        <f aca="false">(((M46*Assumptions!$E$64)/12)+((M47*Assumptions!$E$67)/12))</f>
        <v>0</v>
      </c>
      <c r="N66" s="14" t="n">
        <f aca="false">(((N46*Assumptions!$E$64)/12)+((N47*Assumptions!$E$67)/12))</f>
        <v>0</v>
      </c>
      <c r="O66" s="14" t="n">
        <f aca="false">(((O46*Assumptions!$E$64)/12)+((O47*Assumptions!$E$67)/12))</f>
        <v>0</v>
      </c>
      <c r="P66" s="14" t="n">
        <f aca="false">(((P46*Assumptions!$E$64)/12)+((P47*Assumptions!$E$67)/12))</f>
        <v>0</v>
      </c>
      <c r="Q66" s="14" t="n">
        <f aca="false">(((Q46*Assumptions!$E$64)/12)+((Q47*Assumptions!$E$67)/12))</f>
        <v>0</v>
      </c>
      <c r="R66" s="14" t="n">
        <f aca="false">(((R46*Assumptions!$E$64)/12)+((R47*Assumptions!$E$67)/12))</f>
        <v>0</v>
      </c>
      <c r="S66" s="14" t="n">
        <f aca="false">(((S46*Assumptions!$E$64)/12)+((S47*Assumptions!$E$67)/12))</f>
        <v>0</v>
      </c>
      <c r="T66" s="14" t="n">
        <f aca="false">(((T46*Assumptions!$E$64)/12)+((T47*Assumptions!$E$67)/12))</f>
        <v>0</v>
      </c>
      <c r="U66" s="14" t="n">
        <f aca="false">(((U46*Assumptions!$E$64)/12)+((U47*Assumptions!$E$67)/12))</f>
        <v>0</v>
      </c>
      <c r="V66" s="14" t="n">
        <f aca="false">(((V46*Assumptions!$E$64)/12)+((V47*Assumptions!$E$67)/12))</f>
        <v>0</v>
      </c>
      <c r="W66" s="14" t="n">
        <f aca="false">(((W46*Assumptions!$E$64)/12)+((W47*Assumptions!$E$67)/12))</f>
        <v>0</v>
      </c>
      <c r="X66" s="14" t="n">
        <f aca="false">(((X46*Assumptions!$E$64)/12)+((X47*Assumptions!$E$67)/12))</f>
        <v>0</v>
      </c>
      <c r="Y66" s="14" t="n">
        <f aca="false">(((Y46*Assumptions!$E$64)/12)+((Y47*Assumptions!$E$67)/12))</f>
        <v>0</v>
      </c>
      <c r="Z66" s="14" t="n">
        <f aca="false">(((Z46*Assumptions!$E$64)/12)+((Z47*Assumptions!$E$67)/12))</f>
        <v>0</v>
      </c>
      <c r="AA66" s="14" t="n">
        <f aca="false">(((AA46*Assumptions!$E$64)/12)+((AA47*Assumptions!$E$67)/12))</f>
        <v>0</v>
      </c>
      <c r="AB66" s="14" t="n">
        <f aca="false">(((AB46*Assumptions!$E$64)/12)+((AB47*Assumptions!$E$67)/12))</f>
        <v>0</v>
      </c>
      <c r="AC66" s="14" t="n">
        <f aca="false">(((AC46*Assumptions!$E$64)/12)+((AC47*Assumptions!$E$67)/12))</f>
        <v>0</v>
      </c>
      <c r="AD66" s="14" t="n">
        <f aca="false">(((AD46*Assumptions!$E$64)/12)+((AD47*Assumptions!$E$67)/12))</f>
        <v>0</v>
      </c>
      <c r="AE66" s="14" t="n">
        <f aca="false">(((AE46*Assumptions!$E$64)/12)+((AE47*Assumptions!$E$67)/12))</f>
        <v>0</v>
      </c>
      <c r="AF66" s="14" t="n">
        <f aca="false">(((AF46*Assumptions!$E$64)/12)+((AF47*Assumptions!$E$67)/12))</f>
        <v>0</v>
      </c>
      <c r="AG66" s="14" t="n">
        <f aca="false">(((AG46*Assumptions!$E$64)/12)+((AG47*Assumptions!$E$67)/12))</f>
        <v>0</v>
      </c>
      <c r="AH66" s="14" t="n">
        <f aca="false">(((AH46*Assumptions!$E$64)/12)+((AH47*Assumptions!$E$67)/12))</f>
        <v>0</v>
      </c>
      <c r="AI66" s="14" t="n">
        <f aca="false">(((AI46*Assumptions!$E$64)/12)+((AI47*Assumptions!$E$67)/12))</f>
        <v>0</v>
      </c>
      <c r="AJ66" s="14" t="n">
        <f aca="false">(((AJ46*Assumptions!$E$64)/12)+((AJ47*Assumptions!$E$67)/12))</f>
        <v>0</v>
      </c>
      <c r="AK66" s="14" t="n">
        <f aca="false">(((AK46*Assumptions!$E$64)/12)+((AK47*Assumptions!$E$67)/12))</f>
        <v>0</v>
      </c>
      <c r="AL66" s="14" t="n">
        <f aca="false">(((AL46*Assumptions!$E$64)/12)+((AL47*Assumptions!$E$67)/12))</f>
        <v>0</v>
      </c>
    </row>
    <row r="67" customFormat="false" ht="15" hidden="false" customHeight="false" outlineLevel="0" collapsed="false">
      <c r="A67" s="21" t="s">
        <v>454</v>
      </c>
      <c r="B67" s="2" t="s">
        <v>455</v>
      </c>
      <c r="C67" s="23" t="n">
        <f aca="false">(((C60+C64)+C65)+C66)</f>
        <v>315.666159166944</v>
      </c>
      <c r="D67" s="23" t="n">
        <f aca="false">(((D60+D64)+D65)+D66)</f>
        <v>522.407546020275</v>
      </c>
      <c r="E67" s="23" t="n">
        <f aca="false">(((E60+E64)+E65)+E66)</f>
        <v>729.205336140192</v>
      </c>
      <c r="F67" s="23" t="n">
        <f aca="false">(((F60+F64)+F65)+F66)</f>
        <v>1004.44210433008</v>
      </c>
      <c r="G67" s="23" t="n">
        <f aca="false">(((G60+G64)+G65)+G66)</f>
        <v>1236.74333536006</v>
      </c>
      <c r="H67" s="23" t="n">
        <f aca="false">(((H60+H64)+H65)+H66)</f>
        <v>1475.57179596799</v>
      </c>
      <c r="I67" s="23" t="n">
        <f aca="false">(((I60+I64)+I65)+I66)</f>
        <v>1750.53914974541</v>
      </c>
      <c r="J67" s="23" t="n">
        <f aca="false">(((J60+J64)+J65)+J66)</f>
        <v>2010.58498292517</v>
      </c>
      <c r="K67" s="23" t="n">
        <f aca="false">(((K60+K64)+K65)+K66)</f>
        <v>2282.27112811092</v>
      </c>
      <c r="L67" s="23" t="n">
        <f aca="false">(((L60+L64)+L65)+L66)</f>
        <v>2567.19137281348</v>
      </c>
      <c r="M67" s="23" t="n">
        <f aca="false">(((M60+M64)+M65)+M66)</f>
        <v>2866.94197756956</v>
      </c>
      <c r="N67" s="23" t="n">
        <f aca="false">(((N60+N64)+N65)+N66)</f>
        <v>3183.13654273031</v>
      </c>
      <c r="O67" s="23" t="n">
        <f aca="false">(((O60+O64)+O65)+O66)</f>
        <v>3466.29316078081</v>
      </c>
      <c r="P67" s="23" t="n">
        <f aca="false">(((P60+P64)+P65)+P66)</f>
        <v>3764.98265969428</v>
      </c>
      <c r="Q67" s="23" t="n">
        <f aca="false">(((Q60+Q64)+Q65)+Q66)</f>
        <v>4081.3307823042</v>
      </c>
      <c r="R67" s="23" t="n">
        <f aca="false">(((R60+R64)+R65)+R66)</f>
        <v>4414.08611685229</v>
      </c>
      <c r="S67" s="23" t="n">
        <f aca="false">(((S60+S64)+S65)+S66)</f>
        <v>4767.50452431628</v>
      </c>
      <c r="T67" s="23" t="n">
        <f aca="false">(((T60+T64)+T65)+T66)</f>
        <v>5143.30872141533</v>
      </c>
      <c r="U67" s="23" t="n">
        <f aca="false">(((U60+U64)+U65)+U66)</f>
        <v>5543.27009093013</v>
      </c>
      <c r="V67" s="23" t="n">
        <f aca="false">(((V60+V64)+V65)+V66)</f>
        <v>5969.25278106468</v>
      </c>
      <c r="W67" s="23" t="n">
        <f aca="false">(((W60+W64)+W65)+W66)</f>
        <v>6423.22464471934</v>
      </c>
      <c r="X67" s="23" t="n">
        <f aca="false">(((X60+X64)+X65)+X66)</f>
        <v>6907.26793342799</v>
      </c>
      <c r="Y67" s="23" t="n">
        <f aca="false">(((Y60+Y64)+Y65)+Y66)</f>
        <v>7423.5902628719</v>
      </c>
      <c r="Z67" s="23" t="n">
        <f aca="false">(((Z60+Z64)+Z65)+Z66)</f>
        <v>7974.53593877818</v>
      </c>
      <c r="AA67" s="23" t="n">
        <f aca="false">(((AA60+AA64)+AA65)+AA66)</f>
        <v>8540.7427842096</v>
      </c>
      <c r="AB67" s="23" t="n">
        <f aca="false">(((AB60+AB64)+AB65)+AB66)</f>
        <v>9144.91223904263</v>
      </c>
      <c r="AC67" s="23" t="n">
        <f aca="false">(((AC60+AC64)+AC65)+AC66)</f>
        <v>9790.03421982025</v>
      </c>
      <c r="AD67" s="23" t="n">
        <f aca="false">(((AD60+AD64)+AD65)+AD66)</f>
        <v>10477.8127406381</v>
      </c>
      <c r="AE67" s="23" t="n">
        <f aca="false">(((AE60+AE64)+AE65)+AE66)</f>
        <v>11212.4733468846</v>
      </c>
      <c r="AF67" s="23" t="n">
        <f aca="false">(((AF60+AF64)+AF65)+AF66)</f>
        <v>11997.3354139124</v>
      </c>
      <c r="AG67" s="23" t="n">
        <f aca="false">(((AG60+AG64)+AG65)+AG66)</f>
        <v>12835.927227867</v>
      </c>
      <c r="AH67" s="23" t="n">
        <f aca="false">(((AH60+AH64)+AH65)+AH66)</f>
        <v>13732.016830817</v>
      </c>
      <c r="AI67" s="23" t="n">
        <f aca="false">(((AI60+AI64)+AI65)+AI66)</f>
        <v>14689.6296857407</v>
      </c>
      <c r="AJ67" s="23" t="n">
        <f aca="false">(((AJ60+AJ64)+AJ65)+AJ66)</f>
        <v>15713.0672786712</v>
      </c>
      <c r="AK67" s="23" t="n">
        <f aca="false">(((AK60+AK64)+AK65)+AK66)</f>
        <v>16806.926933213</v>
      </c>
      <c r="AL67" s="23" t="n">
        <f aca="false">(((AL60+AL64)+AL65)+AL66)</f>
        <v>17976.1229360666</v>
      </c>
    </row>
    <row r="69" customFormat="false" ht="15" hidden="false" customHeight="false" outlineLevel="0" collapsed="false">
      <c r="A69" s="4" t="s">
        <v>456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</row>
    <row r="70" customFormat="false" ht="15" hidden="false" customHeight="false" outlineLevel="0" collapsed="false">
      <c r="A70" s="6" t="s">
        <v>457</v>
      </c>
      <c r="B70" s="2" t="s">
        <v>458</v>
      </c>
      <c r="C70" s="14" t="n">
        <f aca="false">IF((C36&gt;=Assumptions!$E$72),Assumptions!$E$71,Assumptions!$E$70)</f>
        <v>400</v>
      </c>
      <c r="D70" s="14" t="n">
        <f aca="false">IF((D36&gt;=Assumptions!$E$72),Assumptions!$E$71,Assumptions!$E$70)</f>
        <v>400</v>
      </c>
      <c r="E70" s="14" t="n">
        <f aca="false">IF((E36&gt;=Assumptions!$E$72),Assumptions!$E$71,Assumptions!$E$70)</f>
        <v>400</v>
      </c>
      <c r="F70" s="14" t="n">
        <f aca="false">IF((F36&gt;=Assumptions!$E$72),Assumptions!$E$71,Assumptions!$E$70)</f>
        <v>400</v>
      </c>
      <c r="G70" s="14" t="n">
        <f aca="false">IF((G36&gt;=Assumptions!$E$72),Assumptions!$E$71,Assumptions!$E$70)</f>
        <v>400</v>
      </c>
      <c r="H70" s="14" t="n">
        <f aca="false">IF((H36&gt;=Assumptions!$E$72),Assumptions!$E$71,Assumptions!$E$70)</f>
        <v>400</v>
      </c>
      <c r="I70" s="14" t="n">
        <f aca="false">IF((I36&gt;=Assumptions!$E$72),Assumptions!$E$71,Assumptions!$E$70)</f>
        <v>400</v>
      </c>
      <c r="J70" s="14" t="n">
        <f aca="false">IF((J36&gt;=Assumptions!$E$72),Assumptions!$E$71,Assumptions!$E$70)</f>
        <v>400</v>
      </c>
      <c r="K70" s="14" t="n">
        <f aca="false">IF((K36&gt;=Assumptions!$E$72),Assumptions!$E$71,Assumptions!$E$70)</f>
        <v>400</v>
      </c>
      <c r="L70" s="14" t="n">
        <f aca="false">IF((L36&gt;=Assumptions!$E$72),Assumptions!$E$71,Assumptions!$E$70)</f>
        <v>400</v>
      </c>
      <c r="M70" s="14" t="n">
        <f aca="false">IF((M36&gt;=Assumptions!$E$72),Assumptions!$E$71,Assumptions!$E$70)</f>
        <v>400</v>
      </c>
      <c r="N70" s="14" t="n">
        <f aca="false">IF((N36&gt;=Assumptions!$E$72),Assumptions!$E$71,Assumptions!$E$70)</f>
        <v>400</v>
      </c>
      <c r="O70" s="14" t="n">
        <f aca="false">IF((O36&gt;=Assumptions!$E$72),Assumptions!$E$71,Assumptions!$E$70)</f>
        <v>400</v>
      </c>
      <c r="P70" s="14" t="n">
        <f aca="false">IF((P36&gt;=Assumptions!$E$72),Assumptions!$E$71,Assumptions!$E$70)</f>
        <v>400</v>
      </c>
      <c r="Q70" s="14" t="n">
        <f aca="false">IF((Q36&gt;=Assumptions!$E$72),Assumptions!$E$71,Assumptions!$E$70)</f>
        <v>400</v>
      </c>
      <c r="R70" s="14" t="n">
        <f aca="false">IF((R36&gt;=Assumptions!$E$72),Assumptions!$E$71,Assumptions!$E$70)</f>
        <v>400</v>
      </c>
      <c r="S70" s="14" t="n">
        <f aca="false">IF((S36&gt;=Assumptions!$E$72),Assumptions!$E$71,Assumptions!$E$70)</f>
        <v>400</v>
      </c>
      <c r="T70" s="14" t="n">
        <f aca="false">IF((T36&gt;=Assumptions!$E$72),Assumptions!$E$71,Assumptions!$E$70)</f>
        <v>400</v>
      </c>
      <c r="U70" s="14" t="n">
        <f aca="false">IF((U36&gt;=Assumptions!$E$72),Assumptions!$E$71,Assumptions!$E$70)</f>
        <v>400</v>
      </c>
      <c r="V70" s="14" t="n">
        <f aca="false">IF((V36&gt;=Assumptions!$E$72),Assumptions!$E$71,Assumptions!$E$70)</f>
        <v>400</v>
      </c>
      <c r="W70" s="14" t="n">
        <f aca="false">IF((W36&gt;=Assumptions!$E$72),Assumptions!$E$71,Assumptions!$E$70)</f>
        <v>400</v>
      </c>
      <c r="X70" s="14" t="n">
        <f aca="false">IF((X36&gt;=Assumptions!$E$72),Assumptions!$E$71,Assumptions!$E$70)</f>
        <v>400</v>
      </c>
      <c r="Y70" s="14" t="n">
        <f aca="false">IF((Y36&gt;=Assumptions!$E$72),Assumptions!$E$71,Assumptions!$E$70)</f>
        <v>400</v>
      </c>
      <c r="Z70" s="14" t="n">
        <f aca="false">IF((Z36&gt;=Assumptions!$E$72),Assumptions!$E$71,Assumptions!$E$70)</f>
        <v>400</v>
      </c>
      <c r="AA70" s="14" t="n">
        <f aca="false">IF((AA36&gt;=Assumptions!$E$72),Assumptions!$E$71,Assumptions!$E$70)</f>
        <v>400</v>
      </c>
      <c r="AB70" s="14" t="n">
        <f aca="false">IF((AB36&gt;=Assumptions!$E$72),Assumptions!$E$71,Assumptions!$E$70)</f>
        <v>400</v>
      </c>
      <c r="AC70" s="14" t="n">
        <f aca="false">IF((AC36&gt;=Assumptions!$E$72),Assumptions!$E$71,Assumptions!$E$70)</f>
        <v>400</v>
      </c>
      <c r="AD70" s="14" t="n">
        <f aca="false">IF((AD36&gt;=Assumptions!$E$72),Assumptions!$E$71,Assumptions!$E$70)</f>
        <v>400</v>
      </c>
      <c r="AE70" s="14" t="n">
        <f aca="false">IF((AE36&gt;=Assumptions!$E$72),Assumptions!$E$71,Assumptions!$E$70)</f>
        <v>400</v>
      </c>
      <c r="AF70" s="14" t="n">
        <f aca="false">IF((AF36&gt;=Assumptions!$E$72),Assumptions!$E$71,Assumptions!$E$70)</f>
        <v>400</v>
      </c>
      <c r="AG70" s="14" t="n">
        <f aca="false">IF((AG36&gt;=Assumptions!$E$72),Assumptions!$E$71,Assumptions!$E$70)</f>
        <v>400</v>
      </c>
      <c r="AH70" s="14" t="n">
        <f aca="false">IF((AH36&gt;=Assumptions!$E$72),Assumptions!$E$71,Assumptions!$E$70)</f>
        <v>400</v>
      </c>
      <c r="AI70" s="14" t="n">
        <f aca="false">IF((AI36&gt;=Assumptions!$E$72),Assumptions!$E$71,Assumptions!$E$70)</f>
        <v>400</v>
      </c>
      <c r="AJ70" s="14" t="n">
        <f aca="false">IF((AJ36&gt;=Assumptions!$E$72),Assumptions!$E$71,Assumptions!$E$70)</f>
        <v>400</v>
      </c>
      <c r="AK70" s="14" t="n">
        <f aca="false">IF((AK36&gt;=Assumptions!$E$72),Assumptions!$E$71,Assumptions!$E$70)</f>
        <v>400</v>
      </c>
      <c r="AL70" s="14" t="n">
        <f aca="false">IF((AL36&gt;=Assumptions!$E$72),Assumptions!$E$71,Assumptions!$E$70)</f>
        <v>400</v>
      </c>
    </row>
    <row r="71" customFormat="false" ht="15" hidden="false" customHeight="false" outlineLevel="0" collapsed="false">
      <c r="A71" s="6" t="s">
        <v>459</v>
      </c>
      <c r="B71" s="2" t="s">
        <v>460</v>
      </c>
      <c r="C71" s="14" t="n">
        <f aca="false">(((C49*Assumptions!$E$75)+(C50*Assumptions!$E$78))+(C48*Assumptions!$E$79))</f>
        <v>0</v>
      </c>
      <c r="D71" s="14" t="n">
        <f aca="false">(((D49*Assumptions!$E$75)+(D50*Assumptions!$E$78))+(D48*Assumptions!$E$79))</f>
        <v>0</v>
      </c>
      <c r="E71" s="14" t="n">
        <f aca="false">(((E49*Assumptions!$E$75)+(E50*Assumptions!$E$78))+(E48*Assumptions!$E$79))</f>
        <v>0</v>
      </c>
      <c r="F71" s="14" t="n">
        <f aca="false">(((F49*Assumptions!$E$75)+(F50*Assumptions!$E$78))+(F48*Assumptions!$E$79))</f>
        <v>0</v>
      </c>
      <c r="G71" s="14" t="n">
        <f aca="false">(((G49*Assumptions!$E$75)+(G50*Assumptions!$E$78))+(G48*Assumptions!$E$79))</f>
        <v>0</v>
      </c>
      <c r="H71" s="14" t="n">
        <f aca="false">(((H49*Assumptions!$E$75)+(H50*Assumptions!$E$78))+(H48*Assumptions!$E$79))</f>
        <v>0</v>
      </c>
      <c r="I71" s="14" t="n">
        <f aca="false">(((I49*Assumptions!$E$75)+(I50*Assumptions!$E$78))+(I48*Assumptions!$E$79))</f>
        <v>0</v>
      </c>
      <c r="J71" s="14" t="n">
        <f aca="false">(((J49*Assumptions!$E$75)+(J50*Assumptions!$E$78))+(J48*Assumptions!$E$79))</f>
        <v>0</v>
      </c>
      <c r="K71" s="14" t="n">
        <f aca="false">(((K49*Assumptions!$E$75)+(K50*Assumptions!$E$78))+(K48*Assumptions!$E$79))</f>
        <v>0</v>
      </c>
      <c r="L71" s="14" t="n">
        <f aca="false">(((L49*Assumptions!$E$75)+(L50*Assumptions!$E$78))+(L48*Assumptions!$E$79))</f>
        <v>0</v>
      </c>
      <c r="M71" s="14" t="n">
        <f aca="false">(((M49*Assumptions!$E$75)+(M50*Assumptions!$E$78))+(M48*Assumptions!$E$79))</f>
        <v>0</v>
      </c>
      <c r="N71" s="14" t="n">
        <f aca="false">(((N49*Assumptions!$E$75)+(N50*Assumptions!$E$78))+(N48*Assumptions!$E$79))</f>
        <v>0</v>
      </c>
      <c r="O71" s="14" t="n">
        <f aca="false">(((O49*Assumptions!$E$75)+(O50*Assumptions!$E$78))+(O48*Assumptions!$E$79))</f>
        <v>631.379099619644</v>
      </c>
      <c r="P71" s="14" t="n">
        <f aca="false">(((P49*Assumptions!$E$75)+(P50*Assumptions!$E$78))+(P48*Assumptions!$E$79))</f>
        <v>677.127691809244</v>
      </c>
      <c r="Q71" s="14" t="n">
        <f aca="false">(((Q49*Assumptions!$E$75)+(Q50*Assumptions!$E$78))+(Q48*Assumptions!$E$79))</f>
        <v>725.624587656322</v>
      </c>
      <c r="R71" s="14" t="n">
        <f aca="false">(((R49*Assumptions!$E$75)+(R50*Assumptions!$E$78))+(R48*Assumptions!$E$79))</f>
        <v>776.690133153203</v>
      </c>
      <c r="S71" s="14" t="n">
        <f aca="false">(((S49*Assumptions!$E$75)+(S50*Assumptions!$E$78))+(S48*Assumptions!$E$79))</f>
        <v>830.942800950446</v>
      </c>
      <c r="T71" s="14" t="n">
        <f aca="false">(((T49*Assumptions!$E$75)+(T50*Assumptions!$E$78))+(T48*Assumptions!$E$79))</f>
        <v>888.637670384319</v>
      </c>
      <c r="U71" s="14" t="n">
        <f aca="false">(((U49*Assumptions!$E$75)+(U50*Assumptions!$E$78))+(U48*Assumptions!$E$79))</f>
        <v>950.038875786372</v>
      </c>
      <c r="V71" s="14" t="n">
        <f aca="false">(((V49*Assumptions!$E$75)+(V50*Assumptions!$E$78))+(V48*Assumptions!$E$79))</f>
        <v>1015.4259793485</v>
      </c>
      <c r="W71" s="14" t="n">
        <f aca="false">(((W49*Assumptions!$E$75)+(W50*Assumptions!$E$78))+(W48*Assumptions!$E$79))</f>
        <v>1085.09544916118</v>
      </c>
      <c r="X71" s="14" t="n">
        <f aca="false">(((X49*Assumptions!$E$75)+(X50*Assumptions!$E$78))+(X48*Assumptions!$E$79))</f>
        <v>1159.36212848523</v>
      </c>
      <c r="Y71" s="14" t="n">
        <f aca="false">(((Y49*Assumptions!$E$75)+(Y50*Assumptions!$E$78))+(Y48*Assumptions!$E$79))</f>
        <v>1238.56077111869</v>
      </c>
      <c r="Z71" s="14" t="n">
        <f aca="false">(((Z49*Assumptions!$E$75)+(Z50*Assumptions!$E$78))+(Z48*Assumptions!$E$79))</f>
        <v>1323.04765295187</v>
      </c>
      <c r="AA71" s="14" t="n">
        <f aca="false">(((AA49*Assumptions!$E$75)+(AA50*Assumptions!$E$78))+(AA48*Assumptions!$E$79))</f>
        <v>1410.11826724499</v>
      </c>
      <c r="AB71" s="14" t="n">
        <f aca="false">(((AB49*Assumptions!$E$75)+(AB50*Assumptions!$E$78))+(AB48*Assumptions!$E$79))</f>
        <v>1503.00504100185</v>
      </c>
      <c r="AC71" s="14" t="n">
        <f aca="false">(((AC49*Assumptions!$E$75)+(AC50*Assumptions!$E$78))+(AC48*Assumptions!$E$79))</f>
        <v>1602.16346148442</v>
      </c>
      <c r="AD71" s="14" t="n">
        <f aca="false">(((AD49*Assumptions!$E$75)+(AD50*Assumptions!$E$78))+(AD48*Assumptions!$E$79))</f>
        <v>1707.86896127905</v>
      </c>
      <c r="AE71" s="14" t="n">
        <f aca="false">(((AE49*Assumptions!$E$75)+(AE50*Assumptions!$E$78))+(AE48*Assumptions!$E$79))</f>
        <v>1820.75532818078</v>
      </c>
      <c r="AF71" s="14" t="n">
        <f aca="false">(((AF49*Assumptions!$E$75)+(AF50*Assumptions!$E$78))+(AF48*Assumptions!$E$79))</f>
        <v>1941.33135797654</v>
      </c>
      <c r="AG71" s="14" t="n">
        <f aca="false">(((AG49*Assumptions!$E$75)+(AG50*Assumptions!$E$78))+(AG48*Assumptions!$E$79))</f>
        <v>2070.13817461648</v>
      </c>
      <c r="AH71" s="14" t="n">
        <f aca="false">(((AH49*Assumptions!$E$75)+(AH50*Assumptions!$E$78))+(AH48*Assumptions!$E$79))</f>
        <v>2207.75381281659</v>
      </c>
      <c r="AI71" s="14" t="n">
        <f aca="false">(((AI49*Assumptions!$E$75)+(AI50*Assumptions!$E$78))+(AI48*Assumptions!$E$79))</f>
        <v>2354.79589985583</v>
      </c>
      <c r="AJ71" s="14" t="n">
        <f aca="false">(((AJ49*Assumptions!$E$75)+(AJ50*Assumptions!$E$78))+(AJ48*Assumptions!$E$79))</f>
        <v>2511.92448635854</v>
      </c>
      <c r="AK71" s="14" t="n">
        <f aca="false">(((AK49*Assumptions!$E$75)+(AK50*Assumptions!$E$78))+(AK48*Assumptions!$E$79))</f>
        <v>2679.84506686019</v>
      </c>
      <c r="AL71" s="14" t="n">
        <f aca="false">(((AL49*Assumptions!$E$75)+(AL50*Assumptions!$E$78))+(AL48*Assumptions!$E$79))</f>
        <v>2859.31180471427</v>
      </c>
    </row>
    <row r="72" customFormat="false" ht="15" hidden="false" customHeight="false" outlineLevel="0" collapsed="false">
      <c r="A72" s="6" t="s">
        <v>461</v>
      </c>
      <c r="B72" s="2" t="s">
        <v>462</v>
      </c>
      <c r="C72" s="14" t="n">
        <f aca="false">(Assumptions!$E$80+(Assumptions!$E$81*C36))</f>
        <v>61.3333333333333</v>
      </c>
      <c r="D72" s="14" t="n">
        <f aca="false">(Assumptions!$E$80+(Assumptions!$E$81*D36))</f>
        <v>63.8562246006083</v>
      </c>
      <c r="E72" s="14" t="n">
        <f aca="false">(Assumptions!$E$80+(Assumptions!$E$81*E36))</f>
        <v>66.3121537158663</v>
      </c>
      <c r="F72" s="14" t="n">
        <f aca="false">(Assumptions!$E$80+(Assumptions!$E$81*F36))</f>
        <v>69.4500813155212</v>
      </c>
      <c r="G72" s="14" t="n">
        <f aca="false">(Assumptions!$E$80+(Assumptions!$E$81*G36))</f>
        <v>72.163098990912</v>
      </c>
      <c r="H72" s="14" t="n">
        <f aca="false">(Assumptions!$E$80+(Assumptions!$E$81*H36))</f>
        <v>74.9544306992489</v>
      </c>
      <c r="I72" s="14" t="n">
        <f aca="false">(Assumptions!$E$80+(Assumptions!$E$81*I36))</f>
        <v>77.8443573923297</v>
      </c>
      <c r="J72" s="14" t="n">
        <f aca="false">(Assumptions!$E$80+(Assumptions!$E$81*J36))</f>
        <v>80.8472946094636</v>
      </c>
      <c r="K72" s="14" t="n">
        <f aca="false">(Assumptions!$E$80+(Assumptions!$E$81*K36))</f>
        <v>83.9779281708082</v>
      </c>
      <c r="L72" s="14" t="n">
        <f aca="false">(Assumptions!$E$80+(Assumptions!$E$81*L36))</f>
        <v>87.251373363412</v>
      </c>
      <c r="M72" s="14" t="n">
        <f aca="false">(Assumptions!$E$80+(Assumptions!$E$81*M36))</f>
        <v>90.6832584510293</v>
      </c>
      <c r="N72" s="14" t="n">
        <f aca="false">(Assumptions!$E$80+(Assumptions!$E$81*N36))</f>
        <v>94.2898079698838</v>
      </c>
      <c r="O72" s="14" t="n">
        <f aca="false">(Assumptions!$E$80+(Assumptions!$E$81*O36))</f>
        <v>97.9823924610948</v>
      </c>
      <c r="P72" s="14" t="n">
        <f aca="false">(Assumptions!$E$80+(Assumptions!$E$81*P36))</f>
        <v>101.873976444902</v>
      </c>
      <c r="Q72" s="14" t="n">
        <f aca="false">(Assumptions!$E$80+(Assumptions!$E$81*Q36))</f>
        <v>105.985040300082</v>
      </c>
      <c r="R72" s="14" t="n">
        <f aca="false">(Assumptions!$E$80+(Assumptions!$E$81*R36))</f>
        <v>110.328754684762</v>
      </c>
      <c r="S72" s="14" t="n">
        <f aca="false">(Assumptions!$E$80+(Assumptions!$E$81*S36))</f>
        <v>114.930422125365</v>
      </c>
      <c r="T72" s="14" t="n">
        <f aca="false">(Assumptions!$E$80+(Assumptions!$E$81*T36))</f>
        <v>119.811213082552</v>
      </c>
      <c r="U72" s="14" t="n">
        <f aca="false">(Assumptions!$E$80+(Assumptions!$E$81*U36))</f>
        <v>124.993363834853</v>
      </c>
      <c r="V72" s="14" t="n">
        <f aca="false">(Assumptions!$E$80+(Assumptions!$E$81*V36))</f>
        <v>130.500414359319</v>
      </c>
      <c r="W72" s="14" t="n">
        <f aca="false">(Assumptions!$E$80+(Assumptions!$E$81*W36))</f>
        <v>136.357322167055</v>
      </c>
      <c r="X72" s="14" t="n">
        <f aca="false">(Assumptions!$E$80+(Assumptions!$E$81*X36))</f>
        <v>142.590579632986</v>
      </c>
      <c r="Y72" s="14" t="n">
        <f aca="false">(Assumptions!$E$80+(Assumptions!$E$81*Y36))</f>
        <v>149.228337849993</v>
      </c>
      <c r="Z72" s="14" t="n">
        <f aca="false">(Assumptions!$E$80+(Assumptions!$E$81*Z36))</f>
        <v>156.300537659269</v>
      </c>
      <c r="AA72" s="14" t="n">
        <f aca="false">(Assumptions!$E$80+(Assumptions!$E$81*AA36))</f>
        <v>163.794991327543</v>
      </c>
      <c r="AB72" s="14" t="n">
        <f aca="false">(Assumptions!$E$80+(Assumptions!$E$81*AB36))</f>
        <v>171.785439982472</v>
      </c>
      <c r="AC72" s="14" t="n">
        <f aca="false">(Assumptions!$E$80+(Assumptions!$E$81*AC36))</f>
        <v>180.308877723749</v>
      </c>
      <c r="AD72" s="14" t="n">
        <f aca="false">(Assumptions!$E$80+(Assumptions!$E$81*AD36))</f>
        <v>189.40124977749</v>
      </c>
      <c r="AE72" s="14" t="n">
        <f aca="false">(Assumptions!$E$80+(Assumptions!$E$81*AE36))</f>
        <v>199.105707388829</v>
      </c>
      <c r="AF72" s="14" t="n">
        <f aca="false">(Assumptions!$E$80+(Assumptions!$E$81*AF36))</f>
        <v>209.465963921742</v>
      </c>
      <c r="AG72" s="14" t="n">
        <f aca="false">(Assumptions!$E$80+(Assumptions!$E$81*AG36))</f>
        <v>220.52862330478</v>
      </c>
      <c r="AH72" s="14" t="n">
        <f aca="false">(Assumptions!$E$80+(Assumptions!$E$81*AH36))</f>
        <v>232.343448403035</v>
      </c>
      <c r="AI72" s="14" t="n">
        <f aca="false">(Assumptions!$E$80+(Assumptions!$E$81*AI36))</f>
        <v>244.963589576098</v>
      </c>
      <c r="AJ72" s="14" t="n">
        <f aca="false">(Assumptions!$E$80+(Assumptions!$E$81*AJ36))</f>
        <v>258.445827507643</v>
      </c>
      <c r="AK72" s="14" t="n">
        <f aca="false">(Assumptions!$E$80+(Assumptions!$E$81*AK36))</f>
        <v>272.850832448234</v>
      </c>
      <c r="AL72" s="14" t="n">
        <f aca="false">(Assumptions!$E$80+(Assumptions!$E$81*AL36))</f>
        <v>288.243441083208</v>
      </c>
    </row>
    <row r="73" customFormat="false" ht="15" hidden="false" customHeight="false" outlineLevel="0" collapsed="false">
      <c r="A73" s="6" t="s">
        <v>463</v>
      </c>
      <c r="B73" s="2" t="s">
        <v>464</v>
      </c>
      <c r="C73" s="14" t="n">
        <f aca="false">IF(AND((Assumptions!$E$8=1),(C$2&gt;=Assumptions!$E$82)),((C29*Assumptions!$E$83)+(C35*Assumptions!$E$84)),0)</f>
        <v>0</v>
      </c>
      <c r="D73" s="14" t="n">
        <f aca="false">IF(AND((Assumptions!$E$8=1),(D$2&gt;=Assumptions!$E$82)),((D29*Assumptions!$E$83)+(D35*Assumptions!$E$84)),0)</f>
        <v>0</v>
      </c>
      <c r="E73" s="14" t="n">
        <f aca="false">IF(AND((Assumptions!$E$8=1),(E$2&gt;=Assumptions!$E$82)),((E29*Assumptions!$E$83)+(E35*Assumptions!$E$84)),0)</f>
        <v>0</v>
      </c>
      <c r="F73" s="14" t="n">
        <f aca="false">IF(AND((Assumptions!$E$8=1),(F$2&gt;=Assumptions!$E$82)),((F29*Assumptions!$E$83)+(F35*Assumptions!$E$84)),0)</f>
        <v>0</v>
      </c>
      <c r="G73" s="14" t="n">
        <f aca="false">IF(AND((Assumptions!$E$8=1),(G$2&gt;=Assumptions!$E$82)),((G29*Assumptions!$E$83)+(G35*Assumptions!$E$84)),0)</f>
        <v>0</v>
      </c>
      <c r="H73" s="14" t="n">
        <f aca="false">IF(AND((Assumptions!$E$8=1),(H$2&gt;=Assumptions!$E$82)),((H29*Assumptions!$E$83)+(H35*Assumptions!$E$84)),0)</f>
        <v>0</v>
      </c>
      <c r="I73" s="14" t="n">
        <f aca="false">IF(AND((Assumptions!$E$8=1),(I$2&gt;=Assumptions!$E$82)),((I29*Assumptions!$E$83)+(I35*Assumptions!$E$84)),0)</f>
        <v>126.64578193052</v>
      </c>
      <c r="J73" s="14" t="n">
        <f aca="false">IF(AND((Assumptions!$E$8=1),(J$2&gt;=Assumptions!$E$82)),((J29*Assumptions!$E$83)+(J35*Assumptions!$E$84)),0)</f>
        <v>146.652671841722</v>
      </c>
      <c r="K73" s="14" t="n">
        <f aca="false">IF(AND((Assumptions!$E$8=1),(K$2&gt;=Assumptions!$E$82)),((K29*Assumptions!$E$83)+(K35*Assumptions!$E$84)),0)</f>
        <v>167.707982686277</v>
      </c>
      <c r="L73" s="14" t="n">
        <f aca="false">IF(AND((Assumptions!$E$8=1),(L$2&gt;=Assumptions!$E$82)),((L29*Assumptions!$E$83)+(L35*Assumptions!$E$84)),0)</f>
        <v>189.920860686659</v>
      </c>
      <c r="M73" s="14" t="n">
        <f aca="false">IF(AND((Assumptions!$E$8=1),(M$2&gt;=Assumptions!$E$82)),((M29*Assumptions!$E$83)+(M35*Assumptions!$E$84)),0)</f>
        <v>213.403192835141</v>
      </c>
      <c r="N73" s="14" t="n">
        <f aca="false">IF(AND((Assumptions!$E$8=1),(N$2&gt;=Assumptions!$E$82)),((N29*Assumptions!$E$83)+(N35*Assumptions!$E$84)),0)</f>
        <v>238.27043346558</v>
      </c>
      <c r="O73" s="14" t="n">
        <f aca="false">IF(AND((Assumptions!$E$8=1),(O$2&gt;=Assumptions!$E$82)),((O29*Assumptions!$E$83)+(O35*Assumptions!$E$84)),0)</f>
        <v>259.89333407892</v>
      </c>
      <c r="P73" s="14" t="n">
        <f aca="false">IF(AND((Assumptions!$E$8=1),(P$2&gt;=Assumptions!$E$82)),((P29*Assumptions!$E$83)+(P35*Assumptions!$E$84)),0)</f>
        <v>282.752924590186</v>
      </c>
      <c r="Q73" s="14" t="n">
        <f aca="false">IF(AND((Assumptions!$E$8=1),(Q$2&gt;=Assumptions!$E$82)),((Q29*Assumptions!$E$83)+(Q35*Assumptions!$E$84)),0)</f>
        <v>307.014717818586</v>
      </c>
      <c r="R73" s="14" t="n">
        <f aca="false">IF(AND((Assumptions!$E$8=1),(R$2&gt;=Assumptions!$E$82)),((R29*Assumptions!$E$83)+(R35*Assumptions!$E$84)),0)</f>
        <v>332.531387221527</v>
      </c>
      <c r="S73" s="14" t="n">
        <f aca="false">IF(AND((Assumptions!$E$8=1),(S$2&gt;=Assumptions!$E$82)),((S29*Assumptions!$E$83)+(S35*Assumptions!$E$84)),0)</f>
        <v>359.667210842881</v>
      </c>
      <c r="T73" s="14" t="n">
        <f aca="false">IF(AND((Assumptions!$E$8=1),(T$2&gt;=Assumptions!$E$82)),((T29*Assumptions!$E$83)+(T35*Assumptions!$E$84)),0)</f>
        <v>388.550713946136</v>
      </c>
      <c r="U73" s="14" t="n">
        <f aca="false">IF(AND((Assumptions!$E$8=1),(U$2&gt;=Assumptions!$E$82)),((U29*Assumptions!$E$83)+(U35*Assumptions!$E$84)),0)</f>
        <v>419.314348495913</v>
      </c>
      <c r="V73" s="14" t="n">
        <f aca="false">IF(AND((Assumptions!$E$8=1),(V$2&gt;=Assumptions!$E$82)),((V29*Assumptions!$E$83)+(V35*Assumptions!$E$84)),0)</f>
        <v>452.09829295762</v>
      </c>
      <c r="W73" s="14" t="n">
        <f aca="false">IF(AND((Assumptions!$E$8=1),(W$2&gt;=Assumptions!$E$82)),((W29*Assumptions!$E$83)+(W35*Assumptions!$E$84)),0)</f>
        <v>487.051214900108</v>
      </c>
      <c r="X73" s="14" t="n">
        <f aca="false">IF(AND((Assumptions!$E$8=1),(X$2&gt;=Assumptions!$E$82)),((X29*Assumptions!$E$83)+(X35*Assumptions!$E$84)),0)</f>
        <v>524.331020640907</v>
      </c>
      <c r="Y73" s="14" t="n">
        <f aca="false">IF(AND((Assumptions!$E$8=1),(Y$2&gt;=Assumptions!$E$82)),((Y29*Assumptions!$E$83)+(Y35*Assumptions!$E$84)),0)</f>
        <v>564.105636093103</v>
      </c>
      <c r="Z73" s="14" t="n">
        <f aca="false">IF(AND((Assumptions!$E$8=1),(Z$2&gt;=Assumptions!$E$82)),((Z29*Assumptions!$E$83)+(Z35*Assumptions!$E$84)),0)</f>
        <v>606.553824275256</v>
      </c>
      <c r="AA73" s="14" t="n">
        <f aca="false">IF(AND((Assumptions!$E$8=1),(AA$2&gt;=Assumptions!$E$82)),((AA29*Assumptions!$E$83)+(AA35*Assumptions!$E$84)),0)</f>
        <v>649.883471876029</v>
      </c>
      <c r="AB73" s="14" t="n">
        <f aca="false">IF(AND((Assumptions!$E$8=1),(AB$2&gt;=Assumptions!$E$82)),((AB29*Assumptions!$E$83)+(AB35*Assumptions!$E$84)),0)</f>
        <v>696.116809258074</v>
      </c>
      <c r="AC73" s="14" t="n">
        <f aca="false">IF(AND((Assumptions!$E$8=1),(AC$2&gt;=Assumptions!$E$82)),((AC29*Assumptions!$E$83)+(AC35*Assumptions!$E$84)),0)</f>
        <v>745.484977204853</v>
      </c>
      <c r="AD73" s="14" t="n">
        <f aca="false">IF(AND((Assumptions!$E$8=1),(AD$2&gt;=Assumptions!$E$82)),((AD29*Assumptions!$E$83)+(AD35*Assumptions!$E$84)),0)</f>
        <v>798.1002855078</v>
      </c>
      <c r="AE73" s="14" t="n">
        <f aca="false">IF(AND((Assumptions!$E$8=1),(AE$2&gt;=Assumptions!$E$82)),((AE29*Assumptions!$E$83)+(AE35*Assumptions!$E$84)),0)</f>
        <v>854.301194060069</v>
      </c>
      <c r="AF73" s="14" t="n">
        <f aca="false">IF(AND((Assumptions!$E$8=1),(AF$2&gt;=Assumptions!$E$82)),((AF29*Assumptions!$E$83)+(AF35*Assumptions!$E$84)),0)</f>
        <v>914.34106154713</v>
      </c>
      <c r="AG73" s="14" t="n">
        <f aca="false">IF(AND((Assumptions!$E$8=1),(AG$2&gt;=Assumptions!$E$82)),((AG29*Assumptions!$E$83)+(AG35*Assumptions!$E$84)),0)</f>
        <v>978.489115957886</v>
      </c>
      <c r="AH73" s="14" t="n">
        <f aca="false">IF(AND((Assumptions!$E$8=1),(AH$2&gt;=Assumptions!$E$82)),((AH29*Assumptions!$E$83)+(AH35*Assumptions!$E$84)),0)</f>
        <v>1047.03299008439</v>
      </c>
      <c r="AI73" s="14" t="n">
        <f aca="false">IF(AND((Assumptions!$E$8=1),(AI$2&gt;=Assumptions!$E$82)),((AI29*Assumptions!$E$83)+(AI35*Assumptions!$E$84)),0)</f>
        <v>1120.28006068433</v>
      </c>
      <c r="AJ73" s="14" t="n">
        <f aca="false">IF(AND((Assumptions!$E$8=1),(AJ$2&gt;=Assumptions!$E$82)),((AJ29*Assumptions!$E$83)+(AJ35*Assumptions!$E$84)),0)</f>
        <v>1198.55885885516</v>
      </c>
      <c r="AK73" s="14" t="n">
        <f aca="false">IF(AND((Assumptions!$E$8=1),(AK$2&gt;=Assumptions!$E$82)),((AK29*Assumptions!$E$83)+(AK35*Assumptions!$E$84)),0)</f>
        <v>1282.22057469401</v>
      </c>
      <c r="AL73" s="14" t="n">
        <f aca="false">IF(AND((Assumptions!$E$8=1),(AL$2&gt;=Assumptions!$E$82)),((AL29*Assumptions!$E$83)+(AL35*Assumptions!$E$84)),0)</f>
        <v>1371.64066357104</v>
      </c>
    </row>
    <row r="74" customFormat="false" ht="15" hidden="false" customHeight="false" outlineLevel="0" collapsed="false">
      <c r="A74" s="6" t="s">
        <v>465</v>
      </c>
      <c r="B74" s="2" t="s">
        <v>466</v>
      </c>
      <c r="C74" s="14" t="n">
        <f aca="false">(MAX(0,(C30-Assumptions!$E$85))*Assumptions!$E$86)</f>
        <v>0</v>
      </c>
      <c r="D74" s="14" t="n">
        <f aca="false">(MAX(0,(D30-Assumptions!$E$85))*Assumptions!$E$86)</f>
        <v>0</v>
      </c>
      <c r="E74" s="14" t="n">
        <f aca="false">(MAX(0,(E30-Assumptions!$E$85))*Assumptions!$E$86)</f>
        <v>0</v>
      </c>
      <c r="F74" s="14" t="n">
        <f aca="false">(MAX(0,(F30-Assumptions!$E$85))*Assumptions!$E$86)</f>
        <v>0</v>
      </c>
      <c r="G74" s="14" t="n">
        <f aca="false">(MAX(0,(G30-Assumptions!$E$85))*Assumptions!$E$86)</f>
        <v>0.633367548608253</v>
      </c>
      <c r="H74" s="14" t="n">
        <f aca="false">(MAX(0,(H30-Assumptions!$E$85))*Assumptions!$E$86)</f>
        <v>3.05138212460394</v>
      </c>
      <c r="I74" s="14" t="n">
        <f aca="false">(MAX(0,(I30-Assumptions!$E$85))*Assumptions!$E$86)</f>
        <v>5.53960825637228</v>
      </c>
      <c r="J74" s="14" t="n">
        <f aca="false">(MAX(0,(J30-Assumptions!$E$85))*Assumptions!$E$86)</f>
        <v>8.11578444862192</v>
      </c>
      <c r="K74" s="14" t="n">
        <f aca="false">(MAX(0,(K30-Assumptions!$E$85))*Assumptions!$E$86)</f>
        <v>10.7970209068785</v>
      </c>
      <c r="L74" s="14" t="n">
        <f aca="false">(MAX(0,(L30-Assumptions!$E$85))*Assumptions!$E$86)</f>
        <v>13.600115217841</v>
      </c>
      <c r="M74" s="14" t="n">
        <f aca="false">(MAX(0,(M30-Assumptions!$E$85))*Assumptions!$E$86)</f>
        <v>16.5417365779892</v>
      </c>
      <c r="N74" s="14" t="n">
        <f aca="false">(MAX(0,(N30-Assumptions!$E$85))*Assumptions!$E$86)</f>
        <v>19.6385933923251</v>
      </c>
      <c r="O74" s="14" t="n">
        <f aca="false">(MAX(0,(O30-Assumptions!$E$85))*Assumptions!$E$86)</f>
        <v>28.4327082070264</v>
      </c>
      <c r="P74" s="14" t="n">
        <f aca="false">(MAX(0,(P30-Assumptions!$E$85))*Assumptions!$E$86)</f>
        <v>32.3422907400369</v>
      </c>
      <c r="Q74" s="14" t="n">
        <f aca="false">(MAX(0,(Q30-Assumptions!$E$85))*Assumptions!$E$86)</f>
        <v>36.4196284231129</v>
      </c>
      <c r="R74" s="14" t="n">
        <f aca="false">(MAX(0,(R30-Assumptions!$E$85))*Assumptions!$E$86)</f>
        <v>41.0534939222243</v>
      </c>
      <c r="S74" s="14" t="n">
        <f aca="false">(MAX(0,(S30-Assumptions!$E$85))*Assumptions!$E$86)</f>
        <v>45.6760412689902</v>
      </c>
      <c r="T74" s="14" t="n">
        <f aca="false">(MAX(0,(T30-Assumptions!$E$85))*Assumptions!$E$86)</f>
        <v>50.5914380027739</v>
      </c>
      <c r="U74" s="14" t="n">
        <f aca="false">(MAX(0,(U30-Assumptions!$E$85))*Assumptions!$E$86)</f>
        <v>55.8264654048156</v>
      </c>
      <c r="V74" s="14" t="n">
        <f aca="false">(MAX(0,(V30-Assumptions!$E$85))*Assumptions!$E$86)</f>
        <v>61.4056269790963</v>
      </c>
      <c r="W74" s="14" t="n">
        <f aca="false">(MAX(0,(W30-Assumptions!$E$85))*Assumptions!$E$86)</f>
        <v>67.3547747048143</v>
      </c>
      <c r="X74" s="14" t="n">
        <f aca="false">(MAX(0,(X30-Assumptions!$E$85))*Assumptions!$E$86)</f>
        <v>73.7012919695434</v>
      </c>
      <c r="Y74" s="14" t="n">
        <f aca="false">(MAX(0,(Y30-Assumptions!$E$85))*Assumptions!$E$86)</f>
        <v>80.4742368078476</v>
      </c>
      <c r="Z74" s="14" t="n">
        <f aca="false">(MAX(0,(Z30-Assumptions!$E$85))*Assumptions!$E$86)</f>
        <v>87.7044896879075</v>
      </c>
      <c r="AA74" s="14" t="n">
        <f aca="false">(MAX(0,(AA30-Assumptions!$E$85))*Assumptions!$E$86)</f>
        <v>97.8080033508528</v>
      </c>
      <c r="AB74" s="14" t="n">
        <f aca="false">(MAX(0,(AB30-Assumptions!$E$85))*Assumptions!$E$86)</f>
        <v>106.24745322495</v>
      </c>
      <c r="AC74" s="14" t="n">
        <f aca="false">(MAX(0,(AC30-Assumptions!$E$85))*Assumptions!$E$86)</f>
        <v>115.232323159882</v>
      </c>
      <c r="AD74" s="14" t="n">
        <f aca="false">(MAX(0,(AD30-Assumptions!$E$85))*Assumptions!$E$86)</f>
        <v>124.962192810918</v>
      </c>
      <c r="AE74" s="14" t="n">
        <f aca="false">(MAX(0,(AE30-Assumptions!$E$85))*Assumptions!$E$86)</f>
        <v>135.226330718322</v>
      </c>
      <c r="AF74" s="14" t="n">
        <f aca="false">(MAX(0,(AF30-Assumptions!$E$85))*Assumptions!$E$86)</f>
        <v>146.19270228645</v>
      </c>
      <c r="AG74" s="14" t="n">
        <f aca="false">(MAX(0,(AG30-Assumptions!$E$85))*Assumptions!$E$86)</f>
        <v>157.912253708585</v>
      </c>
      <c r="AH74" s="14" t="n">
        <f aca="false">(MAX(0,(AH30-Assumptions!$E$85))*Assumptions!$E$86)</f>
        <v>170.4377795841</v>
      </c>
      <c r="AI74" s="14" t="n">
        <f aca="false">(MAX(0,(AI30-Assumptions!$E$85))*Assumptions!$E$86)</f>
        <v>183.825673648613</v>
      </c>
      <c r="AJ74" s="14" t="n">
        <f aca="false">(MAX(0,(AJ30-Assumptions!$E$85))*Assumptions!$E$86)</f>
        <v>198.136208037616</v>
      </c>
      <c r="AK74" s="14" t="n">
        <f aca="false">(MAX(0,(AK30-Assumptions!$E$85))*Assumptions!$E$86)</f>
        <v>213.433810827722</v>
      </c>
      <c r="AL74" s="14" t="n">
        <f aca="false">(MAX(0,(AL30-Assumptions!$E$85))*Assumptions!$E$86)</f>
        <v>229.78736183839</v>
      </c>
    </row>
    <row r="75" customFormat="false" ht="15" hidden="false" customHeight="false" outlineLevel="0" collapsed="false">
      <c r="A75" s="6" t="s">
        <v>467</v>
      </c>
      <c r="B75" s="2" t="s">
        <v>468</v>
      </c>
      <c r="C75" s="14" t="n">
        <f aca="false">(C66*Assumptions!$E$68)</f>
        <v>0</v>
      </c>
      <c r="D75" s="14" t="n">
        <f aca="false">(D66*Assumptions!$E$68)</f>
        <v>0</v>
      </c>
      <c r="E75" s="14" t="n">
        <f aca="false">(E66*Assumptions!$E$68)</f>
        <v>0</v>
      </c>
      <c r="F75" s="14" t="n">
        <f aca="false">(F66*Assumptions!$E$68)</f>
        <v>0</v>
      </c>
      <c r="G75" s="14" t="n">
        <f aca="false">(G66*Assumptions!$E$68)</f>
        <v>0</v>
      </c>
      <c r="H75" s="14" t="n">
        <f aca="false">(H66*Assumptions!$E$68)</f>
        <v>0</v>
      </c>
      <c r="I75" s="14" t="n">
        <f aca="false">(I66*Assumptions!$E$68)</f>
        <v>0</v>
      </c>
      <c r="J75" s="14" t="n">
        <f aca="false">(J66*Assumptions!$E$68)</f>
        <v>0</v>
      </c>
      <c r="K75" s="14" t="n">
        <f aca="false">(K66*Assumptions!$E$68)</f>
        <v>0</v>
      </c>
      <c r="L75" s="14" t="n">
        <f aca="false">(L66*Assumptions!$E$68)</f>
        <v>0</v>
      </c>
      <c r="M75" s="14" t="n">
        <f aca="false">(M66*Assumptions!$E$68)</f>
        <v>0</v>
      </c>
      <c r="N75" s="14" t="n">
        <f aca="false">(N66*Assumptions!$E$68)</f>
        <v>0</v>
      </c>
      <c r="O75" s="14" t="n">
        <f aca="false">(O66*Assumptions!$E$68)</f>
        <v>0</v>
      </c>
      <c r="P75" s="14" t="n">
        <f aca="false">(P66*Assumptions!$E$68)</f>
        <v>0</v>
      </c>
      <c r="Q75" s="14" t="n">
        <f aca="false">(Q66*Assumptions!$E$68)</f>
        <v>0</v>
      </c>
      <c r="R75" s="14" t="n">
        <f aca="false">(R66*Assumptions!$E$68)</f>
        <v>0</v>
      </c>
      <c r="S75" s="14" t="n">
        <f aca="false">(S66*Assumptions!$E$68)</f>
        <v>0</v>
      </c>
      <c r="T75" s="14" t="n">
        <f aca="false">(T66*Assumptions!$E$68)</f>
        <v>0</v>
      </c>
      <c r="U75" s="14" t="n">
        <f aca="false">(U66*Assumptions!$E$68)</f>
        <v>0</v>
      </c>
      <c r="V75" s="14" t="n">
        <f aca="false">(V66*Assumptions!$E$68)</f>
        <v>0</v>
      </c>
      <c r="W75" s="14" t="n">
        <f aca="false">(W66*Assumptions!$E$68)</f>
        <v>0</v>
      </c>
      <c r="X75" s="14" t="n">
        <f aca="false">(X66*Assumptions!$E$68)</f>
        <v>0</v>
      </c>
      <c r="Y75" s="14" t="n">
        <f aca="false">(Y66*Assumptions!$E$68)</f>
        <v>0</v>
      </c>
      <c r="Z75" s="14" t="n">
        <f aca="false">(Z66*Assumptions!$E$68)</f>
        <v>0</v>
      </c>
      <c r="AA75" s="14" t="n">
        <f aca="false">(AA66*Assumptions!$E$68)</f>
        <v>0</v>
      </c>
      <c r="AB75" s="14" t="n">
        <f aca="false">(AB66*Assumptions!$E$68)</f>
        <v>0</v>
      </c>
      <c r="AC75" s="14" t="n">
        <f aca="false">(AC66*Assumptions!$E$68)</f>
        <v>0</v>
      </c>
      <c r="AD75" s="14" t="n">
        <f aca="false">(AD66*Assumptions!$E$68)</f>
        <v>0</v>
      </c>
      <c r="AE75" s="14" t="n">
        <f aca="false">(AE66*Assumptions!$E$68)</f>
        <v>0</v>
      </c>
      <c r="AF75" s="14" t="n">
        <f aca="false">(AF66*Assumptions!$E$68)</f>
        <v>0</v>
      </c>
      <c r="AG75" s="14" t="n">
        <f aca="false">(AG66*Assumptions!$E$68)</f>
        <v>0</v>
      </c>
      <c r="AH75" s="14" t="n">
        <f aca="false">(AH66*Assumptions!$E$68)</f>
        <v>0</v>
      </c>
      <c r="AI75" s="14" t="n">
        <f aca="false">(AI66*Assumptions!$E$68)</f>
        <v>0</v>
      </c>
      <c r="AJ75" s="14" t="n">
        <f aca="false">(AJ66*Assumptions!$E$68)</f>
        <v>0</v>
      </c>
      <c r="AK75" s="14" t="n">
        <f aca="false">(AK66*Assumptions!$E$68)</f>
        <v>0</v>
      </c>
      <c r="AL75" s="14" t="n">
        <f aca="false">(AL66*Assumptions!$E$68)</f>
        <v>0</v>
      </c>
    </row>
    <row r="76" customFormat="false" ht="15" hidden="false" customHeight="false" outlineLevel="0" collapsed="false">
      <c r="A76" s="21" t="s">
        <v>469</v>
      </c>
      <c r="B76" s="2" t="s">
        <v>470</v>
      </c>
      <c r="C76" s="23" t="n">
        <f aca="false">(((((C70+C71)+C72)+C73)+C74)+C75)</f>
        <v>461.333333333333</v>
      </c>
      <c r="D76" s="23" t="n">
        <f aca="false">(((((D70+D71)+D72)+D73)+D74)+D75)</f>
        <v>463.856224600608</v>
      </c>
      <c r="E76" s="23" t="n">
        <f aca="false">(((((E70+E71)+E72)+E73)+E74)+E75)</f>
        <v>466.312153715866</v>
      </c>
      <c r="F76" s="23" t="n">
        <f aca="false">(((((F70+F71)+F72)+F73)+F74)+F75)</f>
        <v>469.450081315521</v>
      </c>
      <c r="G76" s="23" t="n">
        <f aca="false">(((((G70+G71)+G72)+G73)+G74)+G75)</f>
        <v>472.79646653952</v>
      </c>
      <c r="H76" s="23" t="n">
        <f aca="false">(((((H70+H71)+H72)+H73)+H74)+H75)</f>
        <v>478.005812823853</v>
      </c>
      <c r="I76" s="23" t="n">
        <f aca="false">(((((I70+I71)+I72)+I73)+I74)+I75)</f>
        <v>610.029747579222</v>
      </c>
      <c r="J76" s="23" t="n">
        <f aca="false">(((((J70+J71)+J72)+J73)+J74)+J75)</f>
        <v>635.615750899808</v>
      </c>
      <c r="K76" s="23" t="n">
        <f aca="false">(((((K70+K71)+K72)+K73)+K74)+K75)</f>
        <v>662.482931763964</v>
      </c>
      <c r="L76" s="23" t="n">
        <f aca="false">(((((L70+L71)+L72)+L73)+L74)+L75)</f>
        <v>690.772349267912</v>
      </c>
      <c r="M76" s="23" t="n">
        <f aca="false">(((((M70+M71)+M72)+M73)+M74)+M75)</f>
        <v>720.62818786416</v>
      </c>
      <c r="N76" s="23" t="n">
        <f aca="false">(((((N70+N71)+N72)+N73)+N74)+N75)</f>
        <v>752.198834827789</v>
      </c>
      <c r="O76" s="23" t="n">
        <f aca="false">(((((O70+O71)+O72)+O73)+O74)+O75)</f>
        <v>1417.68753436669</v>
      </c>
      <c r="P76" s="23" t="n">
        <f aca="false">(((((P70+P71)+P72)+P73)+P74)+P75)</f>
        <v>1494.09688358437</v>
      </c>
      <c r="Q76" s="23" t="n">
        <f aca="false">(((((Q70+Q71)+Q72)+Q73)+Q74)+Q75)</f>
        <v>1575.0439741981</v>
      </c>
      <c r="R76" s="23" t="n">
        <f aca="false">(((((R70+R71)+R72)+R73)+R74)+R75)</f>
        <v>1660.60376898172</v>
      </c>
      <c r="S76" s="23" t="n">
        <f aca="false">(((((S70+S71)+S72)+S73)+S74)+S75)</f>
        <v>1751.21647518768</v>
      </c>
      <c r="T76" s="23" t="n">
        <f aca="false">(((((T70+T71)+T72)+T73)+T74)+T75)</f>
        <v>1847.59103541578</v>
      </c>
      <c r="U76" s="23" t="n">
        <f aca="false">(((((U70+U71)+U72)+U73)+U74)+U75)</f>
        <v>1950.17305352195</v>
      </c>
      <c r="V76" s="23" t="n">
        <f aca="false">(((((V70+V71)+V72)+V73)+V74)+V75)</f>
        <v>2059.43031364453</v>
      </c>
      <c r="W76" s="23" t="n">
        <f aca="false">(((((W70+W71)+W72)+W73)+W74)+W75)</f>
        <v>2175.85876093316</v>
      </c>
      <c r="X76" s="23" t="n">
        <f aca="false">(((((X70+X71)+X72)+X73)+X74)+X75)</f>
        <v>2299.98502072867</v>
      </c>
      <c r="Y76" s="23" t="n">
        <f aca="false">(((((Y70+Y71)+Y72)+Y73)+Y74)+Y75)</f>
        <v>2432.36898186963</v>
      </c>
      <c r="Z76" s="23" t="n">
        <f aca="false">(((((Z70+Z71)+Z72)+Z73)+Z74)+Z75)</f>
        <v>2573.60650457431</v>
      </c>
      <c r="AA76" s="23" t="n">
        <f aca="false">(((((AA70+AA71)+AA72)+AA73)+AA74)+AA75)</f>
        <v>2721.60473379941</v>
      </c>
      <c r="AB76" s="23" t="n">
        <f aca="false">(((((AB70+AB71)+AB72)+AB73)+AB74)+AB75)</f>
        <v>2877.15474346735</v>
      </c>
      <c r="AC76" s="23" t="n">
        <f aca="false">(((((AC70+AC71)+AC72)+AC73)+AC74)+AC75)</f>
        <v>3043.18963957291</v>
      </c>
      <c r="AD76" s="23" t="n">
        <f aca="false">(((((AD70+AD71)+AD72)+AD73)+AD74)+AD75)</f>
        <v>3220.33268937526</v>
      </c>
      <c r="AE76" s="23" t="n">
        <f aca="false">(((((AE70+AE71)+AE72)+AE73)+AE74)+AE75)</f>
        <v>3409.388560348</v>
      </c>
      <c r="AF76" s="23" t="n">
        <f aca="false">(((((AF70+AF71)+AF72)+AF73)+AF74)+AF75)</f>
        <v>3611.33108573186</v>
      </c>
      <c r="AG76" s="23" t="n">
        <f aca="false">(((((AG70+AG71)+AG72)+AG73)+AG74)+AG75)</f>
        <v>3827.06816758773</v>
      </c>
      <c r="AH76" s="23" t="n">
        <f aca="false">(((((AH70+AH71)+AH72)+AH73)+AH74)+AH75)</f>
        <v>4057.56803088812</v>
      </c>
      <c r="AI76" s="23" t="n">
        <f aca="false">(((((AI70+AI71)+AI72)+AI73)+AI74)+AI75)</f>
        <v>4303.86522376488</v>
      </c>
      <c r="AJ76" s="23" t="n">
        <f aca="false">(((((AJ70+AJ71)+AJ72)+AJ73)+AJ74)+AJ75)</f>
        <v>4567.06538075895</v>
      </c>
      <c r="AK76" s="23" t="n">
        <f aca="false">(((((AK70+AK71)+AK72)+AK73)+AK74)+AK75)</f>
        <v>4848.35028483016</v>
      </c>
      <c r="AL76" s="23" t="n">
        <f aca="false">(((((AL70+AL71)+AL72)+AL73)+AL74)+AL75)</f>
        <v>5148.98327120691</v>
      </c>
    </row>
    <row r="77" customFormat="false" ht="15" hidden="false" customHeight="false" outlineLevel="0" collapsed="false">
      <c r="A77" s="21" t="s">
        <v>471</v>
      </c>
      <c r="B77" s="2" t="s">
        <v>472</v>
      </c>
      <c r="C77" s="23" t="n">
        <f aca="false">(C67-C76)</f>
        <v>-145.667174166389</v>
      </c>
      <c r="D77" s="23" t="n">
        <f aca="false">(D67-D76)</f>
        <v>58.551321419667</v>
      </c>
      <c r="E77" s="23" t="n">
        <f aca="false">(E67-E76)</f>
        <v>262.893182424325</v>
      </c>
      <c r="F77" s="23" t="n">
        <f aca="false">(F67-F76)</f>
        <v>534.992023014559</v>
      </c>
      <c r="G77" s="23" t="n">
        <f aca="false">(G67-G76)</f>
        <v>763.946868820539</v>
      </c>
      <c r="H77" s="23" t="n">
        <f aca="false">(H67-H76)</f>
        <v>997.565983144139</v>
      </c>
      <c r="I77" s="23" t="n">
        <f aca="false">(I67-I76)</f>
        <v>1140.50940216619</v>
      </c>
      <c r="J77" s="23" t="n">
        <f aca="false">(J67-J76)</f>
        <v>1374.96923202537</v>
      </c>
      <c r="K77" s="23" t="n">
        <f aca="false">(K67-K76)</f>
        <v>1619.78819634696</v>
      </c>
      <c r="L77" s="23" t="n">
        <f aca="false">(L67-L76)</f>
        <v>1876.41902354557</v>
      </c>
      <c r="M77" s="23" t="n">
        <f aca="false">(M67-M76)</f>
        <v>2146.3137897054</v>
      </c>
      <c r="N77" s="23" t="n">
        <f aca="false">(N67-N76)</f>
        <v>2430.93770790252</v>
      </c>
      <c r="O77" s="23" t="n">
        <f aca="false">(O67-O76)</f>
        <v>2048.60562641413</v>
      </c>
      <c r="P77" s="23" t="n">
        <f aca="false">(P67-P76)</f>
        <v>2270.88577610991</v>
      </c>
      <c r="Q77" s="23" t="n">
        <f aca="false">(Q67-Q76)</f>
        <v>2506.2868081061</v>
      </c>
      <c r="R77" s="23" t="n">
        <f aca="false">(R67-R76)</f>
        <v>2753.48234787057</v>
      </c>
      <c r="S77" s="23" t="n">
        <f aca="false">(S67-S76)</f>
        <v>3016.2880491286</v>
      </c>
      <c r="T77" s="23" t="n">
        <f aca="false">(T67-T76)</f>
        <v>3295.71768599955</v>
      </c>
      <c r="U77" s="23" t="n">
        <f aca="false">(U67-U76)</f>
        <v>3593.09703740817</v>
      </c>
      <c r="V77" s="23" t="n">
        <f aca="false">(V67-V76)</f>
        <v>3909.82246742015</v>
      </c>
      <c r="W77" s="23" t="n">
        <f aca="false">(W67-W76)</f>
        <v>4247.36588378618</v>
      </c>
      <c r="X77" s="23" t="n">
        <f aca="false">(X67-X76)</f>
        <v>4607.28291269933</v>
      </c>
      <c r="Y77" s="23" t="n">
        <f aca="false">(Y67-Y76)</f>
        <v>4991.22128100227</v>
      </c>
      <c r="Z77" s="23" t="n">
        <f aca="false">(Z67-Z76)</f>
        <v>5400.92943420387</v>
      </c>
      <c r="AA77" s="23" t="n">
        <f aca="false">(AA67-AA76)</f>
        <v>5819.13805041019</v>
      </c>
      <c r="AB77" s="23" t="n">
        <f aca="false">(AB67-AB76)</f>
        <v>6267.75749557529</v>
      </c>
      <c r="AC77" s="23" t="n">
        <f aca="false">(AC67-AC76)</f>
        <v>6746.84458024735</v>
      </c>
      <c r="AD77" s="23" t="n">
        <f aca="false">(AD67-AD76)</f>
        <v>7257.48005126289</v>
      </c>
      <c r="AE77" s="23" t="n">
        <f aca="false">(AE67-AE76)</f>
        <v>7803.08478653658</v>
      </c>
      <c r="AF77" s="23" t="n">
        <f aca="false">(AF67-AF76)</f>
        <v>8386.00432818051</v>
      </c>
      <c r="AG77" s="23" t="n">
        <f aca="false">(AG67-AG76)</f>
        <v>9008.85906027931</v>
      </c>
      <c r="AH77" s="23" t="n">
        <f aca="false">(AH67-AH76)</f>
        <v>9674.44879992886</v>
      </c>
      <c r="AI77" s="23" t="n">
        <f aca="false">(AI67-AI76)</f>
        <v>10385.7644619758</v>
      </c>
      <c r="AJ77" s="23" t="n">
        <f aca="false">(AJ67-AJ76)</f>
        <v>11146.0018979123</v>
      </c>
      <c r="AK77" s="23" t="n">
        <f aca="false">(AK67-AK76)</f>
        <v>11958.5766483829</v>
      </c>
      <c r="AL77" s="23" t="n">
        <f aca="false">(AL67-AL76)</f>
        <v>12827.1396648597</v>
      </c>
    </row>
    <row r="78" customFormat="false" ht="15" hidden="false" customHeight="false" outlineLevel="0" collapsed="false">
      <c r="A78" s="6" t="s">
        <v>473</v>
      </c>
      <c r="B78" s="2" t="s">
        <v>474</v>
      </c>
      <c r="C78" s="16" t="n">
        <f aca="false">IF(C67=0,0,C77/C67)</f>
        <v>-0.461459582968318</v>
      </c>
      <c r="D78" s="16" t="n">
        <f aca="false">IF(D67=0,0,D77/D67)</f>
        <v>0.112079777303589</v>
      </c>
      <c r="E78" s="16" t="n">
        <f aca="false">IF(E67=0,0,E77/E67)</f>
        <v>0.360520102356716</v>
      </c>
      <c r="F78" s="16" t="n">
        <f aca="false">IF(F67=0,0,F77/F67)</f>
        <v>0.53262604256457</v>
      </c>
      <c r="G78" s="16" t="n">
        <f aca="false">IF(G67=0,0,G77/G67)</f>
        <v>0.61770849858522</v>
      </c>
      <c r="H78" s="16" t="n">
        <f aca="false">IF(H67=0,0,H77/H67)</f>
        <v>0.676053842903472</v>
      </c>
      <c r="I78" s="16" t="n">
        <f aca="false">IF(I67=0,0,I77/I67)</f>
        <v>0.651518934799064</v>
      </c>
      <c r="J78" s="16" t="n">
        <f aca="false">IF(J67=0,0,J77/J67)</f>
        <v>0.683865264936447</v>
      </c>
      <c r="K78" s="16" t="n">
        <f aca="false">IF(K67=0,0,K77/K67)</f>
        <v>0.709726454668726</v>
      </c>
      <c r="L78" s="16" t="n">
        <f aca="false">IF(L67=0,0,L77/L67)</f>
        <v>0.730922923556389</v>
      </c>
      <c r="M78" s="16" t="n">
        <f aca="false">IF(M67=0,0,M77/M67)</f>
        <v>0.748642214072616</v>
      </c>
      <c r="N78" s="16" t="n">
        <f aca="false">IF(N67=0,0,N77/N67)</f>
        <v>0.763692564007136</v>
      </c>
      <c r="O78" s="16" t="n">
        <f aca="false">IF(O67=0,0,O77/O67)</f>
        <v>0.591007607086719</v>
      </c>
      <c r="P78" s="16" t="n">
        <f aca="false">IF(P67=0,0,P77/P67)</f>
        <v>0.603159690593186</v>
      </c>
      <c r="Q78" s="16" t="n">
        <f aca="false">IF(Q67=0,0,Q77/Q67)</f>
        <v>0.614085684741074</v>
      </c>
      <c r="R78" s="16" t="n">
        <f aca="false">IF(R67=0,0,R77/R67)</f>
        <v>0.623794433316153</v>
      </c>
      <c r="S78" s="16" t="n">
        <f aca="false">IF(S67=0,0,S77/S67)</f>
        <v>0.632676494326174</v>
      </c>
      <c r="T78" s="16" t="n">
        <f aca="false">IF(T67=0,0,T77/T67)</f>
        <v>0.640777729767043</v>
      </c>
      <c r="U78" s="16" t="n">
        <f aca="false">IF(U67=0,0,U77/U67)</f>
        <v>0.648190865404012</v>
      </c>
      <c r="V78" s="16" t="n">
        <f aca="false">IF(V67=0,0,V77/V67)</f>
        <v>0.654993616591789</v>
      </c>
      <c r="W78" s="16" t="n">
        <f aca="false">IF(W67=0,0,W77/W67)</f>
        <v>0.661251336939932</v>
      </c>
      <c r="X78" s="16" t="n">
        <f aca="false">IF(X67=0,0,X77/X67)</f>
        <v>0.667019573745243</v>
      </c>
      <c r="Y78" s="16" t="n">
        <f aca="false">IF(Y67=0,0,Y77/Y67)</f>
        <v>0.672346008368107</v>
      </c>
      <c r="Z78" s="16" t="n">
        <f aca="false">IF(Z67=0,0,Z77/Z67)</f>
        <v>0.677271941046814</v>
      </c>
      <c r="AA78" s="16" t="n">
        <f aca="false">IF(AA67=0,0,AA77/AA67)</f>
        <v>0.681338637333605</v>
      </c>
      <c r="AB78" s="16" t="n">
        <f aca="false">IF(AB67=0,0,AB77/AB67)</f>
        <v>0.68538191857284</v>
      </c>
      <c r="AC78" s="16" t="n">
        <f aca="false">IF(AC67=0,0,AC77/AC67)</f>
        <v>0.689154340910079</v>
      </c>
      <c r="AD78" s="16" t="n">
        <f aca="false">IF(AD67=0,0,AD77/AD67)</f>
        <v>0.692652200503144</v>
      </c>
      <c r="AE78" s="16" t="n">
        <f aca="false">IF(AE67=0,0,AE77/AE67)</f>
        <v>0.695928948513817</v>
      </c>
      <c r="AF78" s="16" t="n">
        <f aca="false">IF(AF67=0,0,AF77/AF67)</f>
        <v>0.698988903690724</v>
      </c>
      <c r="AG78" s="16" t="n">
        <f aca="false">IF(AG67=0,0,AG77/AG67)</f>
        <v>0.701847159176854</v>
      </c>
      <c r="AH78" s="16" t="n">
        <f aca="false">IF(AH67=0,0,AH77/AH67)</f>
        <v>0.704517691692436</v>
      </c>
      <c r="AI78" s="16" t="n">
        <f aca="false">IF(AI67=0,0,AI77/AI67)</f>
        <v>0.707013361409467</v>
      </c>
      <c r="AJ78" s="16" t="n">
        <f aca="false">IF(AJ67=0,0,AJ77/AJ67)</f>
        <v>0.709346030296819</v>
      </c>
      <c r="AK78" s="16" t="n">
        <f aca="false">IF(AK67=0,0,AK77/AK67)</f>
        <v>0.711526663732376</v>
      </c>
      <c r="AL78" s="16" t="n">
        <f aca="false">IF(AL67=0,0,AL77/AL67)</f>
        <v>0.713565417330554</v>
      </c>
    </row>
    <row r="80" customFormat="false" ht="15" hidden="false" customHeight="false" outlineLevel="0" collapsed="false">
      <c r="A80" s="4" t="s">
        <v>475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 customFormat="false" ht="15" hidden="false" customHeight="false" outlineLevel="0" collapsed="false">
      <c r="A81" s="6" t="s">
        <v>476</v>
      </c>
      <c r="B81" s="2" t="s">
        <v>477</v>
      </c>
      <c r="C81" s="14" t="n">
        <f aca="false">(Assumptions!$E$10*Assumptions!$E$88)</f>
        <v>0</v>
      </c>
      <c r="D81" s="14" t="n">
        <f aca="false">(Assumptions!$E$10*Assumptions!$E$88)</f>
        <v>0</v>
      </c>
      <c r="E81" s="14" t="n">
        <f aca="false">(Assumptions!$E$10*Assumptions!$E$88)</f>
        <v>0</v>
      </c>
      <c r="F81" s="14" t="n">
        <f aca="false">(Assumptions!$E$10*Assumptions!$E$88)</f>
        <v>0</v>
      </c>
      <c r="G81" s="14" t="n">
        <f aca="false">(Assumptions!$E$10*Assumptions!$E$88)</f>
        <v>0</v>
      </c>
      <c r="H81" s="14" t="n">
        <f aca="false">(Assumptions!$E$10*Assumptions!$E$88)</f>
        <v>0</v>
      </c>
      <c r="I81" s="14" t="n">
        <f aca="false">(Assumptions!$E$10*Assumptions!$E$88)</f>
        <v>0</v>
      </c>
      <c r="J81" s="14" t="n">
        <f aca="false">(Assumptions!$E$10*Assumptions!$E$88)</f>
        <v>0</v>
      </c>
      <c r="K81" s="14" t="n">
        <f aca="false">(Assumptions!$E$10*Assumptions!$E$88)</f>
        <v>0</v>
      </c>
      <c r="L81" s="14" t="n">
        <f aca="false">(Assumptions!$E$10*Assumptions!$E$88)</f>
        <v>0</v>
      </c>
      <c r="M81" s="14" t="n">
        <f aca="false">(Assumptions!$E$10*Assumptions!$E$88)</f>
        <v>0</v>
      </c>
      <c r="N81" s="14" t="n">
        <f aca="false">(Assumptions!$E$10*Assumptions!$E$88)</f>
        <v>0</v>
      </c>
      <c r="O81" s="14" t="n">
        <f aca="false">(Assumptions!$E$10*Assumptions!$E$88)</f>
        <v>0</v>
      </c>
      <c r="P81" s="14" t="n">
        <f aca="false">(Assumptions!$E$10*Assumptions!$E$88)</f>
        <v>0</v>
      </c>
      <c r="Q81" s="14" t="n">
        <f aca="false">(Assumptions!$E$10*Assumptions!$E$88)</f>
        <v>0</v>
      </c>
      <c r="R81" s="14" t="n">
        <f aca="false">(Assumptions!$E$10*Assumptions!$E$88)</f>
        <v>0</v>
      </c>
      <c r="S81" s="14" t="n">
        <f aca="false">(Assumptions!$E$10*Assumptions!$E$88)</f>
        <v>0</v>
      </c>
      <c r="T81" s="14" t="n">
        <f aca="false">(Assumptions!$E$10*Assumptions!$E$88)</f>
        <v>0</v>
      </c>
      <c r="U81" s="14" t="n">
        <f aca="false">(Assumptions!$E$10*Assumptions!$E$88)</f>
        <v>0</v>
      </c>
      <c r="V81" s="14" t="n">
        <f aca="false">(Assumptions!$E$10*Assumptions!$E$88)</f>
        <v>0</v>
      </c>
      <c r="W81" s="14" t="n">
        <f aca="false">(Assumptions!$E$10*Assumptions!$E$88)</f>
        <v>0</v>
      </c>
      <c r="X81" s="14" t="n">
        <f aca="false">(Assumptions!$E$10*Assumptions!$E$88)</f>
        <v>0</v>
      </c>
      <c r="Y81" s="14" t="n">
        <f aca="false">(Assumptions!$E$10*Assumptions!$E$88)</f>
        <v>0</v>
      </c>
      <c r="Z81" s="14" t="n">
        <f aca="false">(Assumptions!$E$10*Assumptions!$E$88)</f>
        <v>0</v>
      </c>
      <c r="AA81" s="14" t="n">
        <f aca="false">(Assumptions!$E$10*Assumptions!$E$88)</f>
        <v>0</v>
      </c>
      <c r="AB81" s="14" t="n">
        <f aca="false">(Assumptions!$E$10*Assumptions!$E$88)</f>
        <v>0</v>
      </c>
      <c r="AC81" s="14" t="n">
        <f aca="false">(Assumptions!$E$10*Assumptions!$E$88)</f>
        <v>0</v>
      </c>
      <c r="AD81" s="14" t="n">
        <f aca="false">(Assumptions!$E$10*Assumptions!$E$88)</f>
        <v>0</v>
      </c>
      <c r="AE81" s="14" t="n">
        <f aca="false">(Assumptions!$E$10*Assumptions!$E$88)</f>
        <v>0</v>
      </c>
      <c r="AF81" s="14" t="n">
        <f aca="false">(Assumptions!$E$10*Assumptions!$E$88)</f>
        <v>0</v>
      </c>
      <c r="AG81" s="14" t="n">
        <f aca="false">(Assumptions!$E$10*Assumptions!$E$88)</f>
        <v>0</v>
      </c>
      <c r="AH81" s="14" t="n">
        <f aca="false">(Assumptions!$E$10*Assumptions!$E$88)</f>
        <v>0</v>
      </c>
      <c r="AI81" s="14" t="n">
        <f aca="false">(Assumptions!$E$10*Assumptions!$E$88)</f>
        <v>0</v>
      </c>
      <c r="AJ81" s="14" t="n">
        <f aca="false">(Assumptions!$E$10*Assumptions!$E$88)</f>
        <v>0</v>
      </c>
      <c r="AK81" s="14" t="n">
        <f aca="false">(Assumptions!$E$10*Assumptions!$E$88)</f>
        <v>0</v>
      </c>
      <c r="AL81" s="14" t="n">
        <f aca="false">(Assumptions!$E$10*Assumptions!$E$88)</f>
        <v>0</v>
      </c>
    </row>
    <row r="82" customFormat="false" ht="15" hidden="false" customHeight="false" outlineLevel="0" collapsed="false">
      <c r="A82" s="6" t="s">
        <v>478</v>
      </c>
      <c r="B82" s="2" t="s">
        <v>479</v>
      </c>
      <c r="C82" s="14" t="n">
        <f aca="false">CHOOSE(C$3,Assumptions!$E$89,Assumptions!$E$90,Assumptions!$E$91)</f>
        <v>500</v>
      </c>
      <c r="D82" s="14" t="n">
        <f aca="false">CHOOSE(D$3,Assumptions!$E$89,Assumptions!$E$90,Assumptions!$E$91)</f>
        <v>500</v>
      </c>
      <c r="E82" s="14" t="n">
        <f aca="false">CHOOSE(E$3,Assumptions!$E$89,Assumptions!$E$90,Assumptions!$E$91)</f>
        <v>500</v>
      </c>
      <c r="F82" s="14" t="n">
        <f aca="false">CHOOSE(F$3,Assumptions!$E$89,Assumptions!$E$90,Assumptions!$E$91)</f>
        <v>500</v>
      </c>
      <c r="G82" s="14" t="n">
        <f aca="false">CHOOSE(G$3,Assumptions!$E$89,Assumptions!$E$90,Assumptions!$E$91)</f>
        <v>500</v>
      </c>
      <c r="H82" s="14" t="n">
        <f aca="false">CHOOSE(H$3,Assumptions!$E$89,Assumptions!$E$90,Assumptions!$E$91)</f>
        <v>500</v>
      </c>
      <c r="I82" s="14" t="n">
        <f aca="false">CHOOSE(I$3,Assumptions!$E$89,Assumptions!$E$90,Assumptions!$E$91)</f>
        <v>500</v>
      </c>
      <c r="J82" s="14" t="n">
        <f aca="false">CHOOSE(J$3,Assumptions!$E$89,Assumptions!$E$90,Assumptions!$E$91)</f>
        <v>500</v>
      </c>
      <c r="K82" s="14" t="n">
        <f aca="false">CHOOSE(K$3,Assumptions!$E$89,Assumptions!$E$90,Assumptions!$E$91)</f>
        <v>500</v>
      </c>
      <c r="L82" s="14" t="n">
        <f aca="false">CHOOSE(L$3,Assumptions!$E$89,Assumptions!$E$90,Assumptions!$E$91)</f>
        <v>500</v>
      </c>
      <c r="M82" s="14" t="n">
        <f aca="false">CHOOSE(M$3,Assumptions!$E$89,Assumptions!$E$90,Assumptions!$E$91)</f>
        <v>500</v>
      </c>
      <c r="N82" s="14" t="n">
        <f aca="false">CHOOSE(N$3,Assumptions!$E$89,Assumptions!$E$90,Assumptions!$E$91)</f>
        <v>500</v>
      </c>
      <c r="O82" s="14" t="n">
        <f aca="false">CHOOSE(O$3,Assumptions!$E$89,Assumptions!$E$90,Assumptions!$E$91)</f>
        <v>1500</v>
      </c>
      <c r="P82" s="14" t="n">
        <f aca="false">CHOOSE(P$3,Assumptions!$E$89,Assumptions!$E$90,Assumptions!$E$91)</f>
        <v>1500</v>
      </c>
      <c r="Q82" s="14" t="n">
        <f aca="false">CHOOSE(Q$3,Assumptions!$E$89,Assumptions!$E$90,Assumptions!$E$91)</f>
        <v>1500</v>
      </c>
      <c r="R82" s="14" t="n">
        <f aca="false">CHOOSE(R$3,Assumptions!$E$89,Assumptions!$E$90,Assumptions!$E$91)</f>
        <v>1500</v>
      </c>
      <c r="S82" s="14" t="n">
        <f aca="false">CHOOSE(S$3,Assumptions!$E$89,Assumptions!$E$90,Assumptions!$E$91)</f>
        <v>1500</v>
      </c>
      <c r="T82" s="14" t="n">
        <f aca="false">CHOOSE(T$3,Assumptions!$E$89,Assumptions!$E$90,Assumptions!$E$91)</f>
        <v>1500</v>
      </c>
      <c r="U82" s="14" t="n">
        <f aca="false">CHOOSE(U$3,Assumptions!$E$89,Assumptions!$E$90,Assumptions!$E$91)</f>
        <v>1500</v>
      </c>
      <c r="V82" s="14" t="n">
        <f aca="false">CHOOSE(V$3,Assumptions!$E$89,Assumptions!$E$90,Assumptions!$E$91)</f>
        <v>1500</v>
      </c>
      <c r="W82" s="14" t="n">
        <f aca="false">CHOOSE(W$3,Assumptions!$E$89,Assumptions!$E$90,Assumptions!$E$91)</f>
        <v>1500</v>
      </c>
      <c r="X82" s="14" t="n">
        <f aca="false">CHOOSE(X$3,Assumptions!$E$89,Assumptions!$E$90,Assumptions!$E$91)</f>
        <v>1500</v>
      </c>
      <c r="Y82" s="14" t="n">
        <f aca="false">CHOOSE(Y$3,Assumptions!$E$89,Assumptions!$E$90,Assumptions!$E$91)</f>
        <v>1500</v>
      </c>
      <c r="Z82" s="14" t="n">
        <f aca="false">CHOOSE(Z$3,Assumptions!$E$89,Assumptions!$E$90,Assumptions!$E$91)</f>
        <v>1500</v>
      </c>
      <c r="AA82" s="14" t="n">
        <f aca="false">CHOOSE(AA$3,Assumptions!$E$89,Assumptions!$E$90,Assumptions!$E$91)</f>
        <v>3000</v>
      </c>
      <c r="AB82" s="14" t="n">
        <f aca="false">CHOOSE(AB$3,Assumptions!$E$89,Assumptions!$E$90,Assumptions!$E$91)</f>
        <v>3000</v>
      </c>
      <c r="AC82" s="14" t="n">
        <f aca="false">CHOOSE(AC$3,Assumptions!$E$89,Assumptions!$E$90,Assumptions!$E$91)</f>
        <v>3000</v>
      </c>
      <c r="AD82" s="14" t="n">
        <f aca="false">CHOOSE(AD$3,Assumptions!$E$89,Assumptions!$E$90,Assumptions!$E$91)</f>
        <v>3000</v>
      </c>
      <c r="AE82" s="14" t="n">
        <f aca="false">CHOOSE(AE$3,Assumptions!$E$89,Assumptions!$E$90,Assumptions!$E$91)</f>
        <v>3000</v>
      </c>
      <c r="AF82" s="14" t="n">
        <f aca="false">CHOOSE(AF$3,Assumptions!$E$89,Assumptions!$E$90,Assumptions!$E$91)</f>
        <v>3000</v>
      </c>
      <c r="AG82" s="14" t="n">
        <f aca="false">CHOOSE(AG$3,Assumptions!$E$89,Assumptions!$E$90,Assumptions!$E$91)</f>
        <v>3000</v>
      </c>
      <c r="AH82" s="14" t="n">
        <f aca="false">CHOOSE(AH$3,Assumptions!$E$89,Assumptions!$E$90,Assumptions!$E$91)</f>
        <v>3000</v>
      </c>
      <c r="AI82" s="14" t="n">
        <f aca="false">CHOOSE(AI$3,Assumptions!$E$89,Assumptions!$E$90,Assumptions!$E$91)</f>
        <v>3000</v>
      </c>
      <c r="AJ82" s="14" t="n">
        <f aca="false">CHOOSE(AJ$3,Assumptions!$E$89,Assumptions!$E$90,Assumptions!$E$91)</f>
        <v>3000</v>
      </c>
      <c r="AK82" s="14" t="n">
        <f aca="false">CHOOSE(AK$3,Assumptions!$E$89,Assumptions!$E$90,Assumptions!$E$91)</f>
        <v>3000</v>
      </c>
      <c r="AL82" s="14" t="n">
        <f aca="false">CHOOSE(AL$3,Assumptions!$E$89,Assumptions!$E$90,Assumptions!$E$91)</f>
        <v>3000</v>
      </c>
    </row>
    <row r="83" customFormat="false" ht="15" hidden="false" customHeight="false" outlineLevel="0" collapsed="false">
      <c r="A83" s="6" t="s">
        <v>480</v>
      </c>
      <c r="B83" s="2" t="s">
        <v>481</v>
      </c>
      <c r="C83" s="14" t="n">
        <f aca="false">C10</f>
        <v>500</v>
      </c>
      <c r="D83" s="14" t="n">
        <f aca="false">D10</f>
        <v>515</v>
      </c>
      <c r="E83" s="14" t="n">
        <f aca="false">E10</f>
        <v>530.45</v>
      </c>
      <c r="F83" s="14" t="n">
        <f aca="false">F10</f>
        <v>546.3635</v>
      </c>
      <c r="G83" s="14" t="n">
        <f aca="false">G10</f>
        <v>562.754405</v>
      </c>
      <c r="H83" s="14" t="n">
        <f aca="false">H10</f>
        <v>579.63703715</v>
      </c>
      <c r="I83" s="14" t="n">
        <f aca="false">I10</f>
        <v>597.0261482645</v>
      </c>
      <c r="J83" s="14" t="n">
        <f aca="false">J10</f>
        <v>614.936932712435</v>
      </c>
      <c r="K83" s="14" t="n">
        <f aca="false">K10</f>
        <v>633.385040693808</v>
      </c>
      <c r="L83" s="14" t="n">
        <f aca="false">L10</f>
        <v>652.386591914623</v>
      </c>
      <c r="M83" s="14" t="n">
        <f aca="false">M10</f>
        <v>671.958189672061</v>
      </c>
      <c r="N83" s="14" t="n">
        <f aca="false">N10</f>
        <v>692.116935362223</v>
      </c>
      <c r="O83" s="14" t="n">
        <f aca="false">O10</f>
        <v>712.88044342309</v>
      </c>
      <c r="P83" s="14" t="n">
        <f aca="false">P10</f>
        <v>734.266856725782</v>
      </c>
      <c r="Q83" s="14" t="n">
        <f aca="false">Q10</f>
        <v>756.294862427556</v>
      </c>
      <c r="R83" s="14" t="n">
        <f aca="false">R10</f>
        <v>778.983708300383</v>
      </c>
      <c r="S83" s="14" t="n">
        <f aca="false">S10</f>
        <v>802.353219549394</v>
      </c>
      <c r="T83" s="14" t="n">
        <f aca="false">T10</f>
        <v>826.423816135876</v>
      </c>
      <c r="U83" s="14" t="n">
        <f aca="false">U10</f>
        <v>851.216530619952</v>
      </c>
      <c r="V83" s="14" t="n">
        <f aca="false">V10</f>
        <v>876.753026538551</v>
      </c>
      <c r="W83" s="14" t="n">
        <f aca="false">W10</f>
        <v>903.055617334707</v>
      </c>
      <c r="X83" s="14" t="n">
        <f aca="false">X10</f>
        <v>930.147285854749</v>
      </c>
      <c r="Y83" s="14" t="n">
        <f aca="false">Y10</f>
        <v>958.051704430391</v>
      </c>
      <c r="Z83" s="14" t="n">
        <f aca="false">Z10</f>
        <v>986.793255563303</v>
      </c>
      <c r="AA83" s="14" t="n">
        <f aca="false">AA10</f>
        <v>1016.3970532302</v>
      </c>
      <c r="AB83" s="14" t="n">
        <f aca="false">AB10</f>
        <v>1046.88896482711</v>
      </c>
      <c r="AC83" s="14" t="n">
        <f aca="false">AC10</f>
        <v>1078.29563377192</v>
      </c>
      <c r="AD83" s="14" t="n">
        <f aca="false">AD10</f>
        <v>1110.64450278508</v>
      </c>
      <c r="AE83" s="14" t="n">
        <f aca="false">AE10</f>
        <v>1143.96383786863</v>
      </c>
      <c r="AF83" s="14" t="n">
        <f aca="false">AF10</f>
        <v>1178.28275300469</v>
      </c>
      <c r="AG83" s="14" t="n">
        <f aca="false">AG10</f>
        <v>1213.63123559483</v>
      </c>
      <c r="AH83" s="14" t="n">
        <f aca="false">AH10</f>
        <v>1250.04017266268</v>
      </c>
      <c r="AI83" s="14" t="n">
        <f aca="false">AI10</f>
        <v>1287.54137784256</v>
      </c>
      <c r="AJ83" s="14" t="n">
        <f aca="false">AJ10</f>
        <v>1326.16761917783</v>
      </c>
      <c r="AK83" s="14" t="n">
        <f aca="false">AK10</f>
        <v>1365.95264775317</v>
      </c>
      <c r="AL83" s="14" t="n">
        <f aca="false">AL10</f>
        <v>1406.93122718576</v>
      </c>
    </row>
    <row r="84" customFormat="false" ht="15" hidden="false" customHeight="false" outlineLevel="0" collapsed="false">
      <c r="A84" s="6" t="s">
        <v>482</v>
      </c>
      <c r="B84" s="2" t="s">
        <v>483</v>
      </c>
      <c r="C84" s="14" t="n">
        <f aca="false">C8</f>
        <v>0</v>
      </c>
      <c r="D84" s="14" t="n">
        <f aca="false">D8</f>
        <v>0</v>
      </c>
      <c r="E84" s="14" t="n">
        <f aca="false">E8</f>
        <v>0</v>
      </c>
      <c r="F84" s="14" t="n">
        <f aca="false">F8</f>
        <v>500</v>
      </c>
      <c r="G84" s="14" t="n">
        <f aca="false">G8</f>
        <v>525</v>
      </c>
      <c r="H84" s="14" t="n">
        <f aca="false">H8</f>
        <v>551.25</v>
      </c>
      <c r="I84" s="14" t="n">
        <f aca="false">I8</f>
        <v>578.8125</v>
      </c>
      <c r="J84" s="14" t="n">
        <f aca="false">J8</f>
        <v>607.753125</v>
      </c>
      <c r="K84" s="14" t="n">
        <f aca="false">K8</f>
        <v>638.14078125</v>
      </c>
      <c r="L84" s="14" t="n">
        <f aca="false">L8</f>
        <v>670.0478203125</v>
      </c>
      <c r="M84" s="14" t="n">
        <f aca="false">M8</f>
        <v>703.550211328125</v>
      </c>
      <c r="N84" s="14" t="n">
        <f aca="false">N8</f>
        <v>738.727721894532</v>
      </c>
      <c r="O84" s="14" t="n">
        <f aca="false">O8</f>
        <v>775.664107989258</v>
      </c>
      <c r="P84" s="14" t="n">
        <f aca="false">P8</f>
        <v>814.447313388721</v>
      </c>
      <c r="Q84" s="14" t="n">
        <f aca="false">Q8</f>
        <v>855.169679058157</v>
      </c>
      <c r="R84" s="14" t="n">
        <f aca="false">R8</f>
        <v>897.928163011065</v>
      </c>
      <c r="S84" s="14" t="n">
        <f aca="false">S8</f>
        <v>942.824571161618</v>
      </c>
      <c r="T84" s="14" t="n">
        <f aca="false">T8</f>
        <v>989.965799719699</v>
      </c>
      <c r="U84" s="14" t="n">
        <f aca="false">U8</f>
        <v>1039.46408970568</v>
      </c>
      <c r="V84" s="14" t="n">
        <f aca="false">V8</f>
        <v>1091.43729419097</v>
      </c>
      <c r="W84" s="14" t="n">
        <f aca="false">W8</f>
        <v>1146.00915890052</v>
      </c>
      <c r="X84" s="14" t="n">
        <f aca="false">X8</f>
        <v>1203.30961684554</v>
      </c>
      <c r="Y84" s="14" t="n">
        <f aca="false">Y8</f>
        <v>1263.47509768782</v>
      </c>
      <c r="Z84" s="14" t="n">
        <f aca="false">Z8</f>
        <v>1326.64885257221</v>
      </c>
      <c r="AA84" s="14" t="n">
        <f aca="false">AA8</f>
        <v>1392.98129520082</v>
      </c>
      <c r="AB84" s="14" t="n">
        <f aca="false">AB8</f>
        <v>1462.63035996086</v>
      </c>
      <c r="AC84" s="14" t="n">
        <f aca="false">AC8</f>
        <v>1535.76187795891</v>
      </c>
      <c r="AD84" s="14" t="n">
        <f aca="false">AD8</f>
        <v>1612.54997185685</v>
      </c>
      <c r="AE84" s="14" t="n">
        <f aca="false">AE8</f>
        <v>1693.17747044969</v>
      </c>
      <c r="AF84" s="14" t="n">
        <f aca="false">AF8</f>
        <v>1777.83634397218</v>
      </c>
      <c r="AG84" s="14" t="n">
        <f aca="false">AG8</f>
        <v>1866.72816117079</v>
      </c>
      <c r="AH84" s="14" t="n">
        <f aca="false">AH8</f>
        <v>1960.06456922933</v>
      </c>
      <c r="AI84" s="14" t="n">
        <f aca="false">AI8</f>
        <v>2058.06779769079</v>
      </c>
      <c r="AJ84" s="14" t="n">
        <f aca="false">AJ8</f>
        <v>2160.97118757533</v>
      </c>
      <c r="AK84" s="14" t="n">
        <f aca="false">AK8</f>
        <v>2269.0197469541</v>
      </c>
      <c r="AL84" s="14" t="n">
        <f aca="false">AL8</f>
        <v>2382.47073430181</v>
      </c>
    </row>
    <row r="85" customFormat="false" ht="15" hidden="false" customHeight="false" outlineLevel="0" collapsed="false">
      <c r="A85" s="6" t="s">
        <v>484</v>
      </c>
      <c r="B85" s="2" t="s">
        <v>485</v>
      </c>
      <c r="C85" s="14" t="n">
        <f aca="false">Assumptions!$E$92</f>
        <v>150</v>
      </c>
      <c r="D85" s="14" t="n">
        <f aca="false">Assumptions!$E$92</f>
        <v>150</v>
      </c>
      <c r="E85" s="14" t="n">
        <f aca="false">Assumptions!$E$92</f>
        <v>150</v>
      </c>
      <c r="F85" s="14" t="n">
        <f aca="false">Assumptions!$E$92</f>
        <v>150</v>
      </c>
      <c r="G85" s="14" t="n">
        <f aca="false">Assumptions!$E$92</f>
        <v>150</v>
      </c>
      <c r="H85" s="14" t="n">
        <f aca="false">Assumptions!$E$92</f>
        <v>150</v>
      </c>
      <c r="I85" s="14" t="n">
        <f aca="false">Assumptions!$E$92</f>
        <v>150</v>
      </c>
      <c r="J85" s="14" t="n">
        <f aca="false">Assumptions!$E$92</f>
        <v>150</v>
      </c>
      <c r="K85" s="14" t="n">
        <f aca="false">Assumptions!$E$92</f>
        <v>150</v>
      </c>
      <c r="L85" s="14" t="n">
        <f aca="false">Assumptions!$E$92</f>
        <v>150</v>
      </c>
      <c r="M85" s="14" t="n">
        <f aca="false">Assumptions!$E$92</f>
        <v>150</v>
      </c>
      <c r="N85" s="14" t="n">
        <f aca="false">Assumptions!$E$92</f>
        <v>150</v>
      </c>
      <c r="O85" s="14" t="n">
        <f aca="false">Assumptions!$E$92</f>
        <v>150</v>
      </c>
      <c r="P85" s="14" t="n">
        <f aca="false">Assumptions!$E$92</f>
        <v>150</v>
      </c>
      <c r="Q85" s="14" t="n">
        <f aca="false">Assumptions!$E$92</f>
        <v>150</v>
      </c>
      <c r="R85" s="14" t="n">
        <f aca="false">Assumptions!$E$92</f>
        <v>150</v>
      </c>
      <c r="S85" s="14" t="n">
        <f aca="false">Assumptions!$E$92</f>
        <v>150</v>
      </c>
      <c r="T85" s="14" t="n">
        <f aca="false">Assumptions!$E$92</f>
        <v>150</v>
      </c>
      <c r="U85" s="14" t="n">
        <f aca="false">Assumptions!$E$92</f>
        <v>150</v>
      </c>
      <c r="V85" s="14" t="n">
        <f aca="false">Assumptions!$E$92</f>
        <v>150</v>
      </c>
      <c r="W85" s="14" t="n">
        <f aca="false">Assumptions!$E$92</f>
        <v>150</v>
      </c>
      <c r="X85" s="14" t="n">
        <f aca="false">Assumptions!$E$92</f>
        <v>150</v>
      </c>
      <c r="Y85" s="14" t="n">
        <f aca="false">Assumptions!$E$92</f>
        <v>150</v>
      </c>
      <c r="Z85" s="14" t="n">
        <f aca="false">Assumptions!$E$92</f>
        <v>150</v>
      </c>
      <c r="AA85" s="14" t="n">
        <f aca="false">Assumptions!$E$92</f>
        <v>150</v>
      </c>
      <c r="AB85" s="14" t="n">
        <f aca="false">Assumptions!$E$92</f>
        <v>150</v>
      </c>
      <c r="AC85" s="14" t="n">
        <f aca="false">Assumptions!$E$92</f>
        <v>150</v>
      </c>
      <c r="AD85" s="14" t="n">
        <f aca="false">Assumptions!$E$92</f>
        <v>150</v>
      </c>
      <c r="AE85" s="14" t="n">
        <f aca="false">Assumptions!$E$92</f>
        <v>150</v>
      </c>
      <c r="AF85" s="14" t="n">
        <f aca="false">Assumptions!$E$92</f>
        <v>150</v>
      </c>
      <c r="AG85" s="14" t="n">
        <f aca="false">Assumptions!$E$92</f>
        <v>150</v>
      </c>
      <c r="AH85" s="14" t="n">
        <f aca="false">Assumptions!$E$92</f>
        <v>150</v>
      </c>
      <c r="AI85" s="14" t="n">
        <f aca="false">Assumptions!$E$92</f>
        <v>150</v>
      </c>
      <c r="AJ85" s="14" t="n">
        <f aca="false">Assumptions!$E$92</f>
        <v>150</v>
      </c>
      <c r="AK85" s="14" t="n">
        <f aca="false">Assumptions!$E$92</f>
        <v>150</v>
      </c>
      <c r="AL85" s="14" t="n">
        <f aca="false">Assumptions!$E$92</f>
        <v>150</v>
      </c>
    </row>
    <row r="86" customFormat="false" ht="15" hidden="false" customHeight="false" outlineLevel="0" collapsed="false">
      <c r="A86" s="6" t="s">
        <v>486</v>
      </c>
      <c r="B86" s="2" t="s">
        <v>487</v>
      </c>
      <c r="C86" s="14" t="n">
        <f aca="false">(((IF((C$2=1),(((Assumptions!$E$93+Assumptions!$E$94)+Assumptions!$E$95)+Assumptions!$E$96),0)+Assumptions!$E$97)+IF(AND((C$2&gt;1),(MOD((C$2-1),12)=0)),Assumptions!$E$98,0))+IF(AND((Assumptions!$E$11=1),(C$2&gt;=Assumptions!$E$99)),Assumptions!$E$100,0))</f>
        <v>3800</v>
      </c>
      <c r="D86" s="14" t="n">
        <f aca="false">(((IF((D$2=1),(((Assumptions!$E$93+Assumptions!$E$94)+Assumptions!$E$95)+Assumptions!$E$96),0)+Assumptions!$E$97)+IF(AND((D$2&gt;1),(MOD((D$2-1),12)=0)),Assumptions!$E$98,0))+IF(AND((Assumptions!$E$11=1),(D$2&gt;=Assumptions!$E$99)),Assumptions!$E$100,0))</f>
        <v>100</v>
      </c>
      <c r="E86" s="14" t="n">
        <f aca="false">(((IF((E$2=1),(((Assumptions!$E$93+Assumptions!$E$94)+Assumptions!$E$95)+Assumptions!$E$96),0)+Assumptions!$E$97)+IF(AND((E$2&gt;1),(MOD((E$2-1),12)=0)),Assumptions!$E$98,0))+IF(AND((Assumptions!$E$11=1),(E$2&gt;=Assumptions!$E$99)),Assumptions!$E$100,0))</f>
        <v>100</v>
      </c>
      <c r="F86" s="14" t="n">
        <f aca="false">(((IF((F$2=1),(((Assumptions!$E$93+Assumptions!$E$94)+Assumptions!$E$95)+Assumptions!$E$96),0)+Assumptions!$E$97)+IF(AND((F$2&gt;1),(MOD((F$2-1),12)=0)),Assumptions!$E$98,0))+IF(AND((Assumptions!$E$11=1),(F$2&gt;=Assumptions!$E$99)),Assumptions!$E$100,0))</f>
        <v>100</v>
      </c>
      <c r="G86" s="14" t="n">
        <f aca="false">(((IF((G$2=1),(((Assumptions!$E$93+Assumptions!$E$94)+Assumptions!$E$95)+Assumptions!$E$96),0)+Assumptions!$E$97)+IF(AND((G$2&gt;1),(MOD((G$2-1),12)=0)),Assumptions!$E$98,0))+IF(AND((Assumptions!$E$11=1),(G$2&gt;=Assumptions!$E$99)),Assumptions!$E$100,0))</f>
        <v>100</v>
      </c>
      <c r="H86" s="14" t="n">
        <f aca="false">(((IF((H$2=1),(((Assumptions!$E$93+Assumptions!$E$94)+Assumptions!$E$95)+Assumptions!$E$96),0)+Assumptions!$E$97)+IF(AND((H$2&gt;1),(MOD((H$2-1),12)=0)),Assumptions!$E$98,0))+IF(AND((Assumptions!$E$11=1),(H$2&gt;=Assumptions!$E$99)),Assumptions!$E$100,0))</f>
        <v>100</v>
      </c>
      <c r="I86" s="14" t="n">
        <f aca="false">(((IF((I$2=1),(((Assumptions!$E$93+Assumptions!$E$94)+Assumptions!$E$95)+Assumptions!$E$96),0)+Assumptions!$E$97)+IF(AND((I$2&gt;1),(MOD((I$2-1),12)=0)),Assumptions!$E$98,0))+IF(AND((Assumptions!$E$11=1),(I$2&gt;=Assumptions!$E$99)),Assumptions!$E$100,0))</f>
        <v>100</v>
      </c>
      <c r="J86" s="14" t="n">
        <f aca="false">(((IF((J$2=1),(((Assumptions!$E$93+Assumptions!$E$94)+Assumptions!$E$95)+Assumptions!$E$96),0)+Assumptions!$E$97)+IF(AND((J$2&gt;1),(MOD((J$2-1),12)=0)),Assumptions!$E$98,0))+IF(AND((Assumptions!$E$11=1),(J$2&gt;=Assumptions!$E$99)),Assumptions!$E$100,0))</f>
        <v>100</v>
      </c>
      <c r="K86" s="14" t="n">
        <f aca="false">(((IF((K$2=1),(((Assumptions!$E$93+Assumptions!$E$94)+Assumptions!$E$95)+Assumptions!$E$96),0)+Assumptions!$E$97)+IF(AND((K$2&gt;1),(MOD((K$2-1),12)=0)),Assumptions!$E$98,0))+IF(AND((Assumptions!$E$11=1),(K$2&gt;=Assumptions!$E$99)),Assumptions!$E$100,0))</f>
        <v>100</v>
      </c>
      <c r="L86" s="14" t="n">
        <f aca="false">(((IF((L$2=1),(((Assumptions!$E$93+Assumptions!$E$94)+Assumptions!$E$95)+Assumptions!$E$96),0)+Assumptions!$E$97)+IF(AND((L$2&gt;1),(MOD((L$2-1),12)=0)),Assumptions!$E$98,0))+IF(AND((Assumptions!$E$11=1),(L$2&gt;=Assumptions!$E$99)),Assumptions!$E$100,0))</f>
        <v>100</v>
      </c>
      <c r="M86" s="14" t="n">
        <f aca="false">(((IF((M$2=1),(((Assumptions!$E$93+Assumptions!$E$94)+Assumptions!$E$95)+Assumptions!$E$96),0)+Assumptions!$E$97)+IF(AND((M$2&gt;1),(MOD((M$2-1),12)=0)),Assumptions!$E$98,0))+IF(AND((Assumptions!$E$11=1),(M$2&gt;=Assumptions!$E$99)),Assumptions!$E$100,0))</f>
        <v>100</v>
      </c>
      <c r="N86" s="14" t="n">
        <f aca="false">(((IF((N$2=1),(((Assumptions!$E$93+Assumptions!$E$94)+Assumptions!$E$95)+Assumptions!$E$96),0)+Assumptions!$E$97)+IF(AND((N$2&gt;1),(MOD((N$2-1),12)=0)),Assumptions!$E$98,0))+IF(AND((Assumptions!$E$11=1),(N$2&gt;=Assumptions!$E$99)),Assumptions!$E$100,0))</f>
        <v>100</v>
      </c>
      <c r="O86" s="14" t="n">
        <f aca="false">(((IF((O$2=1),(((Assumptions!$E$93+Assumptions!$E$94)+Assumptions!$E$95)+Assumptions!$E$96),0)+Assumptions!$E$97)+IF(AND((O$2&gt;1),(MOD((O$2-1),12)=0)),Assumptions!$E$98,0))+IF(AND((Assumptions!$E$11=1),(O$2&gt;=Assumptions!$E$99)),Assumptions!$E$100,0))</f>
        <v>1100</v>
      </c>
      <c r="P86" s="14" t="n">
        <f aca="false">(((IF((P$2=1),(((Assumptions!$E$93+Assumptions!$E$94)+Assumptions!$E$95)+Assumptions!$E$96),0)+Assumptions!$E$97)+IF(AND((P$2&gt;1),(MOD((P$2-1),12)=0)),Assumptions!$E$98,0))+IF(AND((Assumptions!$E$11=1),(P$2&gt;=Assumptions!$E$99)),Assumptions!$E$100,0))</f>
        <v>100</v>
      </c>
      <c r="Q86" s="14" t="n">
        <f aca="false">(((IF((Q$2=1),(((Assumptions!$E$93+Assumptions!$E$94)+Assumptions!$E$95)+Assumptions!$E$96),0)+Assumptions!$E$97)+IF(AND((Q$2&gt;1),(MOD((Q$2-1),12)=0)),Assumptions!$E$98,0))+IF(AND((Assumptions!$E$11=1),(Q$2&gt;=Assumptions!$E$99)),Assumptions!$E$100,0))</f>
        <v>100</v>
      </c>
      <c r="R86" s="14" t="n">
        <f aca="false">(((IF((R$2=1),(((Assumptions!$E$93+Assumptions!$E$94)+Assumptions!$E$95)+Assumptions!$E$96),0)+Assumptions!$E$97)+IF(AND((R$2&gt;1),(MOD((R$2-1),12)=0)),Assumptions!$E$98,0))+IF(AND((Assumptions!$E$11=1),(R$2&gt;=Assumptions!$E$99)),Assumptions!$E$100,0))</f>
        <v>100</v>
      </c>
      <c r="S86" s="14" t="n">
        <f aca="false">(((IF((S$2=1),(((Assumptions!$E$93+Assumptions!$E$94)+Assumptions!$E$95)+Assumptions!$E$96),0)+Assumptions!$E$97)+IF(AND((S$2&gt;1),(MOD((S$2-1),12)=0)),Assumptions!$E$98,0))+IF(AND((Assumptions!$E$11=1),(S$2&gt;=Assumptions!$E$99)),Assumptions!$E$100,0))</f>
        <v>100</v>
      </c>
      <c r="T86" s="14" t="n">
        <f aca="false">(((IF((T$2=1),(((Assumptions!$E$93+Assumptions!$E$94)+Assumptions!$E$95)+Assumptions!$E$96),0)+Assumptions!$E$97)+IF(AND((T$2&gt;1),(MOD((T$2-1),12)=0)),Assumptions!$E$98,0))+IF(AND((Assumptions!$E$11=1),(T$2&gt;=Assumptions!$E$99)),Assumptions!$E$100,0))</f>
        <v>100</v>
      </c>
      <c r="U86" s="14" t="n">
        <f aca="false">(((IF((U$2=1),(((Assumptions!$E$93+Assumptions!$E$94)+Assumptions!$E$95)+Assumptions!$E$96),0)+Assumptions!$E$97)+IF(AND((U$2&gt;1),(MOD((U$2-1),12)=0)),Assumptions!$E$98,0))+IF(AND((Assumptions!$E$11=1),(U$2&gt;=Assumptions!$E$99)),Assumptions!$E$100,0))</f>
        <v>100</v>
      </c>
      <c r="V86" s="14" t="n">
        <f aca="false">(((IF((V$2=1),(((Assumptions!$E$93+Assumptions!$E$94)+Assumptions!$E$95)+Assumptions!$E$96),0)+Assumptions!$E$97)+IF(AND((V$2&gt;1),(MOD((V$2-1),12)=0)),Assumptions!$E$98,0))+IF(AND((Assumptions!$E$11=1),(V$2&gt;=Assumptions!$E$99)),Assumptions!$E$100,0))</f>
        <v>100</v>
      </c>
      <c r="W86" s="14" t="n">
        <f aca="false">(((IF((W$2=1),(((Assumptions!$E$93+Assumptions!$E$94)+Assumptions!$E$95)+Assumptions!$E$96),0)+Assumptions!$E$97)+IF(AND((W$2&gt;1),(MOD((W$2-1),12)=0)),Assumptions!$E$98,0))+IF(AND((Assumptions!$E$11=1),(W$2&gt;=Assumptions!$E$99)),Assumptions!$E$100,0))</f>
        <v>100</v>
      </c>
      <c r="X86" s="14" t="n">
        <f aca="false">(((IF((X$2=1),(((Assumptions!$E$93+Assumptions!$E$94)+Assumptions!$E$95)+Assumptions!$E$96),0)+Assumptions!$E$97)+IF(AND((X$2&gt;1),(MOD((X$2-1),12)=0)),Assumptions!$E$98,0))+IF(AND((Assumptions!$E$11=1),(X$2&gt;=Assumptions!$E$99)),Assumptions!$E$100,0))</f>
        <v>100</v>
      </c>
      <c r="Y86" s="14" t="n">
        <f aca="false">(((IF((Y$2=1),(((Assumptions!$E$93+Assumptions!$E$94)+Assumptions!$E$95)+Assumptions!$E$96),0)+Assumptions!$E$97)+IF(AND((Y$2&gt;1),(MOD((Y$2-1),12)=0)),Assumptions!$E$98,0))+IF(AND((Assumptions!$E$11=1),(Y$2&gt;=Assumptions!$E$99)),Assumptions!$E$100,0))</f>
        <v>100</v>
      </c>
      <c r="Z86" s="14" t="n">
        <f aca="false">(((IF((Z$2=1),(((Assumptions!$E$93+Assumptions!$E$94)+Assumptions!$E$95)+Assumptions!$E$96),0)+Assumptions!$E$97)+IF(AND((Z$2&gt;1),(MOD((Z$2-1),12)=0)),Assumptions!$E$98,0))+IF(AND((Assumptions!$E$11=1),(Z$2&gt;=Assumptions!$E$99)),Assumptions!$E$100,0))</f>
        <v>100</v>
      </c>
      <c r="AA86" s="14" t="n">
        <f aca="false">(((IF((AA$2=1),(((Assumptions!$E$93+Assumptions!$E$94)+Assumptions!$E$95)+Assumptions!$E$96),0)+Assumptions!$E$97)+IF(AND((AA$2&gt;1),(MOD((AA$2-1),12)=0)),Assumptions!$E$98,0))+IF(AND((Assumptions!$E$11=1),(AA$2&gt;=Assumptions!$E$99)),Assumptions!$E$100,0))</f>
        <v>1100</v>
      </c>
      <c r="AB86" s="14" t="n">
        <f aca="false">(((IF((AB$2=1),(((Assumptions!$E$93+Assumptions!$E$94)+Assumptions!$E$95)+Assumptions!$E$96),0)+Assumptions!$E$97)+IF(AND((AB$2&gt;1),(MOD((AB$2-1),12)=0)),Assumptions!$E$98,0))+IF(AND((Assumptions!$E$11=1),(AB$2&gt;=Assumptions!$E$99)),Assumptions!$E$100,0))</f>
        <v>100</v>
      </c>
      <c r="AC86" s="14" t="n">
        <f aca="false">(((IF((AC$2=1),(((Assumptions!$E$93+Assumptions!$E$94)+Assumptions!$E$95)+Assumptions!$E$96),0)+Assumptions!$E$97)+IF(AND((AC$2&gt;1),(MOD((AC$2-1),12)=0)),Assumptions!$E$98,0))+IF(AND((Assumptions!$E$11=1),(AC$2&gt;=Assumptions!$E$99)),Assumptions!$E$100,0))</f>
        <v>100</v>
      </c>
      <c r="AD86" s="14" t="n">
        <f aca="false">(((IF((AD$2=1),(((Assumptions!$E$93+Assumptions!$E$94)+Assumptions!$E$95)+Assumptions!$E$96),0)+Assumptions!$E$97)+IF(AND((AD$2&gt;1),(MOD((AD$2-1),12)=0)),Assumptions!$E$98,0))+IF(AND((Assumptions!$E$11=1),(AD$2&gt;=Assumptions!$E$99)),Assumptions!$E$100,0))</f>
        <v>100</v>
      </c>
      <c r="AE86" s="14" t="n">
        <f aca="false">(((IF((AE$2=1),(((Assumptions!$E$93+Assumptions!$E$94)+Assumptions!$E$95)+Assumptions!$E$96),0)+Assumptions!$E$97)+IF(AND((AE$2&gt;1),(MOD((AE$2-1),12)=0)),Assumptions!$E$98,0))+IF(AND((Assumptions!$E$11=1),(AE$2&gt;=Assumptions!$E$99)),Assumptions!$E$100,0))</f>
        <v>100</v>
      </c>
      <c r="AF86" s="14" t="n">
        <f aca="false">(((IF((AF$2=1),(((Assumptions!$E$93+Assumptions!$E$94)+Assumptions!$E$95)+Assumptions!$E$96),0)+Assumptions!$E$97)+IF(AND((AF$2&gt;1),(MOD((AF$2-1),12)=0)),Assumptions!$E$98,0))+IF(AND((Assumptions!$E$11=1),(AF$2&gt;=Assumptions!$E$99)),Assumptions!$E$100,0))</f>
        <v>100</v>
      </c>
      <c r="AG86" s="14" t="n">
        <f aca="false">(((IF((AG$2=1),(((Assumptions!$E$93+Assumptions!$E$94)+Assumptions!$E$95)+Assumptions!$E$96),0)+Assumptions!$E$97)+IF(AND((AG$2&gt;1),(MOD((AG$2-1),12)=0)),Assumptions!$E$98,0))+IF(AND((Assumptions!$E$11=1),(AG$2&gt;=Assumptions!$E$99)),Assumptions!$E$100,0))</f>
        <v>100</v>
      </c>
      <c r="AH86" s="14" t="n">
        <f aca="false">(((IF((AH$2=1),(((Assumptions!$E$93+Assumptions!$E$94)+Assumptions!$E$95)+Assumptions!$E$96),0)+Assumptions!$E$97)+IF(AND((AH$2&gt;1),(MOD((AH$2-1),12)=0)),Assumptions!$E$98,0))+IF(AND((Assumptions!$E$11=1),(AH$2&gt;=Assumptions!$E$99)),Assumptions!$E$100,0))</f>
        <v>100</v>
      </c>
      <c r="AI86" s="14" t="n">
        <f aca="false">(((IF((AI$2=1),(((Assumptions!$E$93+Assumptions!$E$94)+Assumptions!$E$95)+Assumptions!$E$96),0)+Assumptions!$E$97)+IF(AND((AI$2&gt;1),(MOD((AI$2-1),12)=0)),Assumptions!$E$98,0))+IF(AND((Assumptions!$E$11=1),(AI$2&gt;=Assumptions!$E$99)),Assumptions!$E$100,0))</f>
        <v>100</v>
      </c>
      <c r="AJ86" s="14" t="n">
        <f aca="false">(((IF((AJ$2=1),(((Assumptions!$E$93+Assumptions!$E$94)+Assumptions!$E$95)+Assumptions!$E$96),0)+Assumptions!$E$97)+IF(AND((AJ$2&gt;1),(MOD((AJ$2-1),12)=0)),Assumptions!$E$98,0))+IF(AND((Assumptions!$E$11=1),(AJ$2&gt;=Assumptions!$E$99)),Assumptions!$E$100,0))</f>
        <v>100</v>
      </c>
      <c r="AK86" s="14" t="n">
        <f aca="false">(((IF((AK$2=1),(((Assumptions!$E$93+Assumptions!$E$94)+Assumptions!$E$95)+Assumptions!$E$96),0)+Assumptions!$E$97)+IF(AND((AK$2&gt;1),(MOD((AK$2-1),12)=0)),Assumptions!$E$98,0))+IF(AND((Assumptions!$E$11=1),(AK$2&gt;=Assumptions!$E$99)),Assumptions!$E$100,0))</f>
        <v>100</v>
      </c>
      <c r="AL86" s="14" t="n">
        <f aca="false">(((IF((AL$2=1),(((Assumptions!$E$93+Assumptions!$E$94)+Assumptions!$E$95)+Assumptions!$E$96),0)+Assumptions!$E$97)+IF(AND((AL$2&gt;1),(MOD((AL$2-1),12)=0)),Assumptions!$E$98,0))+IF(AND((Assumptions!$E$11=1),(AL$2&gt;=Assumptions!$E$99)),Assumptions!$E$100,0))</f>
        <v>100</v>
      </c>
    </row>
    <row r="87" customFormat="false" ht="15" hidden="false" customHeight="false" outlineLevel="0" collapsed="false">
      <c r="A87" s="6" t="s">
        <v>488</v>
      </c>
      <c r="B87" s="2" t="s">
        <v>489</v>
      </c>
      <c r="C87" s="14" t="n">
        <f aca="false">CHOOSE(C$3,Assumptions!$E$101,Assumptions!$E$102,Assumptions!$E$103)</f>
        <v>150</v>
      </c>
      <c r="D87" s="14" t="n">
        <f aca="false">CHOOSE(D$3,Assumptions!$E$101,Assumptions!$E$102,Assumptions!$E$103)</f>
        <v>150</v>
      </c>
      <c r="E87" s="14" t="n">
        <f aca="false">CHOOSE(E$3,Assumptions!$E$101,Assumptions!$E$102,Assumptions!$E$103)</f>
        <v>150</v>
      </c>
      <c r="F87" s="14" t="n">
        <f aca="false">CHOOSE(F$3,Assumptions!$E$101,Assumptions!$E$102,Assumptions!$E$103)</f>
        <v>150</v>
      </c>
      <c r="G87" s="14" t="n">
        <f aca="false">CHOOSE(G$3,Assumptions!$E$101,Assumptions!$E$102,Assumptions!$E$103)</f>
        <v>150</v>
      </c>
      <c r="H87" s="14" t="n">
        <f aca="false">CHOOSE(H$3,Assumptions!$E$101,Assumptions!$E$102,Assumptions!$E$103)</f>
        <v>150</v>
      </c>
      <c r="I87" s="14" t="n">
        <f aca="false">CHOOSE(I$3,Assumptions!$E$101,Assumptions!$E$102,Assumptions!$E$103)</f>
        <v>150</v>
      </c>
      <c r="J87" s="14" t="n">
        <f aca="false">CHOOSE(J$3,Assumptions!$E$101,Assumptions!$E$102,Assumptions!$E$103)</f>
        <v>150</v>
      </c>
      <c r="K87" s="14" t="n">
        <f aca="false">CHOOSE(K$3,Assumptions!$E$101,Assumptions!$E$102,Assumptions!$E$103)</f>
        <v>150</v>
      </c>
      <c r="L87" s="14" t="n">
        <f aca="false">CHOOSE(L$3,Assumptions!$E$101,Assumptions!$E$102,Assumptions!$E$103)</f>
        <v>150</v>
      </c>
      <c r="M87" s="14" t="n">
        <f aca="false">CHOOSE(M$3,Assumptions!$E$101,Assumptions!$E$102,Assumptions!$E$103)</f>
        <v>150</v>
      </c>
      <c r="N87" s="14" t="n">
        <f aca="false">CHOOSE(N$3,Assumptions!$E$101,Assumptions!$E$102,Assumptions!$E$103)</f>
        <v>150</v>
      </c>
      <c r="O87" s="14" t="n">
        <f aca="false">CHOOSE(O$3,Assumptions!$E$101,Assumptions!$E$102,Assumptions!$E$103)</f>
        <v>250</v>
      </c>
      <c r="P87" s="14" t="n">
        <f aca="false">CHOOSE(P$3,Assumptions!$E$101,Assumptions!$E$102,Assumptions!$E$103)</f>
        <v>250</v>
      </c>
      <c r="Q87" s="14" t="n">
        <f aca="false">CHOOSE(Q$3,Assumptions!$E$101,Assumptions!$E$102,Assumptions!$E$103)</f>
        <v>250</v>
      </c>
      <c r="R87" s="14" t="n">
        <f aca="false">CHOOSE(R$3,Assumptions!$E$101,Assumptions!$E$102,Assumptions!$E$103)</f>
        <v>250</v>
      </c>
      <c r="S87" s="14" t="n">
        <f aca="false">CHOOSE(S$3,Assumptions!$E$101,Assumptions!$E$102,Assumptions!$E$103)</f>
        <v>250</v>
      </c>
      <c r="T87" s="14" t="n">
        <f aca="false">CHOOSE(T$3,Assumptions!$E$101,Assumptions!$E$102,Assumptions!$E$103)</f>
        <v>250</v>
      </c>
      <c r="U87" s="14" t="n">
        <f aca="false">CHOOSE(U$3,Assumptions!$E$101,Assumptions!$E$102,Assumptions!$E$103)</f>
        <v>250</v>
      </c>
      <c r="V87" s="14" t="n">
        <f aca="false">CHOOSE(V$3,Assumptions!$E$101,Assumptions!$E$102,Assumptions!$E$103)</f>
        <v>250</v>
      </c>
      <c r="W87" s="14" t="n">
        <f aca="false">CHOOSE(W$3,Assumptions!$E$101,Assumptions!$E$102,Assumptions!$E$103)</f>
        <v>250</v>
      </c>
      <c r="X87" s="14" t="n">
        <f aca="false">CHOOSE(X$3,Assumptions!$E$101,Assumptions!$E$102,Assumptions!$E$103)</f>
        <v>250</v>
      </c>
      <c r="Y87" s="14" t="n">
        <f aca="false">CHOOSE(Y$3,Assumptions!$E$101,Assumptions!$E$102,Assumptions!$E$103)</f>
        <v>250</v>
      </c>
      <c r="Z87" s="14" t="n">
        <f aca="false">CHOOSE(Z$3,Assumptions!$E$101,Assumptions!$E$102,Assumptions!$E$103)</f>
        <v>250</v>
      </c>
      <c r="AA87" s="14" t="n">
        <f aca="false">CHOOSE(AA$3,Assumptions!$E$101,Assumptions!$E$102,Assumptions!$E$103)</f>
        <v>400</v>
      </c>
      <c r="AB87" s="14" t="n">
        <f aca="false">CHOOSE(AB$3,Assumptions!$E$101,Assumptions!$E$102,Assumptions!$E$103)</f>
        <v>400</v>
      </c>
      <c r="AC87" s="14" t="n">
        <f aca="false">CHOOSE(AC$3,Assumptions!$E$101,Assumptions!$E$102,Assumptions!$E$103)</f>
        <v>400</v>
      </c>
      <c r="AD87" s="14" t="n">
        <f aca="false">CHOOSE(AD$3,Assumptions!$E$101,Assumptions!$E$102,Assumptions!$E$103)</f>
        <v>400</v>
      </c>
      <c r="AE87" s="14" t="n">
        <f aca="false">CHOOSE(AE$3,Assumptions!$E$101,Assumptions!$E$102,Assumptions!$E$103)</f>
        <v>400</v>
      </c>
      <c r="AF87" s="14" t="n">
        <f aca="false">CHOOSE(AF$3,Assumptions!$E$101,Assumptions!$E$102,Assumptions!$E$103)</f>
        <v>400</v>
      </c>
      <c r="AG87" s="14" t="n">
        <f aca="false">CHOOSE(AG$3,Assumptions!$E$101,Assumptions!$E$102,Assumptions!$E$103)</f>
        <v>400</v>
      </c>
      <c r="AH87" s="14" t="n">
        <f aca="false">CHOOSE(AH$3,Assumptions!$E$101,Assumptions!$E$102,Assumptions!$E$103)</f>
        <v>400</v>
      </c>
      <c r="AI87" s="14" t="n">
        <f aca="false">CHOOSE(AI$3,Assumptions!$E$101,Assumptions!$E$102,Assumptions!$E$103)</f>
        <v>400</v>
      </c>
      <c r="AJ87" s="14" t="n">
        <f aca="false">CHOOSE(AJ$3,Assumptions!$E$101,Assumptions!$E$102,Assumptions!$E$103)</f>
        <v>400</v>
      </c>
      <c r="AK87" s="14" t="n">
        <f aca="false">CHOOSE(AK$3,Assumptions!$E$101,Assumptions!$E$102,Assumptions!$E$103)</f>
        <v>400</v>
      </c>
      <c r="AL87" s="14" t="n">
        <f aca="false">CHOOSE(AL$3,Assumptions!$E$101,Assumptions!$E$102,Assumptions!$E$103)</f>
        <v>400</v>
      </c>
    </row>
    <row r="88" customFormat="false" ht="15" hidden="false" customHeight="false" outlineLevel="0" collapsed="false">
      <c r="A88" s="6" t="s">
        <v>490</v>
      </c>
      <c r="B88" s="2" t="s">
        <v>491</v>
      </c>
      <c r="C88" s="14" t="n">
        <f aca="false">(IF((MOD((C$2-1),12)=0),Assumptions!$E$104,0)+IF((C$2=1),Assumptions!$E$105,0))</f>
        <v>124</v>
      </c>
      <c r="D88" s="14" t="n">
        <f aca="false">(IF((MOD((D$2-1),12)=0),Assumptions!$E$104,0)+IF((D$2=1),Assumptions!$E$105,0))</f>
        <v>0</v>
      </c>
      <c r="E88" s="14" t="n">
        <f aca="false">(IF((MOD((E$2-1),12)=0),Assumptions!$E$104,0)+IF((E$2=1),Assumptions!$E$105,0))</f>
        <v>0</v>
      </c>
      <c r="F88" s="14" t="n">
        <f aca="false">(IF((MOD((F$2-1),12)=0),Assumptions!$E$104,0)+IF((F$2=1),Assumptions!$E$105,0))</f>
        <v>0</v>
      </c>
      <c r="G88" s="14" t="n">
        <f aca="false">(IF((MOD((G$2-1),12)=0),Assumptions!$E$104,0)+IF((G$2=1),Assumptions!$E$105,0))</f>
        <v>0</v>
      </c>
      <c r="H88" s="14" t="n">
        <f aca="false">(IF((MOD((H$2-1),12)=0),Assumptions!$E$104,0)+IF((H$2=1),Assumptions!$E$105,0))</f>
        <v>0</v>
      </c>
      <c r="I88" s="14" t="n">
        <f aca="false">(IF((MOD((I$2-1),12)=0),Assumptions!$E$104,0)+IF((I$2=1),Assumptions!$E$105,0))</f>
        <v>0</v>
      </c>
      <c r="J88" s="14" t="n">
        <f aca="false">(IF((MOD((J$2-1),12)=0),Assumptions!$E$104,0)+IF((J$2=1),Assumptions!$E$105,0))</f>
        <v>0</v>
      </c>
      <c r="K88" s="14" t="n">
        <f aca="false">(IF((MOD((K$2-1),12)=0),Assumptions!$E$104,0)+IF((K$2=1),Assumptions!$E$105,0))</f>
        <v>0</v>
      </c>
      <c r="L88" s="14" t="n">
        <f aca="false">(IF((MOD((L$2-1),12)=0),Assumptions!$E$104,0)+IF((L$2=1),Assumptions!$E$105,0))</f>
        <v>0</v>
      </c>
      <c r="M88" s="14" t="n">
        <f aca="false">(IF((MOD((M$2-1),12)=0),Assumptions!$E$104,0)+IF((M$2=1),Assumptions!$E$105,0))</f>
        <v>0</v>
      </c>
      <c r="N88" s="14" t="n">
        <f aca="false">(IF((MOD((N$2-1),12)=0),Assumptions!$E$104,0)+IF((N$2=1),Assumptions!$E$105,0))</f>
        <v>0</v>
      </c>
      <c r="O88" s="14" t="n">
        <f aca="false">(IF((MOD((O$2-1),12)=0),Assumptions!$E$104,0)+IF((O$2=1),Assumptions!$E$105,0))</f>
        <v>99</v>
      </c>
      <c r="P88" s="14" t="n">
        <f aca="false">(IF((MOD((P$2-1),12)=0),Assumptions!$E$104,0)+IF((P$2=1),Assumptions!$E$105,0))</f>
        <v>0</v>
      </c>
      <c r="Q88" s="14" t="n">
        <f aca="false">(IF((MOD((Q$2-1),12)=0),Assumptions!$E$104,0)+IF((Q$2=1),Assumptions!$E$105,0))</f>
        <v>0</v>
      </c>
      <c r="R88" s="14" t="n">
        <f aca="false">(IF((MOD((R$2-1),12)=0),Assumptions!$E$104,0)+IF((R$2=1),Assumptions!$E$105,0))</f>
        <v>0</v>
      </c>
      <c r="S88" s="14" t="n">
        <f aca="false">(IF((MOD((S$2-1),12)=0),Assumptions!$E$104,0)+IF((S$2=1),Assumptions!$E$105,0))</f>
        <v>0</v>
      </c>
      <c r="T88" s="14" t="n">
        <f aca="false">(IF((MOD((T$2-1),12)=0),Assumptions!$E$104,0)+IF((T$2=1),Assumptions!$E$105,0))</f>
        <v>0</v>
      </c>
      <c r="U88" s="14" t="n">
        <f aca="false">(IF((MOD((U$2-1),12)=0),Assumptions!$E$104,0)+IF((U$2=1),Assumptions!$E$105,0))</f>
        <v>0</v>
      </c>
      <c r="V88" s="14" t="n">
        <f aca="false">(IF((MOD((V$2-1),12)=0),Assumptions!$E$104,0)+IF((V$2=1),Assumptions!$E$105,0))</f>
        <v>0</v>
      </c>
      <c r="W88" s="14" t="n">
        <f aca="false">(IF((MOD((W$2-1),12)=0),Assumptions!$E$104,0)+IF((W$2=1),Assumptions!$E$105,0))</f>
        <v>0</v>
      </c>
      <c r="X88" s="14" t="n">
        <f aca="false">(IF((MOD((X$2-1),12)=0),Assumptions!$E$104,0)+IF((X$2=1),Assumptions!$E$105,0))</f>
        <v>0</v>
      </c>
      <c r="Y88" s="14" t="n">
        <f aca="false">(IF((MOD((Y$2-1),12)=0),Assumptions!$E$104,0)+IF((Y$2=1),Assumptions!$E$105,0))</f>
        <v>0</v>
      </c>
      <c r="Z88" s="14" t="n">
        <f aca="false">(IF((MOD((Z$2-1),12)=0),Assumptions!$E$104,0)+IF((Z$2=1),Assumptions!$E$105,0))</f>
        <v>0</v>
      </c>
      <c r="AA88" s="14" t="n">
        <f aca="false">(IF((MOD((AA$2-1),12)=0),Assumptions!$E$104,0)+IF((AA$2=1),Assumptions!$E$105,0))</f>
        <v>99</v>
      </c>
      <c r="AB88" s="14" t="n">
        <f aca="false">(IF((MOD((AB$2-1),12)=0),Assumptions!$E$104,0)+IF((AB$2=1),Assumptions!$E$105,0))</f>
        <v>0</v>
      </c>
      <c r="AC88" s="14" t="n">
        <f aca="false">(IF((MOD((AC$2-1),12)=0),Assumptions!$E$104,0)+IF((AC$2=1),Assumptions!$E$105,0))</f>
        <v>0</v>
      </c>
      <c r="AD88" s="14" t="n">
        <f aca="false">(IF((MOD((AD$2-1),12)=0),Assumptions!$E$104,0)+IF((AD$2=1),Assumptions!$E$105,0))</f>
        <v>0</v>
      </c>
      <c r="AE88" s="14" t="n">
        <f aca="false">(IF((MOD((AE$2-1),12)=0),Assumptions!$E$104,0)+IF((AE$2=1),Assumptions!$E$105,0))</f>
        <v>0</v>
      </c>
      <c r="AF88" s="14" t="n">
        <f aca="false">(IF((MOD((AF$2-1),12)=0),Assumptions!$E$104,0)+IF((AF$2=1),Assumptions!$E$105,0))</f>
        <v>0</v>
      </c>
      <c r="AG88" s="14" t="n">
        <f aca="false">(IF((MOD((AG$2-1),12)=0),Assumptions!$E$104,0)+IF((AG$2=1),Assumptions!$E$105,0))</f>
        <v>0</v>
      </c>
      <c r="AH88" s="14" t="n">
        <f aca="false">(IF((MOD((AH$2-1),12)=0),Assumptions!$E$104,0)+IF((AH$2=1),Assumptions!$E$105,0))</f>
        <v>0</v>
      </c>
      <c r="AI88" s="14" t="n">
        <f aca="false">(IF((MOD((AI$2-1),12)=0),Assumptions!$E$104,0)+IF((AI$2=1),Assumptions!$E$105,0))</f>
        <v>0</v>
      </c>
      <c r="AJ88" s="14" t="n">
        <f aca="false">(IF((MOD((AJ$2-1),12)=0),Assumptions!$E$104,0)+IF((AJ$2=1),Assumptions!$E$105,0))</f>
        <v>0</v>
      </c>
      <c r="AK88" s="14" t="n">
        <f aca="false">(IF((MOD((AK$2-1),12)=0),Assumptions!$E$104,0)+IF((AK$2=1),Assumptions!$E$105,0))</f>
        <v>0</v>
      </c>
      <c r="AL88" s="14" t="n">
        <f aca="false">(IF((MOD((AL$2-1),12)=0),Assumptions!$E$104,0)+IF((AL$2=1),Assumptions!$E$105,0))</f>
        <v>0</v>
      </c>
    </row>
    <row r="89" customFormat="false" ht="15" hidden="false" customHeight="false" outlineLevel="0" collapsed="false">
      <c r="A89" s="6" t="s">
        <v>492</v>
      </c>
      <c r="B89" s="2" t="s">
        <v>493</v>
      </c>
      <c r="C89" s="14" t="n">
        <f aca="false">Assumptions!$E$106</f>
        <v>100</v>
      </c>
      <c r="D89" s="14" t="n">
        <f aca="false">Assumptions!$E$106</f>
        <v>100</v>
      </c>
      <c r="E89" s="14" t="n">
        <f aca="false">Assumptions!$E$106</f>
        <v>100</v>
      </c>
      <c r="F89" s="14" t="n">
        <f aca="false">Assumptions!$E$106</f>
        <v>100</v>
      </c>
      <c r="G89" s="14" t="n">
        <f aca="false">Assumptions!$E$106</f>
        <v>100</v>
      </c>
      <c r="H89" s="14" t="n">
        <f aca="false">Assumptions!$E$106</f>
        <v>100</v>
      </c>
      <c r="I89" s="14" t="n">
        <f aca="false">Assumptions!$E$106</f>
        <v>100</v>
      </c>
      <c r="J89" s="14" t="n">
        <f aca="false">Assumptions!$E$106</f>
        <v>100</v>
      </c>
      <c r="K89" s="14" t="n">
        <f aca="false">Assumptions!$E$106</f>
        <v>100</v>
      </c>
      <c r="L89" s="14" t="n">
        <f aca="false">Assumptions!$E$106</f>
        <v>100</v>
      </c>
      <c r="M89" s="14" t="n">
        <f aca="false">Assumptions!$E$106</f>
        <v>100</v>
      </c>
      <c r="N89" s="14" t="n">
        <f aca="false">Assumptions!$E$106</f>
        <v>100</v>
      </c>
      <c r="O89" s="14" t="n">
        <f aca="false">Assumptions!$E$106</f>
        <v>100</v>
      </c>
      <c r="P89" s="14" t="n">
        <f aca="false">Assumptions!$E$106</f>
        <v>100</v>
      </c>
      <c r="Q89" s="14" t="n">
        <f aca="false">Assumptions!$E$106</f>
        <v>100</v>
      </c>
      <c r="R89" s="14" t="n">
        <f aca="false">Assumptions!$E$106</f>
        <v>100</v>
      </c>
      <c r="S89" s="14" t="n">
        <f aca="false">Assumptions!$E$106</f>
        <v>100</v>
      </c>
      <c r="T89" s="14" t="n">
        <f aca="false">Assumptions!$E$106</f>
        <v>100</v>
      </c>
      <c r="U89" s="14" t="n">
        <f aca="false">Assumptions!$E$106</f>
        <v>100</v>
      </c>
      <c r="V89" s="14" t="n">
        <f aca="false">Assumptions!$E$106</f>
        <v>100</v>
      </c>
      <c r="W89" s="14" t="n">
        <f aca="false">Assumptions!$E$106</f>
        <v>100</v>
      </c>
      <c r="X89" s="14" t="n">
        <f aca="false">Assumptions!$E$106</f>
        <v>100</v>
      </c>
      <c r="Y89" s="14" t="n">
        <f aca="false">Assumptions!$E$106</f>
        <v>100</v>
      </c>
      <c r="Z89" s="14" t="n">
        <f aca="false">Assumptions!$E$106</f>
        <v>100</v>
      </c>
      <c r="AA89" s="14" t="n">
        <f aca="false">Assumptions!$E$106</f>
        <v>100</v>
      </c>
      <c r="AB89" s="14" t="n">
        <f aca="false">Assumptions!$E$106</f>
        <v>100</v>
      </c>
      <c r="AC89" s="14" t="n">
        <f aca="false">Assumptions!$E$106</f>
        <v>100</v>
      </c>
      <c r="AD89" s="14" t="n">
        <f aca="false">Assumptions!$E$106</f>
        <v>100</v>
      </c>
      <c r="AE89" s="14" t="n">
        <f aca="false">Assumptions!$E$106</f>
        <v>100</v>
      </c>
      <c r="AF89" s="14" t="n">
        <f aca="false">Assumptions!$E$106</f>
        <v>100</v>
      </c>
      <c r="AG89" s="14" t="n">
        <f aca="false">Assumptions!$E$106</f>
        <v>100</v>
      </c>
      <c r="AH89" s="14" t="n">
        <f aca="false">Assumptions!$E$106</f>
        <v>100</v>
      </c>
      <c r="AI89" s="14" t="n">
        <f aca="false">Assumptions!$E$106</f>
        <v>100</v>
      </c>
      <c r="AJ89" s="14" t="n">
        <f aca="false">Assumptions!$E$106</f>
        <v>100</v>
      </c>
      <c r="AK89" s="14" t="n">
        <f aca="false">Assumptions!$E$106</f>
        <v>100</v>
      </c>
      <c r="AL89" s="14" t="n">
        <f aca="false">Assumptions!$E$106</f>
        <v>100</v>
      </c>
    </row>
    <row r="90" customFormat="false" ht="15" hidden="false" customHeight="false" outlineLevel="0" collapsed="false">
      <c r="A90" s="21" t="s">
        <v>494</v>
      </c>
      <c r="B90" s="2" t="s">
        <v>495</v>
      </c>
      <c r="C90" s="23" t="n">
        <f aca="false">((((((((C81+C82)+C83)+C84)+C85)+C86)+C87)+C88)+C89)</f>
        <v>5324</v>
      </c>
      <c r="D90" s="23" t="n">
        <f aca="false">((((((((D81+D82)+D83)+D84)+D85)+D86)+D87)+D88)+D89)</f>
        <v>1515</v>
      </c>
      <c r="E90" s="23" t="n">
        <f aca="false">((((((((E81+E82)+E83)+E84)+E85)+E86)+E87)+E88)+E89)</f>
        <v>1530.45</v>
      </c>
      <c r="F90" s="23" t="n">
        <f aca="false">((((((((F81+F82)+F83)+F84)+F85)+F86)+F87)+F88)+F89)</f>
        <v>2046.3635</v>
      </c>
      <c r="G90" s="23" t="n">
        <f aca="false">((((((((G81+G82)+G83)+G84)+G85)+G86)+G87)+G88)+G89)</f>
        <v>2087.754405</v>
      </c>
      <c r="H90" s="23" t="n">
        <f aca="false">((((((((H81+H82)+H83)+H84)+H85)+H86)+H87)+H88)+H89)</f>
        <v>2130.88703715</v>
      </c>
      <c r="I90" s="23" t="n">
        <f aca="false">((((((((I81+I82)+I83)+I84)+I85)+I86)+I87)+I88)+I89)</f>
        <v>2175.8386482645</v>
      </c>
      <c r="J90" s="23" t="n">
        <f aca="false">((((((((J81+J82)+J83)+J84)+J85)+J86)+J87)+J88)+J89)</f>
        <v>2222.69005771244</v>
      </c>
      <c r="K90" s="23" t="n">
        <f aca="false">((((((((K81+K82)+K83)+K84)+K85)+K86)+K87)+K88)+K89)</f>
        <v>2271.52582194381</v>
      </c>
      <c r="L90" s="23" t="n">
        <f aca="false">((((((((L81+L82)+L83)+L84)+L85)+L86)+L87)+L88)+L89)</f>
        <v>2322.43441222712</v>
      </c>
      <c r="M90" s="23" t="n">
        <f aca="false">((((((((M81+M82)+M83)+M84)+M85)+M86)+M87)+M88)+M89)</f>
        <v>2375.50840100019</v>
      </c>
      <c r="N90" s="23" t="n">
        <f aca="false">((((((((N81+N82)+N83)+N84)+N85)+N86)+N87)+N88)+N89)</f>
        <v>2430.84465725675</v>
      </c>
      <c r="O90" s="23" t="n">
        <f aca="false">((((((((O81+O82)+O83)+O84)+O85)+O86)+O87)+O88)+O89)</f>
        <v>4687.54455141235</v>
      </c>
      <c r="P90" s="23" t="n">
        <f aca="false">((((((((P81+P82)+P83)+P84)+P85)+P86)+P87)+P88)+P89)</f>
        <v>3648.7141701145</v>
      </c>
      <c r="Q90" s="23" t="n">
        <f aca="false">((((((((Q81+Q82)+Q83)+Q84)+Q85)+Q86)+Q87)+Q88)+Q89)</f>
        <v>3711.46454148571</v>
      </c>
      <c r="R90" s="23" t="n">
        <f aca="false">((((((((R81+R82)+R83)+R84)+R85)+R86)+R87)+R88)+R89)</f>
        <v>3776.91187131145</v>
      </c>
      <c r="S90" s="23" t="n">
        <f aca="false">((((((((S81+S82)+S83)+S84)+S85)+S86)+S87)+S88)+S89)</f>
        <v>3845.17779071101</v>
      </c>
      <c r="T90" s="23" t="n">
        <f aca="false">((((((((T81+T82)+T83)+T84)+T85)+T86)+T87)+T88)+T89)</f>
        <v>3916.38961585558</v>
      </c>
      <c r="U90" s="23" t="n">
        <f aca="false">((((((((U81+U82)+U83)+U84)+U85)+U86)+U87)+U88)+U89)</f>
        <v>3990.68062032564</v>
      </c>
      <c r="V90" s="23" t="n">
        <f aca="false">((((((((V81+V82)+V83)+V84)+V85)+V86)+V87)+V88)+V89)</f>
        <v>4068.19032072952</v>
      </c>
      <c r="W90" s="23" t="n">
        <f aca="false">((((((((W81+W82)+W83)+W84)+W85)+W86)+W87)+W88)+W89)</f>
        <v>4149.06477623523</v>
      </c>
      <c r="X90" s="23" t="n">
        <f aca="false">((((((((X81+X82)+X83)+X84)+X85)+X86)+X87)+X88)+X89)</f>
        <v>4233.45690270029</v>
      </c>
      <c r="Y90" s="23" t="n">
        <f aca="false">((((((((Y81+Y82)+Y83)+Y84)+Y85)+Y86)+Y87)+Y88)+Y89)</f>
        <v>4321.52680211821</v>
      </c>
      <c r="Z90" s="23" t="n">
        <f aca="false">((((((((Z81+Z82)+Z83)+Z84)+Z85)+Z86)+Z87)+Z88)+Z89)</f>
        <v>4413.44210813551</v>
      </c>
      <c r="AA90" s="23" t="n">
        <f aca="false">((((((((AA81+AA82)+AA83)+AA84)+AA85)+AA86)+AA87)+AA88)+AA89)</f>
        <v>7258.37834843102</v>
      </c>
      <c r="AB90" s="23" t="n">
        <f aca="false">((((((((AB81+AB82)+AB83)+AB84)+AB85)+AB86)+AB87)+AB88)+AB89)</f>
        <v>6259.51932478797</v>
      </c>
      <c r="AC90" s="23" t="n">
        <f aca="false">((((((((AC81+AC82)+AC83)+AC84)+AC85)+AC86)+AC87)+AC88)+AC89)</f>
        <v>6364.05751173083</v>
      </c>
      <c r="AD90" s="23" t="n">
        <f aca="false">((((((((AD81+AD82)+AD83)+AD84)+AD85)+AD86)+AD87)+AD88)+AD89)</f>
        <v>6473.19447464193</v>
      </c>
      <c r="AE90" s="23" t="n">
        <f aca="false">((((((((AE81+AE82)+AE83)+AE84)+AE85)+AE86)+AE87)+AE88)+AE89)</f>
        <v>6587.14130831833</v>
      </c>
      <c r="AF90" s="23" t="n">
        <f aca="false">((((((((AF81+AF82)+AF83)+AF84)+AF85)+AF86)+AF87)+AF88)+AF89)</f>
        <v>6706.11909697687</v>
      </c>
      <c r="AG90" s="23" t="n">
        <f aca="false">((((((((AG81+AG82)+AG83)+AG84)+AG85)+AG86)+AG87)+AG88)+AG89)</f>
        <v>6830.35939676562</v>
      </c>
      <c r="AH90" s="23" t="n">
        <f aca="false">((((((((AH81+AH82)+AH83)+AH84)+AH85)+AH86)+AH87)+AH88)+AH89)</f>
        <v>6960.104741892</v>
      </c>
      <c r="AI90" s="23" t="n">
        <f aca="false">((((((((AI81+AI82)+AI83)+AI84)+AI85)+AI86)+AI87)+AI88)+AI89)</f>
        <v>7095.60917553335</v>
      </c>
      <c r="AJ90" s="23" t="n">
        <f aca="false">((((((((AJ81+AJ82)+AJ83)+AJ84)+AJ85)+AJ86)+AJ87)+AJ88)+AJ89)</f>
        <v>7237.13880675317</v>
      </c>
      <c r="AK90" s="23" t="n">
        <f aca="false">((((((((AK81+AK82)+AK83)+AK84)+AK85)+AK86)+AK87)+AK88)+AK89)</f>
        <v>7384.97239470727</v>
      </c>
      <c r="AL90" s="23" t="n">
        <f aca="false">((((((((AL81+AL82)+AL83)+AL84)+AL85)+AL86)+AL87)+AL88)+AL89)</f>
        <v>7539.40196148757</v>
      </c>
    </row>
    <row r="91" customFormat="false" ht="15" hidden="false" customHeight="false" outlineLevel="0" collapsed="false">
      <c r="A91" s="21" t="s">
        <v>496</v>
      </c>
      <c r="B91" s="2" t="s">
        <v>497</v>
      </c>
      <c r="C91" s="23" t="n">
        <f aca="false">(C77-C90)</f>
        <v>-5469.66717416639</v>
      </c>
      <c r="D91" s="23" t="n">
        <f aca="false">(D77-D90)</f>
        <v>-1456.44867858033</v>
      </c>
      <c r="E91" s="23" t="n">
        <f aca="false">(E77-E90)</f>
        <v>-1267.55681757567</v>
      </c>
      <c r="F91" s="23" t="n">
        <f aca="false">(F77-F90)</f>
        <v>-1511.37147698544</v>
      </c>
      <c r="G91" s="23" t="n">
        <f aca="false">(G77-G90)</f>
        <v>-1323.80753617946</v>
      </c>
      <c r="H91" s="23" t="n">
        <f aca="false">(H77-H90)</f>
        <v>-1133.32105400586</v>
      </c>
      <c r="I91" s="23" t="n">
        <f aca="false">(I77-I90)</f>
        <v>-1035.32924609831</v>
      </c>
      <c r="J91" s="23" t="n">
        <f aca="false">(J77-J90)</f>
        <v>-847.720825687069</v>
      </c>
      <c r="K91" s="23" t="n">
        <f aca="false">(K77-K90)</f>
        <v>-651.737625596853</v>
      </c>
      <c r="L91" s="23" t="n">
        <f aca="false">(L77-L90)</f>
        <v>-446.015388681557</v>
      </c>
      <c r="M91" s="23" t="n">
        <f aca="false">(M77-M90)</f>
        <v>-229.194611294786</v>
      </c>
      <c r="N91" s="23" t="n">
        <f aca="false">(N77-N90)</f>
        <v>0.093050645767562</v>
      </c>
      <c r="O91" s="23" t="n">
        <f aca="false">(O77-O90)</f>
        <v>-2638.93892499822</v>
      </c>
      <c r="P91" s="23" t="n">
        <f aca="false">(P77-P90)</f>
        <v>-1377.82839400459</v>
      </c>
      <c r="Q91" s="23" t="n">
        <f aca="false">(Q77-Q90)</f>
        <v>-1205.17773337962</v>
      </c>
      <c r="R91" s="23" t="n">
        <f aca="false">(R77-R90)</f>
        <v>-1023.42952344088</v>
      </c>
      <c r="S91" s="23" t="n">
        <f aca="false">(S77-S90)</f>
        <v>-828.889741582417</v>
      </c>
      <c r="T91" s="23" t="n">
        <f aca="false">(T77-T90)</f>
        <v>-620.671929856025</v>
      </c>
      <c r="U91" s="23" t="n">
        <f aca="false">(U77-U90)</f>
        <v>-397.583582917464</v>
      </c>
      <c r="V91" s="23" t="n">
        <f aca="false">(V77-V90)</f>
        <v>-158.367853309366</v>
      </c>
      <c r="W91" s="23" t="n">
        <f aca="false">(W77-W90)</f>
        <v>98.3011075509576</v>
      </c>
      <c r="X91" s="23" t="n">
        <f aca="false">(X77-X90)</f>
        <v>373.826009999033</v>
      </c>
      <c r="Y91" s="23" t="n">
        <f aca="false">(Y77-Y90)</f>
        <v>669.694478884061</v>
      </c>
      <c r="Z91" s="23" t="n">
        <f aca="false">(Z77-Z90)</f>
        <v>987.487326068355</v>
      </c>
      <c r="AA91" s="23" t="n">
        <f aca="false">(AA77-AA90)</f>
        <v>-1439.24029802084</v>
      </c>
      <c r="AB91" s="23" t="n">
        <f aca="false">(AB77-AB90)</f>
        <v>8.23817078731736</v>
      </c>
      <c r="AC91" s="23" t="n">
        <f aca="false">(AC77-AC90)</f>
        <v>382.787068516519</v>
      </c>
      <c r="AD91" s="23" t="n">
        <f aca="false">(AD77-AD90)</f>
        <v>784.285576620956</v>
      </c>
      <c r="AE91" s="23" t="n">
        <f aca="false">(AE77-AE90)</f>
        <v>1215.94347821826</v>
      </c>
      <c r="AF91" s="23" t="n">
        <f aca="false">(AF77-AF90)</f>
        <v>1679.88523120364</v>
      </c>
      <c r="AG91" s="23" t="n">
        <f aca="false">(AG77-AG90)</f>
        <v>2178.49966351369</v>
      </c>
      <c r="AH91" s="23" t="n">
        <f aca="false">(AH77-AH90)</f>
        <v>2714.34405803686</v>
      </c>
      <c r="AI91" s="23" t="n">
        <f aca="false">(AI77-AI90)</f>
        <v>3290.15528644248</v>
      </c>
      <c r="AJ91" s="23" t="n">
        <f aca="false">(AJ77-AJ90)</f>
        <v>3908.86309115912</v>
      </c>
      <c r="AK91" s="23" t="n">
        <f aca="false">(AK77-AK90)</f>
        <v>4573.60425367561</v>
      </c>
      <c r="AL91" s="23" t="n">
        <f aca="false">(AL77-AL90)</f>
        <v>5287.73770337214</v>
      </c>
    </row>
    <row r="92" customFormat="false" ht="15" hidden="false" customHeight="false" outlineLevel="0" collapsed="false">
      <c r="A92" s="6" t="s">
        <v>498</v>
      </c>
      <c r="B92" s="2" t="s">
        <v>499</v>
      </c>
      <c r="C92" s="16" t="n">
        <f aca="false">IF(C67=0,0,C91/C67)</f>
        <v>-17.327378989883</v>
      </c>
      <c r="D92" s="16" t="n">
        <f aca="false">IF(D67=0,0,D91/D67)</f>
        <v>-2.78795490163882</v>
      </c>
      <c r="E92" s="16" t="n">
        <f aca="false">IF(E67=0,0,E91/E67)</f>
        <v>-1.73827145078925</v>
      </c>
      <c r="F92" s="16" t="n">
        <f aca="false">IF(F67=0,0,F91/F67)</f>
        <v>-1.50468749813456</v>
      </c>
      <c r="G92" s="16" t="n">
        <f aca="false">IF(G67=0,0,G91/G67)</f>
        <v>-1.07039795431285</v>
      </c>
      <c r="H92" s="16" t="n">
        <f aca="false">IF(H67=0,0,H91/H67)</f>
        <v>-0.768055513871075</v>
      </c>
      <c r="I92" s="16" t="n">
        <f aca="false">IF(I67=0,0,I91/I67)</f>
        <v>-0.591434499621952</v>
      </c>
      <c r="J92" s="16" t="n">
        <f aca="false">IF(J67=0,0,J91/J67)</f>
        <v>-0.421628945250417</v>
      </c>
      <c r="K92" s="16" t="n">
        <f aca="false">IF(K67=0,0,K91/K67)</f>
        <v>-0.285565381592637</v>
      </c>
      <c r="L92" s="16" t="n">
        <f aca="false">IF(L67=0,0,L91/L67)</f>
        <v>-0.173736712192497</v>
      </c>
      <c r="M92" s="16" t="n">
        <f aca="false">IF(M67=0,0,M91/M67)</f>
        <v>-0.0799439308810446</v>
      </c>
      <c r="N92" s="16" t="n">
        <f aca="false">IF(N67=0,0,N91/N67)</f>
        <v>2.92323764684466E-005</v>
      </c>
      <c r="O92" s="16" t="n">
        <f aca="false">IF(O67=0,0,O91/O67)</f>
        <v>-0.761314407810727</v>
      </c>
      <c r="P92" s="16" t="n">
        <f aca="false">IF(P67=0,0,P91/P67)</f>
        <v>-0.365958762242074</v>
      </c>
      <c r="Q92" s="16" t="n">
        <f aca="false">IF(Q67=0,0,Q91/Q67)</f>
        <v>-0.295290383863278</v>
      </c>
      <c r="R92" s="16" t="n">
        <f aca="false">IF(R67=0,0,R91/R67)</f>
        <v>-0.231855359489608</v>
      </c>
      <c r="S92" s="16" t="n">
        <f aca="false">IF(S67=0,0,S91/S67)</f>
        <v>-0.173862392233658</v>
      </c>
      <c r="T92" s="16" t="n">
        <f aca="false">IF(T67=0,0,T91/T67)</f>
        <v>-0.12067561242663</v>
      </c>
      <c r="U92" s="16" t="n">
        <f aca="false">IF(U67=0,0,U91/U67)</f>
        <v>-0.0717236534384259</v>
      </c>
      <c r="V92" s="16" t="n">
        <f aca="false">IF(V67=0,0,V91/V67)</f>
        <v>-0.0265305992421248</v>
      </c>
      <c r="W92" s="16" t="n">
        <f aca="false">IF(W67=0,0,W91/W67)</f>
        <v>0.015304012079318</v>
      </c>
      <c r="X92" s="16" t="n">
        <f aca="false">IF(X67=0,0,X91/X67)</f>
        <v>0.0541206760186452</v>
      </c>
      <c r="Y92" s="16" t="n">
        <f aca="false">IF(Y67=0,0,Y91/Y67)</f>
        <v>0.0902116705219372</v>
      </c>
      <c r="Z92" s="16" t="n">
        <f aca="false">IF(Z67=0,0,Z91/Z67)</f>
        <v>0.123830067812028</v>
      </c>
      <c r="AA92" s="16" t="n">
        <f aca="false">IF(AA67=0,0,AA91/AA67)</f>
        <v>-0.168514651990428</v>
      </c>
      <c r="AB92" s="16" t="n">
        <f aca="false">IF(AB67=0,0,AB91/AB67)</f>
        <v>0.00090084744084759</v>
      </c>
      <c r="AC92" s="16" t="n">
        <f aca="false">IF(AC67=0,0,AC91/AC67)</f>
        <v>0.0390996660401405</v>
      </c>
      <c r="AD92" s="16" t="n">
        <f aca="false">IF(AD67=0,0,AD91/AD67)</f>
        <v>0.0748520321974364</v>
      </c>
      <c r="AE92" s="16" t="n">
        <f aca="false">IF(AE67=0,0,AE91/AE67)</f>
        <v>0.108445607012846</v>
      </c>
      <c r="AF92" s="16" t="n">
        <f aca="false">IF(AF67=0,0,AF91/AF67)</f>
        <v>0.140021527551494</v>
      </c>
      <c r="AG92" s="16" t="n">
        <f aca="false">IF(AG67=0,0,AG91/AG67)</f>
        <v>0.169718916665726</v>
      </c>
      <c r="AH92" s="16" t="n">
        <f aca="false">IF(AH67=0,0,AH91/AH67)</f>
        <v>0.1976653605569</v>
      </c>
      <c r="AI92" s="16" t="n">
        <f aca="false">IF(AI67=0,0,AI91/AI67)</f>
        <v>0.223978095896879</v>
      </c>
      <c r="AJ92" s="16" t="n">
        <f aca="false">IF(AJ67=0,0,AJ91/AJ67)</f>
        <v>0.24876512152818</v>
      </c>
      <c r="AK92" s="16" t="n">
        <f aca="false">IF(AK67=0,0,AK91/AK67)</f>
        <v>0.272126146073586</v>
      </c>
      <c r="AL92" s="16" t="n">
        <f aca="false">IF(AL67=0,0,AL91/AL67)</f>
        <v>0.294153401274477</v>
      </c>
    </row>
    <row r="94" customFormat="false" ht="15" hidden="false" customHeight="false" outlineLevel="0" collapsed="false">
      <c r="A94" s="4" t="s">
        <v>500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 customFormat="false" ht="15" hidden="false" customHeight="false" outlineLevel="0" collapsed="false">
      <c r="A95" s="6" t="s">
        <v>501</v>
      </c>
      <c r="B95" s="2" t="s">
        <v>502</v>
      </c>
      <c r="C95" s="14" t="n">
        <f aca="false">(C30*Assumptions!$E$112)</f>
        <v>1298.78838786667</v>
      </c>
      <c r="D95" s="14" t="n">
        <f aca="false">(D30*Assumptions!$E$112)</f>
        <v>1496.8288801291</v>
      </c>
      <c r="E95" s="14" t="n">
        <f aca="false">(E30*Assumptions!$E$112)</f>
        <v>1680.65586475004</v>
      </c>
      <c r="F95" s="14" t="n">
        <f aca="false">(F30*Assumptions!$E$112)</f>
        <v>1937.38697334522</v>
      </c>
      <c r="G95" s="14" t="n">
        <f aca="false">(G30*Assumptions!$E$112)</f>
        <v>2135.25951679907</v>
      </c>
      <c r="H95" s="14" t="n">
        <f aca="false">(H30*Assumptions!$E$112)</f>
        <v>2336.68013097951</v>
      </c>
      <c r="I95" s="14" t="n">
        <f aca="false">(I30*Assumptions!$E$112)</f>
        <v>2543.94936775581</v>
      </c>
      <c r="J95" s="14" t="n">
        <f aca="false">(J30*Assumptions!$E$112)</f>
        <v>2758.54484457021</v>
      </c>
      <c r="K95" s="14" t="n">
        <f aca="false">(K30*Assumptions!$E$112)</f>
        <v>2981.89184154298</v>
      </c>
      <c r="L95" s="14" t="n">
        <f aca="false">(L30*Assumptions!$E$112)</f>
        <v>3215.38959764616</v>
      </c>
      <c r="M95" s="14" t="n">
        <f aca="false">(M30*Assumptions!$E$112)</f>
        <v>3460.4266569465</v>
      </c>
      <c r="N95" s="14" t="n">
        <f aca="false">(N30*Assumptions!$E$112)</f>
        <v>3718.39482958068</v>
      </c>
      <c r="O95" s="14" t="n">
        <f aca="false">(O30*Assumptions!$E$112)</f>
        <v>4450.9445936453</v>
      </c>
      <c r="P95" s="14" t="n">
        <f aca="false">(P30*Assumptions!$E$112)</f>
        <v>4776.61281864508</v>
      </c>
      <c r="Q95" s="14" t="n">
        <f aca="false">(Q30*Assumptions!$E$112)</f>
        <v>5116.25504764531</v>
      </c>
      <c r="R95" s="14" t="n">
        <f aca="false">(R30*Assumptions!$E$112)</f>
        <v>5502.25604372129</v>
      </c>
      <c r="S95" s="14" t="n">
        <f aca="false">(S30*Assumptions!$E$112)</f>
        <v>5887.31423770689</v>
      </c>
      <c r="T95" s="14" t="n">
        <f aca="false">(T30*Assumptions!$E$112)</f>
        <v>6296.76678563107</v>
      </c>
      <c r="U95" s="14" t="n">
        <f aca="false">(U30*Assumptions!$E$112)</f>
        <v>6732.84456822114</v>
      </c>
      <c r="V95" s="14" t="n">
        <f aca="false">(V30*Assumptions!$E$112)</f>
        <v>7197.58872735872</v>
      </c>
      <c r="W95" s="14" t="n">
        <f aca="false">(W30*Assumptions!$E$112)</f>
        <v>7693.15273291103</v>
      </c>
      <c r="X95" s="14" t="n">
        <f aca="false">(X30*Assumptions!$E$112)</f>
        <v>8221.81762106296</v>
      </c>
      <c r="Y95" s="14" t="n">
        <f aca="false">(Y30*Assumptions!$E$112)</f>
        <v>8786.00392609371</v>
      </c>
      <c r="Z95" s="14" t="n">
        <f aca="false">(Z30*Assumptions!$E$112)</f>
        <v>9388.2839910027</v>
      </c>
      <c r="AA95" s="14" t="n">
        <f aca="false">(AA30*Assumptions!$E$112)</f>
        <v>10229.906679126</v>
      </c>
      <c r="AB95" s="14" t="n">
        <f aca="false">(AB30*Assumptions!$E$112)</f>
        <v>10932.9128536383</v>
      </c>
      <c r="AC95" s="14" t="n">
        <f aca="false">(AC30*Assumptions!$E$112)</f>
        <v>11681.3525192182</v>
      </c>
      <c r="AD95" s="14" t="n">
        <f aca="false">(AD30*Assumptions!$E$112)</f>
        <v>12491.8506611495</v>
      </c>
      <c r="AE95" s="14" t="n">
        <f aca="false">(AE30*Assumptions!$E$112)</f>
        <v>13346.8533488362</v>
      </c>
      <c r="AF95" s="14" t="n">
        <f aca="false">(AF30*Assumptions!$E$112)</f>
        <v>14260.3521004613</v>
      </c>
      <c r="AG95" s="14" t="n">
        <f aca="false">(AG30*Assumptions!$E$112)</f>
        <v>15236.5907339251</v>
      </c>
      <c r="AH95" s="14" t="n">
        <f aca="false">(AH30*Assumptions!$E$112)</f>
        <v>16279.9670393555</v>
      </c>
      <c r="AI95" s="14" t="n">
        <f aca="false">(AI30*Assumptions!$E$112)</f>
        <v>17395.1786149295</v>
      </c>
      <c r="AJ95" s="14" t="n">
        <f aca="false">(AJ30*Assumptions!$E$112)</f>
        <v>18587.2461295334</v>
      </c>
      <c r="AK95" s="14" t="n">
        <f aca="false">(AK30*Assumptions!$E$112)</f>
        <v>19861.5364419493</v>
      </c>
      <c r="AL95" s="14" t="n">
        <f aca="false">(AL30*Assumptions!$E$112)</f>
        <v>21223.7872411379</v>
      </c>
    </row>
    <row r="96" customFormat="false" ht="15" hidden="false" customHeight="false" outlineLevel="0" collapsed="false">
      <c r="A96" s="6" t="s">
        <v>503</v>
      </c>
      <c r="B96" s="2" t="s">
        <v>504</v>
      </c>
      <c r="C96" s="14" t="n">
        <f aca="false">(C95-C60)</f>
        <v>983.122228699722</v>
      </c>
      <c r="D96" s="14" t="n">
        <f aca="false">(D95-D60)</f>
        <v>974.421334108824</v>
      </c>
      <c r="E96" s="14" t="n">
        <f aca="false">(E95-E60)</f>
        <v>951.450528609846</v>
      </c>
      <c r="F96" s="14" t="n">
        <f aca="false">(F95-F60)</f>
        <v>980.747956926926</v>
      </c>
      <c r="G96" s="14" t="n">
        <f aca="false">(G95-G60)</f>
        <v>952.541609723903</v>
      </c>
      <c r="H96" s="14" t="n">
        <f aca="false">(H95-H60)</f>
        <v>921.522810736548</v>
      </c>
      <c r="I96" s="14" t="n">
        <f aca="false">(I95-I60)</f>
        <v>888.272418295828</v>
      </c>
      <c r="J96" s="14" t="n">
        <f aca="false">(J95-J60)</f>
        <v>852.674953596752</v>
      </c>
      <c r="K96" s="14" t="n">
        <f aca="false">(K95-K60)</f>
        <v>814.595919310371</v>
      </c>
      <c r="L96" s="14" t="n">
        <f aca="false">(L95-L60)</f>
        <v>773.889859165769</v>
      </c>
      <c r="M96" s="14" t="n">
        <f aca="false">(M95-M60)</f>
        <v>730.399872356907</v>
      </c>
      <c r="N96" s="14" t="n">
        <f aca="false">(N95-N60)</f>
        <v>683.956964868412</v>
      </c>
      <c r="O96" s="14" t="n">
        <f aca="false">(O95-O60)</f>
        <v>1145.64302776246</v>
      </c>
      <c r="P96" s="14" t="n">
        <f aca="false">(P95-P60)</f>
        <v>1185.57290831381</v>
      </c>
      <c r="Q96" s="14" t="n">
        <f aca="false">(Q95-Q60)</f>
        <v>1222.54187533445</v>
      </c>
      <c r="R96" s="14" t="n">
        <f aca="false">(R95-R60)</f>
        <v>1290.24330468253</v>
      </c>
      <c r="S96" s="14" t="n">
        <f aca="false">(S95-S60)</f>
        <v>1337.19114171149</v>
      </c>
      <c r="T96" s="14" t="n">
        <f aca="false">(T95-T60)</f>
        <v>1387.07003284702</v>
      </c>
      <c r="U96" s="14" t="n">
        <f aca="false">(U95-U60)</f>
        <v>1440.41336905818</v>
      </c>
      <c r="V96" s="14" t="n">
        <f aca="false">(V95-V60)</f>
        <v>1497.47637166945</v>
      </c>
      <c r="W96" s="14" t="n">
        <f aca="false">(W95-W60)</f>
        <v>1558.52759317448</v>
      </c>
      <c r="X96" s="14" t="n">
        <f aca="false">(X95-X60)</f>
        <v>1623.85384850715</v>
      </c>
      <c r="Y96" s="14" t="n">
        <f aca="false">(Y95-Y60)</f>
        <v>1693.76159031761</v>
      </c>
      <c r="Z96" s="14" t="n">
        <f aca="false">(Z95-Z60)</f>
        <v>1768.57832692211</v>
      </c>
      <c r="AA96" s="14" t="n">
        <f aca="false">(AA95-AA60)</f>
        <v>2068.97690894685</v>
      </c>
      <c r="AB96" s="14" t="n">
        <f aca="false">(AB95-AB60)</f>
        <v>2194.44761998038</v>
      </c>
      <c r="AC96" s="14" t="n">
        <f aca="false">(AC95-AC60)</f>
        <v>2326.17284108332</v>
      </c>
      <c r="AD96" s="14" t="n">
        <f aca="false">(AD95-AD60)</f>
        <v>2479.19904958032</v>
      </c>
      <c r="AE96" s="14" t="n">
        <f aca="false">(AE95-AE60)</f>
        <v>2631.88531982746</v>
      </c>
      <c r="AF96" s="14" t="n">
        <f aca="false">(AF95-AF60)</f>
        <v>2795.0494757091</v>
      </c>
      <c r="AG96" s="14" t="n">
        <f aca="false">(AG95-AG60)</f>
        <v>2969.56241586194</v>
      </c>
      <c r="AH96" s="14" t="n">
        <f aca="false">(AH95-AH60)</f>
        <v>3156.2197771307</v>
      </c>
      <c r="AI96" s="14" t="n">
        <f aca="false">(AI95-AI60)</f>
        <v>3355.87086624418</v>
      </c>
      <c r="AJ96" s="14" t="n">
        <f aca="false">(AJ95-AJ60)</f>
        <v>3569.42412941962</v>
      </c>
      <c r="AK96" s="14" t="n">
        <f aca="false">(AK95-AK60)</f>
        <v>3797.85132087031</v>
      </c>
      <c r="AL96" s="14" t="n">
        <f aca="false">(AL95-AL60)</f>
        <v>4042.19194017232</v>
      </c>
    </row>
    <row r="97" customFormat="false" ht="15" hidden="false" customHeight="false" outlineLevel="0" collapsed="false">
      <c r="A97" s="21" t="s">
        <v>505</v>
      </c>
      <c r="B97" s="2" t="s">
        <v>506</v>
      </c>
      <c r="C97" s="23" t="n">
        <f aca="false">(C91+C96)</f>
        <v>-4486.54494546667</v>
      </c>
      <c r="D97" s="23" t="n">
        <f aca="false">(D91+D96)</f>
        <v>-482.027344471509</v>
      </c>
      <c r="E97" s="23" t="n">
        <f aca="false">(E91+E96)</f>
        <v>-316.106288965828</v>
      </c>
      <c r="F97" s="23" t="n">
        <f aca="false">(F91+F96)</f>
        <v>-530.623520058515</v>
      </c>
      <c r="G97" s="23" t="n">
        <f aca="false">(G91+G96)</f>
        <v>-371.265926455558</v>
      </c>
      <c r="H97" s="23" t="n">
        <f aca="false">(H91+H96)</f>
        <v>-211.798243269313</v>
      </c>
      <c r="I97" s="23" t="n">
        <f aca="false">(I91+I96)</f>
        <v>-147.056827802485</v>
      </c>
      <c r="J97" s="23" t="n">
        <f aca="false">(J91+J96)</f>
        <v>4.95412790968339</v>
      </c>
      <c r="K97" s="23" t="n">
        <f aca="false">(K91+K96)</f>
        <v>162.858293713518</v>
      </c>
      <c r="L97" s="23" t="n">
        <f aca="false">(L91+L96)</f>
        <v>327.874470484212</v>
      </c>
      <c r="M97" s="23" t="n">
        <f aca="false">(M91+M96)</f>
        <v>501.205261062121</v>
      </c>
      <c r="N97" s="23" t="n">
        <f aca="false">(N91+N96)</f>
        <v>684.050015514179</v>
      </c>
      <c r="O97" s="23" t="n">
        <f aca="false">(O91+O96)</f>
        <v>-1493.29589723575</v>
      </c>
      <c r="P97" s="23" t="n">
        <f aca="false">(P91+P96)</f>
        <v>-192.255485690785</v>
      </c>
      <c r="Q97" s="23" t="n">
        <f aca="false">(Q91+Q96)</f>
        <v>17.3641419548358</v>
      </c>
      <c r="R97" s="23" t="n">
        <f aca="false">(R91+R96)</f>
        <v>266.813781241654</v>
      </c>
      <c r="S97" s="23" t="n">
        <f aca="false">(S91+S96)</f>
        <v>508.301400129073</v>
      </c>
      <c r="T97" s="23" t="n">
        <f aca="false">(T91+T96)</f>
        <v>766.398102990998</v>
      </c>
      <c r="U97" s="23" t="n">
        <f aca="false">(U91+U96)</f>
        <v>1042.82978614071</v>
      </c>
      <c r="V97" s="23" t="n">
        <f aca="false">(V91+V96)</f>
        <v>1339.10851836009</v>
      </c>
      <c r="W97" s="23" t="n">
        <f aca="false">(W91+W96)</f>
        <v>1656.82870072544</v>
      </c>
      <c r="X97" s="23" t="n">
        <f aca="false">(X91+X96)</f>
        <v>1997.67985850618</v>
      </c>
      <c r="Y97" s="23" t="n">
        <f aca="false">(Y91+Y96)</f>
        <v>2363.45606920167</v>
      </c>
      <c r="Z97" s="23" t="n">
        <f aca="false">(Z91+Z96)</f>
        <v>2756.06565299046</v>
      </c>
      <c r="AA97" s="23" t="n">
        <f aca="false">(AA91+AA96)</f>
        <v>629.736610926016</v>
      </c>
      <c r="AB97" s="23" t="n">
        <f aca="false">(AB91+AB96)</f>
        <v>2202.68579076769</v>
      </c>
      <c r="AC97" s="23" t="n">
        <f aca="false">(AC91+AC96)</f>
        <v>2708.95990959984</v>
      </c>
      <c r="AD97" s="23" t="n">
        <f aca="false">(AD91+AD96)</f>
        <v>3263.48462620128</v>
      </c>
      <c r="AE97" s="23" t="n">
        <f aca="false">(AE91+AE96)</f>
        <v>3847.82879804572</v>
      </c>
      <c r="AF97" s="23" t="n">
        <f aca="false">(AF91+AF96)</f>
        <v>4474.93470691274</v>
      </c>
      <c r="AG97" s="23" t="n">
        <f aca="false">(AG91+AG96)</f>
        <v>5148.06207937563</v>
      </c>
      <c r="AH97" s="23" t="n">
        <f aca="false">(AH91+AH96)</f>
        <v>5870.56383516756</v>
      </c>
      <c r="AI97" s="23" t="n">
        <f aca="false">(AI91+AI96)</f>
        <v>6646.02615268665</v>
      </c>
      <c r="AJ97" s="23" t="n">
        <f aca="false">(AJ91+AJ96)</f>
        <v>7478.28722057875</v>
      </c>
      <c r="AK97" s="23" t="n">
        <f aca="false">(AK91+AK96)</f>
        <v>8371.45557454592</v>
      </c>
      <c r="AL97" s="23" t="n">
        <f aca="false">(AL91+AL96)</f>
        <v>9329.92964354446</v>
      </c>
    </row>
    <row r="98" customFormat="false" ht="15" hidden="false" customHeight="false" outlineLevel="0" collapsed="false">
      <c r="A98" s="21" t="s">
        <v>507</v>
      </c>
      <c r="B98" s="2" t="s">
        <v>508</v>
      </c>
      <c r="C98" s="23" t="n">
        <f aca="false">(0+C97)</f>
        <v>-4486.54494546667</v>
      </c>
      <c r="D98" s="23" t="n">
        <f aca="false">(C98+D97)</f>
        <v>-4968.57228993818</v>
      </c>
      <c r="E98" s="23" t="n">
        <f aca="false">(D98+E97)</f>
        <v>-5284.678578904</v>
      </c>
      <c r="F98" s="23" t="n">
        <f aca="false">(E98+F97)</f>
        <v>-5815.30209896252</v>
      </c>
      <c r="G98" s="23" t="n">
        <f aca="false">(F98+G97)</f>
        <v>-6186.56802541808</v>
      </c>
      <c r="H98" s="23" t="n">
        <f aca="false">(G98+H97)</f>
        <v>-6398.36626868739</v>
      </c>
      <c r="I98" s="23" t="n">
        <f aca="false">(H98+I97)</f>
        <v>-6545.42309648987</v>
      </c>
      <c r="J98" s="23" t="n">
        <f aca="false">(I98+J97)</f>
        <v>-6540.46896858019</v>
      </c>
      <c r="K98" s="23" t="n">
        <f aca="false">(J98+K97)</f>
        <v>-6377.61067486667</v>
      </c>
      <c r="L98" s="23" t="n">
        <f aca="false">(K98+L97)</f>
        <v>-6049.73620438246</v>
      </c>
      <c r="M98" s="23" t="n">
        <f aca="false">(L98+M97)</f>
        <v>-5548.53094332034</v>
      </c>
      <c r="N98" s="23" t="n">
        <f aca="false">(M98+N97)</f>
        <v>-4864.48092780616</v>
      </c>
      <c r="O98" s="23" t="n">
        <f aca="false">(N98+O97)</f>
        <v>-6357.77682504191</v>
      </c>
      <c r="P98" s="23" t="n">
        <f aca="false">(O98+P97)</f>
        <v>-6550.0323107327</v>
      </c>
      <c r="Q98" s="23" t="n">
        <f aca="false">(P98+Q97)</f>
        <v>-6532.66816877786</v>
      </c>
      <c r="R98" s="23" t="n">
        <f aca="false">(Q98+R97)</f>
        <v>-6265.85438753621</v>
      </c>
      <c r="S98" s="23" t="n">
        <f aca="false">(R98+S97)</f>
        <v>-5757.55298740714</v>
      </c>
      <c r="T98" s="23" t="n">
        <f aca="false">(S98+T97)</f>
        <v>-4991.15488441614</v>
      </c>
      <c r="U98" s="23" t="n">
        <f aca="false">(T98+U97)</f>
        <v>-3948.32509827542</v>
      </c>
      <c r="V98" s="23" t="n">
        <f aca="false">(U98+V97)</f>
        <v>-2609.21657991534</v>
      </c>
      <c r="W98" s="23" t="n">
        <f aca="false">(V98+W97)</f>
        <v>-952.387879189897</v>
      </c>
      <c r="X98" s="23" t="n">
        <f aca="false">(W98+X97)</f>
        <v>1045.29197931628</v>
      </c>
      <c r="Y98" s="23" t="n">
        <f aca="false">(X98+Y97)</f>
        <v>3408.74804851795</v>
      </c>
      <c r="Z98" s="23" t="n">
        <f aca="false">(Y98+Z97)</f>
        <v>6164.81370150842</v>
      </c>
      <c r="AA98" s="23" t="n">
        <f aca="false">(Z98+AA97)</f>
        <v>6794.55031243443</v>
      </c>
      <c r="AB98" s="23" t="n">
        <f aca="false">(AA98+AB97)</f>
        <v>8997.23610320213</v>
      </c>
      <c r="AC98" s="23" t="n">
        <f aca="false">(AB98+AC97)</f>
        <v>11706.196012802</v>
      </c>
      <c r="AD98" s="23" t="n">
        <f aca="false">(AC98+AD97)</f>
        <v>14969.6806390032</v>
      </c>
      <c r="AE98" s="23" t="n">
        <f aca="false">(AD98+AE97)</f>
        <v>18817.509437049</v>
      </c>
      <c r="AF98" s="23" t="n">
        <f aca="false">(AE98+AF97)</f>
        <v>23292.4441439617</v>
      </c>
      <c r="AG98" s="23" t="n">
        <f aca="false">(AF98+AG97)</f>
        <v>28440.5062233373</v>
      </c>
      <c r="AH98" s="23" t="n">
        <f aca="false">(AG98+AH97)</f>
        <v>34311.0700585049</v>
      </c>
      <c r="AI98" s="23" t="n">
        <f aca="false">(AH98+AI97)</f>
        <v>40957.0962111915</v>
      </c>
      <c r="AJ98" s="23" t="n">
        <f aca="false">(AI98+AJ97)</f>
        <v>48435.3834317703</v>
      </c>
      <c r="AK98" s="23" t="n">
        <f aca="false">(AJ98+AK97)</f>
        <v>56806.8390063162</v>
      </c>
      <c r="AL98" s="23" t="n">
        <f aca="false">(AK98+AL97)</f>
        <v>66136.7686498607</v>
      </c>
    </row>
    <row r="99" customFormat="false" ht="15" hidden="false" customHeight="false" outlineLevel="0" collapsed="false">
      <c r="A99" s="6" t="s">
        <v>509</v>
      </c>
      <c r="B99" s="2" t="s">
        <v>510</v>
      </c>
      <c r="C99" s="14" t="n">
        <f aca="false">(0+C91)</f>
        <v>-5469.66717416639</v>
      </c>
      <c r="D99" s="14" t="n">
        <f aca="false">(C99+D91)</f>
        <v>-6926.11585274672</v>
      </c>
      <c r="E99" s="14" t="n">
        <f aca="false">(D99+E91)</f>
        <v>-8193.6726703224</v>
      </c>
      <c r="F99" s="14" t="n">
        <f aca="false">(E99+F91)</f>
        <v>-9705.04414730784</v>
      </c>
      <c r="G99" s="14" t="n">
        <f aca="false">(F99+G91)</f>
        <v>-11028.8516834873</v>
      </c>
      <c r="H99" s="14" t="n">
        <f aca="false">(G99+H91)</f>
        <v>-12162.1727374932</v>
      </c>
      <c r="I99" s="14" t="n">
        <f aca="false">(H99+I91)</f>
        <v>-13197.5019835915</v>
      </c>
      <c r="J99" s="14" t="n">
        <f aca="false">(I99+J91)</f>
        <v>-14045.2228092785</v>
      </c>
      <c r="K99" s="14" t="n">
        <f aca="false">(J99+K91)</f>
        <v>-14696.9604348754</v>
      </c>
      <c r="L99" s="14" t="n">
        <f aca="false">(K99+L91)</f>
        <v>-15142.975823557</v>
      </c>
      <c r="M99" s="14" t="n">
        <f aca="false">(L99+M91)</f>
        <v>-15372.1704348517</v>
      </c>
      <c r="N99" s="14" t="n">
        <f aca="false">(M99+N91)</f>
        <v>-15372.077384206</v>
      </c>
      <c r="O99" s="14" t="n">
        <f aca="false">(N99+O91)</f>
        <v>-18011.0163092042</v>
      </c>
      <c r="P99" s="14" t="n">
        <f aca="false">(O99+P91)</f>
        <v>-19388.8447032088</v>
      </c>
      <c r="Q99" s="14" t="n">
        <f aca="false">(P99+Q91)</f>
        <v>-20594.0224365884</v>
      </c>
      <c r="R99" s="14" t="n">
        <f aca="false">(Q99+R91)</f>
        <v>-21617.4519600293</v>
      </c>
      <c r="S99" s="14" t="n">
        <f aca="false">(R99+S91)</f>
        <v>-22446.3417016117</v>
      </c>
      <c r="T99" s="14" t="n">
        <f aca="false">(S99+T91)</f>
        <v>-23067.0136314677</v>
      </c>
      <c r="U99" s="14" t="n">
        <f aca="false">(T99+U91)</f>
        <v>-23464.5972143852</v>
      </c>
      <c r="V99" s="14" t="n">
        <f aca="false">(U99+V91)</f>
        <v>-23622.9650676945</v>
      </c>
      <c r="W99" s="14" t="n">
        <f aca="false">(V99+W91)</f>
        <v>-23524.6639601436</v>
      </c>
      <c r="X99" s="14" t="n">
        <f aca="false">(W99+X91)</f>
        <v>-23150.8379501446</v>
      </c>
      <c r="Y99" s="14" t="n">
        <f aca="false">(X99+Y91)</f>
        <v>-22481.1434712605</v>
      </c>
      <c r="Z99" s="14" t="n">
        <f aca="false">(Y99+Z91)</f>
        <v>-21493.6561451921</v>
      </c>
      <c r="AA99" s="14" t="n">
        <f aca="false">(Z99+AA91)</f>
        <v>-22932.896443213</v>
      </c>
      <c r="AB99" s="14" t="n">
        <f aca="false">(AA99+AB91)</f>
        <v>-22924.6582724257</v>
      </c>
      <c r="AC99" s="14" t="n">
        <f aca="false">(AB99+AC91)</f>
        <v>-22541.8712039091</v>
      </c>
      <c r="AD99" s="14" t="n">
        <f aca="false">(AC99+AD91)</f>
        <v>-21757.5856272882</v>
      </c>
      <c r="AE99" s="14" t="n">
        <f aca="false">(AD99+AE91)</f>
        <v>-20541.6421490699</v>
      </c>
      <c r="AF99" s="14" t="n">
        <f aca="false">(AE99+AF91)</f>
        <v>-18861.7569178663</v>
      </c>
      <c r="AG99" s="14" t="n">
        <f aca="false">(AF99+AG91)</f>
        <v>-16683.2572543526</v>
      </c>
      <c r="AH99" s="14" t="n">
        <f aca="false">(AG99+AH91)</f>
        <v>-13968.9131963157</v>
      </c>
      <c r="AI99" s="14" t="n">
        <f aca="false">(AH99+AI91)</f>
        <v>-10678.7579098733</v>
      </c>
      <c r="AJ99" s="14" t="n">
        <f aca="false">(AI99+AJ91)</f>
        <v>-6769.89481871414</v>
      </c>
      <c r="AK99" s="14" t="n">
        <f aca="false">(AJ99+AK91)</f>
        <v>-2196.29056503853</v>
      </c>
      <c r="AL99" s="14" t="n">
        <f aca="false">(AK99+AL91)</f>
        <v>3091.44713833361</v>
      </c>
    </row>
    <row r="101" customFormat="false" ht="15" hidden="false" customHeight="false" outlineLevel="0" collapsed="false">
      <c r="A101" s="4" t="s">
        <v>511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 customFormat="false" ht="15" hidden="false" customHeight="false" outlineLevel="0" collapsed="false">
      <c r="A102" s="6" t="s">
        <v>512</v>
      </c>
      <c r="B102" s="2" t="s">
        <v>513</v>
      </c>
      <c r="C102" s="15" t="n">
        <f aca="false">IF(C36=0,0,C67/C36)</f>
        <v>0.278528963970833</v>
      </c>
      <c r="D102" s="15" t="n">
        <f aca="false">IF(D36=0,0,D67/D36)</f>
        <v>0.377020119894232</v>
      </c>
      <c r="E102" s="15" t="n">
        <f aca="false">IF(E36=0,0,E67/E36)</f>
        <v>0.447031917944053</v>
      </c>
      <c r="F102" s="15" t="n">
        <f aca="false">IF(F36=0,0,F67/F36)</f>
        <v>0.516420516724799</v>
      </c>
      <c r="G102" s="15" t="n">
        <f aca="false">IF(G36=0,0,G67/G36)</f>
        <v>0.558019136162856</v>
      </c>
      <c r="H102" s="15" t="n">
        <f aca="false">IF(H36=0,0,H67/H36)</f>
        <v>0.591306535401108</v>
      </c>
      <c r="I102" s="15" t="n">
        <f aca="false">IF(I36=0,0,I67/I36)</f>
        <v>0.628687214820634</v>
      </c>
      <c r="J102" s="15" t="n">
        <f aca="false">IF(J36=0,0,J67/J36)</f>
        <v>0.651786488371122</v>
      </c>
      <c r="K102" s="15" t="n">
        <f aca="false">IF(K36=0,0,K67/K36)</f>
        <v>0.671692257584943</v>
      </c>
      <c r="L102" s="15" t="n">
        <f aca="false">IF(L36=0,0,L67/L36)</f>
        <v>0.68915348375718</v>
      </c>
      <c r="M102" s="15" t="n">
        <f aca="false">IF(M36=0,0,M67/M36)</f>
        <v>0.704698219052566</v>
      </c>
      <c r="N102" s="15" t="n">
        <f aca="false">IF(N36=0,0,N67/N36)</f>
        <v>0.718706331916089</v>
      </c>
      <c r="O102" s="15" t="n">
        <f aca="false">IF(O36=0,0,O67/O36)</f>
        <v>0.722409405406653</v>
      </c>
      <c r="P102" s="15" t="n">
        <f aca="false">IF(P36=0,0,P67/P36)</f>
        <v>0.725794110596716</v>
      </c>
      <c r="Q102" s="15" t="n">
        <f aca="false">IF(Q36=0,0,Q67/Q36)</f>
        <v>0.729003812523514</v>
      </c>
      <c r="R102" s="15" t="n">
        <f aca="false">IF(R36=0,0,R67/R36)</f>
        <v>0.731672009461723</v>
      </c>
      <c r="S102" s="15" t="n">
        <f aca="false">IF(S36=0,0,S67/S36)</f>
        <v>0.734248194954184</v>
      </c>
      <c r="T102" s="15" t="n">
        <f aca="false">IF(T36=0,0,T67/T36)</f>
        <v>0.736745358562007</v>
      </c>
      <c r="U102" s="15" t="n">
        <f aca="false">IF(U36=0,0,U67/U36)</f>
        <v>0.739168082010194</v>
      </c>
      <c r="V102" s="15" t="n">
        <f aca="false">IF(V36=0,0,V67/V36)</f>
        <v>0.741518267771959</v>
      </c>
      <c r="W102" s="15" t="n">
        <f aca="false">IF(W36=0,0,W67/W36)</f>
        <v>0.743796181207868</v>
      </c>
      <c r="X102" s="15" t="n">
        <f aca="false">IF(X36=0,0,X67/X36)</f>
        <v>0.746001154848286</v>
      </c>
      <c r="Y102" s="15" t="n">
        <f aca="false">IF(Y36=0,0,Y67/Y36)</f>
        <v>0.74813207836802</v>
      </c>
      <c r="Z102" s="15" t="n">
        <f aca="false">IF(Z36=0,0,Z67/Z36)</f>
        <v>0.750187733230415</v>
      </c>
      <c r="AA102" s="15" t="n">
        <f aca="false">IF(AA36=0,0,AA67/AA36)</f>
        <v>0.750537671700003</v>
      </c>
      <c r="AB102" s="15" t="n">
        <f aca="false">IF(AB36=0,0,AB67/AB36)</f>
        <v>0.750903576023441</v>
      </c>
      <c r="AC102" s="15" t="n">
        <f aca="false">IF(AC36=0,0,AC67/AC36)</f>
        <v>0.751294492810751</v>
      </c>
      <c r="AD102" s="15" t="n">
        <f aca="false">IF(AD36=0,0,AD67/AD36)</f>
        <v>0.751629756358904</v>
      </c>
      <c r="AE102" s="15" t="n">
        <f aca="false">IF(AE36=0,0,AE67/AE36)</f>
        <v>0.751981499785608</v>
      </c>
      <c r="AF102" s="15" t="n">
        <f aca="false">IF(AF36=0,0,AF67/AF36)</f>
        <v>0.752344583061003</v>
      </c>
      <c r="AG102" s="15" t="n">
        <f aca="false">IF(AG36=0,0,AG67/AG36)</f>
        <v>0.752713942041612</v>
      </c>
      <c r="AH102" s="15" t="n">
        <f aca="false">IF(AH36=0,0,AH67/AH36)</f>
        <v>0.753085287740362</v>
      </c>
      <c r="AI102" s="15" t="n">
        <f aca="false">IF(AI36=0,0,AI67/AI36)</f>
        <v>0.753455028073692</v>
      </c>
      <c r="AJ102" s="15" t="n">
        <f aca="false">IF(AJ36=0,0,AJ67/AJ36)</f>
        <v>0.753820187554251</v>
      </c>
      <c r="AK102" s="15" t="n">
        <f aca="false">IF(AK36=0,0,AK67/AK36)</f>
        <v>0.754178333038854</v>
      </c>
      <c r="AL102" s="15" t="n">
        <f aca="false">IF(AL36=0,0,AL67/AL36)</f>
        <v>0.754527505745197</v>
      </c>
    </row>
    <row r="103" customFormat="false" ht="15" hidden="false" customHeight="false" outlineLevel="0" collapsed="false">
      <c r="A103" s="6" t="s">
        <v>514</v>
      </c>
      <c r="B103" s="2" t="s">
        <v>515</v>
      </c>
      <c r="C103" s="15" t="n">
        <f aca="false">IF(C29=0,0,C60/C29)</f>
        <v>11.2764762741228</v>
      </c>
      <c r="D103" s="15" t="n">
        <f aca="false">IF(D29=0,0,D60/D29)</f>
        <v>9.1749020432155</v>
      </c>
      <c r="E103" s="15" t="n">
        <f aca="false">IF(E29=0,0,E60/E29)</f>
        <v>8.40940631757891</v>
      </c>
      <c r="F103" s="15" t="n">
        <f aca="false">IF(F29=0,0,F60/F29)</f>
        <v>8.03432850462348</v>
      </c>
      <c r="G103" s="15" t="n">
        <f aca="false">IF(G29=0,0,G60/G29)</f>
        <v>7.74560408361027</v>
      </c>
      <c r="H103" s="15" t="n">
        <f aca="false">IF(H29=0,0,H60/H29)</f>
        <v>7.53603167949907</v>
      </c>
      <c r="I103" s="15" t="n">
        <f aca="false">IF(I29=0,0,I60/I29)</f>
        <v>7.37335378682523</v>
      </c>
      <c r="J103" s="15" t="n">
        <f aca="false">IF(J29=0,0,J60/J29)</f>
        <v>7.24131100014868</v>
      </c>
      <c r="K103" s="15" t="n">
        <f aca="false">IF(K29=0,0,K60/K29)</f>
        <v>7.13085932132064</v>
      </c>
      <c r="L103" s="15" t="n">
        <f aca="false">IF(L29=0,0,L60/L29)</f>
        <v>7.03650679494876</v>
      </c>
      <c r="M103" s="15" t="n">
        <f aca="false">IF(M29=0,0,M60/M29)</f>
        <v>6.95467949025526</v>
      </c>
      <c r="N103" s="15" t="n">
        <f aca="false">IF(N29=0,0,N60/N29)</f>
        <v>6.88291759582463</v>
      </c>
      <c r="O103" s="15" t="n">
        <f aca="false">IF(O29=0,0,O60/O29)</f>
        <v>6.8629428848053</v>
      </c>
      <c r="P103" s="15" t="n">
        <f aca="false">IF(P29=0,0,P60/P29)</f>
        <v>6.84366233144602</v>
      </c>
      <c r="Q103" s="15" t="n">
        <f aca="false">IF(Q29=0,0,Q60/Q29)</f>
        <v>6.82482570488299</v>
      </c>
      <c r="R103" s="15" t="n">
        <f aca="false">IF(R29=0,0,R60/R29)</f>
        <v>6.80847788981886</v>
      </c>
      <c r="S103" s="15" t="n">
        <f aca="false">IF(S29=0,0,S60/S29)</f>
        <v>6.79268499514258</v>
      </c>
      <c r="T103" s="15" t="n">
        <f aca="false">IF(T29=0,0,T60/T29)</f>
        <v>6.77753013157142</v>
      </c>
      <c r="U103" s="15" t="n">
        <f aca="false">IF(U29=0,0,U60/U29)</f>
        <v>6.76307814908227</v>
      </c>
      <c r="V103" s="15" t="n">
        <f aca="false">IF(V29=0,0,V60/V29)</f>
        <v>6.74936424815946</v>
      </c>
      <c r="W103" s="15" t="n">
        <f aca="false">IF(W29=0,0,W60/W29)</f>
        <v>6.73640180306503</v>
      </c>
      <c r="X103" s="15" t="n">
        <f aca="false">IF(X29=0,0,X60/X29)</f>
        <v>6.72418838769681</v>
      </c>
      <c r="Y103" s="15" t="n">
        <f aca="false">IF(Y29=0,0,Y60/Y29)</f>
        <v>6.71271029911543</v>
      </c>
      <c r="Z103" s="15" t="n">
        <f aca="false">IF(Z29=0,0,Z60/Z29)</f>
        <v>6.70194595796649</v>
      </c>
      <c r="AA103" s="15" t="n">
        <f aca="false">IF(AA29=0,0,AA60/AA29)</f>
        <v>6.69816500292076</v>
      </c>
      <c r="AB103" s="15" t="n">
        <f aca="false">IF(AB29=0,0,AB60/AB29)</f>
        <v>6.6946103042553</v>
      </c>
      <c r="AC103" s="15" t="n">
        <f aca="false">IF(AC29=0,0,AC60/AC29)</f>
        <v>6.69122071200651</v>
      </c>
      <c r="AD103" s="15" t="n">
        <f aca="false">IF(AD29=0,0,AD60/AD29)</f>
        <v>6.68828474024696</v>
      </c>
      <c r="AE103" s="15" t="n">
        <f aca="false">IF(AE29=0,0,AE60/AE29)</f>
        <v>6.68550213646188</v>
      </c>
      <c r="AF103" s="15" t="n">
        <f aca="false">IF(AF29=0,0,AF60/AF29)</f>
        <v>6.68287133959009</v>
      </c>
      <c r="AG103" s="15" t="n">
        <f aca="false">IF(AG29=0,0,AG60/AG29)</f>
        <v>6.68039156496876</v>
      </c>
      <c r="AH103" s="15" t="n">
        <f aca="false">IF(AH29=0,0,AH60/AH29)</f>
        <v>6.67806017885995</v>
      </c>
      <c r="AI103" s="15" t="n">
        <f aca="false">IF(AI29=0,0,AI60/AI29)</f>
        <v>6.6758731766907</v>
      </c>
      <c r="AJ103" s="15" t="n">
        <f aca="false">IF(AJ29=0,0,AJ60/AJ29)</f>
        <v>6.67382558439512</v>
      </c>
      <c r="AK103" s="15" t="n">
        <f aca="false">IF(AK29=0,0,AK60/AK29)</f>
        <v>6.67191177113586</v>
      </c>
      <c r="AL103" s="15" t="n">
        <f aca="false">IF(AL29=0,0,AL60/AL29)</f>
        <v>6.67012569153005</v>
      </c>
    </row>
    <row r="104" customFormat="false" ht="15" hidden="false" customHeight="false" outlineLevel="0" collapsed="false">
      <c r="A104" s="6" t="s">
        <v>516</v>
      </c>
      <c r="B104" s="2" t="s">
        <v>517</v>
      </c>
      <c r="C104" s="14" t="n">
        <f aca="false">IF(((C11+C9)*Assumptions!$E$111)=0,0,(C10+C8)/((C11+C9)*Assumptions!$E$111))</f>
        <v>242.914979757085</v>
      </c>
      <c r="D104" s="14" t="n">
        <f aca="false">IF(((D11+D9)*Assumptions!$E$111)=0,0,(D10+D8)/((D11+D9)*Assumptions!$E$111))</f>
        <v>242.914979757085</v>
      </c>
      <c r="E104" s="14" t="n">
        <f aca="false">IF(((E11+E9)*Assumptions!$E$111)=0,0,(E10+E8)/((E11+E9)*Assumptions!$E$111))</f>
        <v>242.914979757085</v>
      </c>
      <c r="F104" s="14" t="n">
        <f aca="false">IF(((F11+F9)*Assumptions!$E$111)=0,0,(F10+F8)/((F11+F9)*Assumptions!$E$111))</f>
        <v>275.870889633736</v>
      </c>
      <c r="G104" s="14" t="n">
        <f aca="false">IF(((G11+G9)*Assumptions!$E$111)=0,0,(G10+G8)/((G11+G9)*Assumptions!$E$111))</f>
        <v>276.247383587591</v>
      </c>
      <c r="H104" s="14" t="n">
        <f aca="false">IF(((H11+H9)*Assumptions!$E$111)=0,0,(H10+H8)/((H11+H9)*Assumptions!$E$111))</f>
        <v>276.625158998864</v>
      </c>
      <c r="I104" s="14" t="n">
        <f aca="false">IF(((I11+I9)*Assumptions!$E$111)=0,0,(I10+I8)/((I11+I9)*Assumptions!$E$111))</f>
        <v>277.004152215112</v>
      </c>
      <c r="J104" s="14" t="n">
        <f aca="false">IF(((J11+J9)*Assumptions!$E$111)=0,0,(J10+J8)/((J11+J9)*Assumptions!$E$111))</f>
        <v>277.384298721101</v>
      </c>
      <c r="K104" s="14" t="n">
        <f aca="false">IF(((K11+K9)*Assumptions!$E$111)=0,0,(K10+K8)/((K11+K9)*Assumptions!$E$111))</f>
        <v>277.765533180615</v>
      </c>
      <c r="L104" s="14" t="n">
        <f aca="false">IF(((L11+L9)*Assumptions!$E$111)=0,0,(L10+L8)/((L11+L9)*Assumptions!$E$111))</f>
        <v>278.147789479498</v>
      </c>
      <c r="M104" s="14" t="n">
        <f aca="false">IF(((M11+M9)*Assumptions!$E$111)=0,0,(M10+M8)/((M11+M9)*Assumptions!$E$111))</f>
        <v>278.531000769857</v>
      </c>
      <c r="N104" s="14" t="n">
        <f aca="false">IF(((N11+N9)*Assumptions!$E$111)=0,0,(N10+N8)/((N11+N9)*Assumptions!$E$111))</f>
        <v>278.915099515369</v>
      </c>
      <c r="O104" s="14" t="n">
        <f aca="false">IF(((O11+O9)*Assumptions!$E$111)=0,0,(O10+O8)/((O11+O9)*Assumptions!$E$111))</f>
        <v>279.300017537641</v>
      </c>
      <c r="P104" s="14" t="n">
        <f aca="false">IF(((P11+P9)*Assumptions!$E$111)=0,0,(P10+P8)/((P11+P9)*Assumptions!$E$111))</f>
        <v>279.685686063545</v>
      </c>
      <c r="Q104" s="14" t="n">
        <f aca="false">IF(((Q11+Q9)*Assumptions!$E$111)=0,0,(Q10+Q8)/((Q11+Q9)*Assumptions!$E$111))</f>
        <v>280.072035773461</v>
      </c>
      <c r="R104" s="14" t="n">
        <f aca="false">IF(((R11+R9)*Assumptions!$E$111)=0,0,(R10+R8)/((R11+R9)*Assumptions!$E$111))</f>
        <v>280.458996850367</v>
      </c>
      <c r="S104" s="14" t="n">
        <f aca="false">IF(((S11+S9)*Assumptions!$E$111)=0,0,(S10+S8)/((S11+S9)*Assumptions!$E$111))</f>
        <v>280.84649902969</v>
      </c>
      <c r="T104" s="14" t="n">
        <f aca="false">IF(((T11+T9)*Assumptions!$E$111)=0,0,(T10+T8)/((T11+T9)*Assumptions!$E$111))</f>
        <v>281.234471649861</v>
      </c>
      <c r="U104" s="14" t="n">
        <f aca="false">IF(((U11+U9)*Assumptions!$E$111)=0,0,(U10+U8)/((U11+U9)*Assumptions!$E$111))</f>
        <v>281.622843703474</v>
      </c>
      <c r="V104" s="14" t="n">
        <f aca="false">IF(((V11+V9)*Assumptions!$E$111)=0,0,(V10+V8)/((V11+V9)*Assumptions!$E$111))</f>
        <v>282.011543888995</v>
      </c>
      <c r="W104" s="14" t="n">
        <f aca="false">IF(((W11+W9)*Assumptions!$E$111)=0,0,(W10+W8)/((W11+W9)*Assumptions!$E$111))</f>
        <v>282.400500662922</v>
      </c>
      <c r="X104" s="14" t="n">
        <f aca="false">IF(((X11+X9)*Assumptions!$E$111)=0,0,(X10+X8)/((X11+X9)*Assumptions!$E$111))</f>
        <v>282.789642292333</v>
      </c>
      <c r="Y104" s="14" t="n">
        <f aca="false">IF(((Y11+Y9)*Assumptions!$E$111)=0,0,(Y10+Y8)/((Y11+Y9)*Assumptions!$E$111))</f>
        <v>283.17889690772</v>
      </c>
      <c r="Z104" s="14" t="n">
        <f aca="false">IF(((Z11+Z9)*Assumptions!$E$111)=0,0,(Z10+Z8)/((Z11+Z9)*Assumptions!$E$111))</f>
        <v>283.568192556048</v>
      </c>
      <c r="AA104" s="14" t="n">
        <f aca="false">IF(((AA11+AA9)*Assumptions!$E$111)=0,0,(AA10+AA8)/((AA11+AA9)*Assumptions!$E$111))</f>
        <v>283.957457253936</v>
      </c>
      <c r="AB104" s="14" t="n">
        <f aca="false">IF(((AB11+AB9)*Assumptions!$E$111)=0,0,(AB10+AB8)/((AB11+AB9)*Assumptions!$E$111))</f>
        <v>284.346619040892</v>
      </c>
      <c r="AC104" s="14" t="n">
        <f aca="false">IF(((AC11+AC9)*Assumptions!$E$111)=0,0,(AC10+AC8)/((AC11+AC9)*Assumptions!$E$111))</f>
        <v>284.735606032511</v>
      </c>
      <c r="AD104" s="14" t="n">
        <f aca="false">IF(((AD11+AD9)*Assumptions!$E$111)=0,0,(AD10+AD8)/((AD11+AD9)*Assumptions!$E$111))</f>
        <v>285.124346473547</v>
      </c>
      <c r="AE104" s="14" t="n">
        <f aca="false">IF(((AE11+AE9)*Assumptions!$E$111)=0,0,(AE10+AE8)/((AE11+AE9)*Assumptions!$E$111))</f>
        <v>285.512768790797</v>
      </c>
      <c r="AF104" s="14" t="n">
        <f aca="false">IF(((AF11+AF9)*Assumptions!$E$111)=0,0,(AF10+AF8)/((AF11+AF9)*Assumptions!$E$111))</f>
        <v>285.900801645678</v>
      </c>
      <c r="AG104" s="14" t="n">
        <f aca="false">IF(((AG11+AG9)*Assumptions!$E$111)=0,0,(AG10+AG8)/((AG11+AG9)*Assumptions!$E$111))</f>
        <v>286.288373986462</v>
      </c>
      <c r="AH104" s="14" t="n">
        <f aca="false">IF(((AH11+AH9)*Assumptions!$E$111)=0,0,(AH10+AH8)/((AH11+AH9)*Assumptions!$E$111))</f>
        <v>286.675415100039</v>
      </c>
      <c r="AI104" s="14" t="n">
        <f aca="false">IF(((AI11+AI9)*Assumptions!$E$111)=0,0,(AI10+AI8)/((AI11+AI9)*Assumptions!$E$111))</f>
        <v>287.061854663168</v>
      </c>
      <c r="AJ104" s="14" t="n">
        <f aca="false">IF(((AJ11+AJ9)*Assumptions!$E$111)=0,0,(AJ10+AJ8)/((AJ11+AJ9)*Assumptions!$E$111))</f>
        <v>287.447622793118</v>
      </c>
      <c r="AK104" s="14" t="n">
        <f aca="false">IF(((AK11+AK9)*Assumptions!$E$111)=0,0,(AK10+AK8)/((AK11+AK9)*Assumptions!$E$111))</f>
        <v>287.83265009762</v>
      </c>
      <c r="AL104" s="14" t="n">
        <f aca="false">IF(((AL11+AL9)*Assumptions!$E$111)=0,0,(AL10+AL8)/((AL11+AL9)*Assumptions!$E$111))</f>
        <v>288.21686772407</v>
      </c>
    </row>
    <row r="105" customFormat="false" ht="15" hidden="false" customHeight="false" outlineLevel="0" collapsed="false">
      <c r="A105" s="6" t="s">
        <v>518</v>
      </c>
      <c r="B105" s="2" t="s">
        <v>519</v>
      </c>
      <c r="C105" s="8" t="n">
        <f aca="false">IF((C91&gt;=0),1,0)</f>
        <v>0</v>
      </c>
      <c r="D105" s="8" t="n">
        <f aca="false">IF((D91&gt;=0),1,0)</f>
        <v>0</v>
      </c>
      <c r="E105" s="8" t="n">
        <f aca="false">IF((E91&gt;=0),1,0)</f>
        <v>0</v>
      </c>
      <c r="F105" s="8" t="n">
        <f aca="false">IF((F91&gt;=0),1,0)</f>
        <v>0</v>
      </c>
      <c r="G105" s="8" t="n">
        <f aca="false">IF((G91&gt;=0),1,0)</f>
        <v>0</v>
      </c>
      <c r="H105" s="8" t="n">
        <f aca="false">IF((H91&gt;=0),1,0)</f>
        <v>0</v>
      </c>
      <c r="I105" s="8" t="n">
        <f aca="false">IF((I91&gt;=0),1,0)</f>
        <v>0</v>
      </c>
      <c r="J105" s="8" t="n">
        <f aca="false">IF((J91&gt;=0),1,0)</f>
        <v>0</v>
      </c>
      <c r="K105" s="8" t="n">
        <f aca="false">IF((K91&gt;=0),1,0)</f>
        <v>0</v>
      </c>
      <c r="L105" s="8" t="n">
        <f aca="false">IF((L91&gt;=0),1,0)</f>
        <v>0</v>
      </c>
      <c r="M105" s="8" t="n">
        <f aca="false">IF((M91&gt;=0),1,0)</f>
        <v>0</v>
      </c>
      <c r="N105" s="8" t="n">
        <f aca="false">IF((N91&gt;=0),1,0)</f>
        <v>1</v>
      </c>
      <c r="O105" s="8" t="n">
        <f aca="false">IF((O91&gt;=0),1,0)</f>
        <v>0</v>
      </c>
      <c r="P105" s="8" t="n">
        <f aca="false">IF((P91&gt;=0),1,0)</f>
        <v>0</v>
      </c>
      <c r="Q105" s="8" t="n">
        <f aca="false">IF((Q91&gt;=0),1,0)</f>
        <v>0</v>
      </c>
      <c r="R105" s="8" t="n">
        <f aca="false">IF((R91&gt;=0),1,0)</f>
        <v>0</v>
      </c>
      <c r="S105" s="8" t="n">
        <f aca="false">IF((S91&gt;=0),1,0)</f>
        <v>0</v>
      </c>
      <c r="T105" s="8" t="n">
        <f aca="false">IF((T91&gt;=0),1,0)</f>
        <v>0</v>
      </c>
      <c r="U105" s="8" t="n">
        <f aca="false">IF((U91&gt;=0),1,0)</f>
        <v>0</v>
      </c>
      <c r="V105" s="8" t="n">
        <f aca="false">IF((V91&gt;=0),1,0)</f>
        <v>0</v>
      </c>
      <c r="W105" s="8" t="n">
        <f aca="false">IF((W91&gt;=0),1,0)</f>
        <v>1</v>
      </c>
      <c r="X105" s="8" t="n">
        <f aca="false">IF((X91&gt;=0),1,0)</f>
        <v>1</v>
      </c>
      <c r="Y105" s="8" t="n">
        <f aca="false">IF((Y91&gt;=0),1,0)</f>
        <v>1</v>
      </c>
      <c r="Z105" s="8" t="n">
        <f aca="false">IF((Z91&gt;=0),1,0)</f>
        <v>1</v>
      </c>
      <c r="AA105" s="8" t="n">
        <f aca="false">IF((AA91&gt;=0),1,0)</f>
        <v>0</v>
      </c>
      <c r="AB105" s="8" t="n">
        <f aca="false">IF((AB91&gt;=0),1,0)</f>
        <v>1</v>
      </c>
      <c r="AC105" s="8" t="n">
        <f aca="false">IF((AC91&gt;=0),1,0)</f>
        <v>1</v>
      </c>
      <c r="AD105" s="8" t="n">
        <f aca="false">IF((AD91&gt;=0),1,0)</f>
        <v>1</v>
      </c>
      <c r="AE105" s="8" t="n">
        <f aca="false">IF((AE91&gt;=0),1,0)</f>
        <v>1</v>
      </c>
      <c r="AF105" s="8" t="n">
        <f aca="false">IF((AF91&gt;=0),1,0)</f>
        <v>1</v>
      </c>
      <c r="AG105" s="8" t="n">
        <f aca="false">IF((AG91&gt;=0),1,0)</f>
        <v>1</v>
      </c>
      <c r="AH105" s="8" t="n">
        <f aca="false">IF((AH91&gt;=0),1,0)</f>
        <v>1</v>
      </c>
      <c r="AI105" s="8" t="n">
        <f aca="false">IF((AI91&gt;=0),1,0)</f>
        <v>1</v>
      </c>
      <c r="AJ105" s="8" t="n">
        <f aca="false">IF((AJ91&gt;=0),1,0)</f>
        <v>1</v>
      </c>
      <c r="AK105" s="8" t="n">
        <f aca="false">IF((AK91&gt;=0),1,0)</f>
        <v>1</v>
      </c>
      <c r="AL105" s="8" t="n">
        <f aca="false">IF((AL91&gt;=0),1,0)</f>
        <v>1</v>
      </c>
    </row>
    <row r="106" customFormat="false" ht="15" hidden="false" customHeight="false" outlineLevel="0" collapsed="false">
      <c r="A106" s="6" t="s">
        <v>520</v>
      </c>
      <c r="B106" s="2" t="s">
        <v>521</v>
      </c>
      <c r="C106" s="8" t="n">
        <f aca="false">IF(AND((C91&gt;=0),(D106=1)),1,0)</f>
        <v>0</v>
      </c>
      <c r="D106" s="8" t="n">
        <f aca="false">IF(AND((D91&gt;=0),(E106=1)),1,0)</f>
        <v>0</v>
      </c>
      <c r="E106" s="8" t="n">
        <f aca="false">IF(AND((E91&gt;=0),(F106=1)),1,0)</f>
        <v>0</v>
      </c>
      <c r="F106" s="8" t="n">
        <f aca="false">IF(AND((F91&gt;=0),(G106=1)),1,0)</f>
        <v>0</v>
      </c>
      <c r="G106" s="8" t="n">
        <f aca="false">IF(AND((G91&gt;=0),(H106=1)),1,0)</f>
        <v>0</v>
      </c>
      <c r="H106" s="8" t="n">
        <f aca="false">IF(AND((H91&gt;=0),(I106=1)),1,0)</f>
        <v>0</v>
      </c>
      <c r="I106" s="8" t="n">
        <f aca="false">IF(AND((I91&gt;=0),(J106=1)),1,0)</f>
        <v>0</v>
      </c>
      <c r="J106" s="8" t="n">
        <f aca="false">IF(AND((J91&gt;=0),(K106=1)),1,0)</f>
        <v>0</v>
      </c>
      <c r="K106" s="8" t="n">
        <f aca="false">IF(AND((K91&gt;=0),(L106=1)),1,0)</f>
        <v>0</v>
      </c>
      <c r="L106" s="8" t="n">
        <f aca="false">IF(AND((L91&gt;=0),(M106=1)),1,0)</f>
        <v>0</v>
      </c>
      <c r="M106" s="8" t="n">
        <f aca="false">IF(AND((M91&gt;=0),(N106=1)),1,0)</f>
        <v>0</v>
      </c>
      <c r="N106" s="8" t="n">
        <f aca="false">IF(AND((N91&gt;=0),(O106=1)),1,0)</f>
        <v>0</v>
      </c>
      <c r="O106" s="8" t="n">
        <f aca="false">IF(AND((O91&gt;=0),(P106=1)),1,0)</f>
        <v>0</v>
      </c>
      <c r="P106" s="8" t="n">
        <f aca="false">IF(AND((P91&gt;=0),(Q106=1)),1,0)</f>
        <v>0</v>
      </c>
      <c r="Q106" s="8" t="n">
        <f aca="false">IF(AND((Q91&gt;=0),(R106=1)),1,0)</f>
        <v>0</v>
      </c>
      <c r="R106" s="8" t="n">
        <f aca="false">IF(AND((R91&gt;=0),(S106=1)),1,0)</f>
        <v>0</v>
      </c>
      <c r="S106" s="8" t="n">
        <f aca="false">IF(AND((S91&gt;=0),(T106=1)),1,0)</f>
        <v>0</v>
      </c>
      <c r="T106" s="8" t="n">
        <f aca="false">IF(AND((T91&gt;=0),(U106=1)),1,0)</f>
        <v>0</v>
      </c>
      <c r="U106" s="8" t="n">
        <f aca="false">IF(AND((U91&gt;=0),(V106=1)),1,0)</f>
        <v>0</v>
      </c>
      <c r="V106" s="8" t="n">
        <f aca="false">IF(AND((V91&gt;=0),(W106=1)),1,0)</f>
        <v>0</v>
      </c>
      <c r="W106" s="8" t="n">
        <f aca="false">IF(AND((W91&gt;=0),(X106=1)),1,0)</f>
        <v>0</v>
      </c>
      <c r="X106" s="8" t="n">
        <f aca="false">IF(AND((X91&gt;=0),(Y106=1)),1,0)</f>
        <v>0</v>
      </c>
      <c r="Y106" s="8" t="n">
        <f aca="false">IF(AND((Y91&gt;=0),(Z106=1)),1,0)</f>
        <v>0</v>
      </c>
      <c r="Z106" s="8" t="n">
        <f aca="false">IF(AND((Z91&gt;=0),(AA106=1)),1,0)</f>
        <v>0</v>
      </c>
      <c r="AA106" s="8" t="n">
        <f aca="false">IF(AND((AA91&gt;=0),(AB106=1)),1,0)</f>
        <v>0</v>
      </c>
      <c r="AB106" s="8" t="n">
        <f aca="false">IF(AND((AB91&gt;=0),(AC106=1)),1,0)</f>
        <v>1</v>
      </c>
      <c r="AC106" s="8" t="n">
        <f aca="false">IF(AND((AC91&gt;=0),(AD106=1)),1,0)</f>
        <v>1</v>
      </c>
      <c r="AD106" s="8" t="n">
        <f aca="false">IF(AND((AD91&gt;=0),(AE106=1)),1,0)</f>
        <v>1</v>
      </c>
      <c r="AE106" s="8" t="n">
        <f aca="false">IF(AND((AE91&gt;=0),(AF106=1)),1,0)</f>
        <v>1</v>
      </c>
      <c r="AF106" s="8" t="n">
        <f aca="false">IF(AND((AF91&gt;=0),(AG106=1)),1,0)</f>
        <v>1</v>
      </c>
      <c r="AG106" s="8" t="n">
        <f aca="false">IF(AND((AG91&gt;=0),(AH106=1)),1,0)</f>
        <v>1</v>
      </c>
      <c r="AH106" s="8" t="n">
        <f aca="false">IF(AND((AH91&gt;=0),(AI106=1)),1,0)</f>
        <v>1</v>
      </c>
      <c r="AI106" s="8" t="n">
        <f aca="false">IF(AND((AI91&gt;=0),(AJ106=1)),1,0)</f>
        <v>1</v>
      </c>
      <c r="AJ106" s="8" t="n">
        <f aca="false">IF(AND((AJ91&gt;=0),(AK106=1)),1,0)</f>
        <v>1</v>
      </c>
      <c r="AK106" s="8" t="n">
        <f aca="false">IF(AND((AK91&gt;=0),(AL106=1)),1,0)</f>
        <v>1</v>
      </c>
      <c r="AL106" s="8" t="n">
        <f aca="false">IF((AL91&gt;=0),1,0)</f>
        <v>1</v>
      </c>
    </row>
    <row r="107" customFormat="false" ht="15" hidden="false" customHeight="false" outlineLevel="0" collapsed="false">
      <c r="A107" s="6" t="s">
        <v>522</v>
      </c>
      <c r="B107" s="2" t="s">
        <v>523</v>
      </c>
      <c r="C107" s="8" t="n">
        <f aca="false">IF(AND((C98&gt;=0),(D107=1)),1,0)</f>
        <v>0</v>
      </c>
      <c r="D107" s="8" t="n">
        <f aca="false">IF(AND((D98&gt;=0),(E107=1)),1,0)</f>
        <v>0</v>
      </c>
      <c r="E107" s="8" t="n">
        <f aca="false">IF(AND((E98&gt;=0),(F107=1)),1,0)</f>
        <v>0</v>
      </c>
      <c r="F107" s="8" t="n">
        <f aca="false">IF(AND((F98&gt;=0),(G107=1)),1,0)</f>
        <v>0</v>
      </c>
      <c r="G107" s="8" t="n">
        <f aca="false">IF(AND((G98&gt;=0),(H107=1)),1,0)</f>
        <v>0</v>
      </c>
      <c r="H107" s="8" t="n">
        <f aca="false">IF(AND((H98&gt;=0),(I107=1)),1,0)</f>
        <v>0</v>
      </c>
      <c r="I107" s="8" t="n">
        <f aca="false">IF(AND((I98&gt;=0),(J107=1)),1,0)</f>
        <v>0</v>
      </c>
      <c r="J107" s="8" t="n">
        <f aca="false">IF(AND((J98&gt;=0),(K107=1)),1,0)</f>
        <v>0</v>
      </c>
      <c r="K107" s="8" t="n">
        <f aca="false">IF(AND((K98&gt;=0),(L107=1)),1,0)</f>
        <v>0</v>
      </c>
      <c r="L107" s="8" t="n">
        <f aca="false">IF(AND((L98&gt;=0),(M107=1)),1,0)</f>
        <v>0</v>
      </c>
      <c r="M107" s="8" t="n">
        <f aca="false">IF(AND((M98&gt;=0),(N107=1)),1,0)</f>
        <v>0</v>
      </c>
      <c r="N107" s="8" t="n">
        <f aca="false">IF(AND((N98&gt;=0),(O107=1)),1,0)</f>
        <v>0</v>
      </c>
      <c r="O107" s="8" t="n">
        <f aca="false">IF(AND((O98&gt;=0),(P107=1)),1,0)</f>
        <v>0</v>
      </c>
      <c r="P107" s="8" t="n">
        <f aca="false">IF(AND((P98&gt;=0),(Q107=1)),1,0)</f>
        <v>0</v>
      </c>
      <c r="Q107" s="8" t="n">
        <f aca="false">IF(AND((Q98&gt;=0),(R107=1)),1,0)</f>
        <v>0</v>
      </c>
      <c r="R107" s="8" t="n">
        <f aca="false">IF(AND((R98&gt;=0),(S107=1)),1,0)</f>
        <v>0</v>
      </c>
      <c r="S107" s="8" t="n">
        <f aca="false">IF(AND((S98&gt;=0),(T107=1)),1,0)</f>
        <v>0</v>
      </c>
      <c r="T107" s="8" t="n">
        <f aca="false">IF(AND((T98&gt;=0),(U107=1)),1,0)</f>
        <v>0</v>
      </c>
      <c r="U107" s="8" t="n">
        <f aca="false">IF(AND((U98&gt;=0),(V107=1)),1,0)</f>
        <v>0</v>
      </c>
      <c r="V107" s="8" t="n">
        <f aca="false">IF(AND((V98&gt;=0),(W107=1)),1,0)</f>
        <v>0</v>
      </c>
      <c r="W107" s="8" t="n">
        <f aca="false">IF(AND((W98&gt;=0),(X107=1)),1,0)</f>
        <v>0</v>
      </c>
      <c r="X107" s="8" t="n">
        <f aca="false">IF(AND((X98&gt;=0),(Y107=1)),1,0)</f>
        <v>1</v>
      </c>
      <c r="Y107" s="8" t="n">
        <f aca="false">IF(AND((Y98&gt;=0),(Z107=1)),1,0)</f>
        <v>1</v>
      </c>
      <c r="Z107" s="8" t="n">
        <f aca="false">IF(AND((Z98&gt;=0),(AA107=1)),1,0)</f>
        <v>1</v>
      </c>
      <c r="AA107" s="8" t="n">
        <f aca="false">IF(AND((AA98&gt;=0),(AB107=1)),1,0)</f>
        <v>1</v>
      </c>
      <c r="AB107" s="8" t="n">
        <f aca="false">IF(AND((AB98&gt;=0),(AC107=1)),1,0)</f>
        <v>1</v>
      </c>
      <c r="AC107" s="8" t="n">
        <f aca="false">IF(AND((AC98&gt;=0),(AD107=1)),1,0)</f>
        <v>1</v>
      </c>
      <c r="AD107" s="8" t="n">
        <f aca="false">IF(AND((AD98&gt;=0),(AE107=1)),1,0)</f>
        <v>1</v>
      </c>
      <c r="AE107" s="8" t="n">
        <f aca="false">IF(AND((AE98&gt;=0),(AF107=1)),1,0)</f>
        <v>1</v>
      </c>
      <c r="AF107" s="8" t="n">
        <f aca="false">IF(AND((AF98&gt;=0),(AG107=1)),1,0)</f>
        <v>1</v>
      </c>
      <c r="AG107" s="8" t="n">
        <f aca="false">IF(AND((AG98&gt;=0),(AH107=1)),1,0)</f>
        <v>1</v>
      </c>
      <c r="AH107" s="8" t="n">
        <f aca="false">IF(AND((AH98&gt;=0),(AI107=1)),1,0)</f>
        <v>1</v>
      </c>
      <c r="AI107" s="8" t="n">
        <f aca="false">IF(AND((AI98&gt;=0),(AJ107=1)),1,0)</f>
        <v>1</v>
      </c>
      <c r="AJ107" s="8" t="n">
        <f aca="false">IF(AND((AJ98&gt;=0),(AK107=1)),1,0)</f>
        <v>1</v>
      </c>
      <c r="AK107" s="8" t="n">
        <f aca="false">IF(AND((AK98&gt;=0),(AL107=1)),1,0)</f>
        <v>1</v>
      </c>
      <c r="AL107" s="8" t="n">
        <f aca="false">IF((AL98&gt;=0),1,0)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8" min="3" style="0" width="11"/>
  </cols>
  <sheetData>
    <row r="1" customFormat="false" ht="16.15" hidden="false" customHeight="false" outlineLevel="0" collapsed="false">
      <c r="A1" s="1" t="s">
        <v>524</v>
      </c>
    </row>
    <row r="2" customFormat="false" ht="15" hidden="false" customHeight="false" outlineLevel="0" collapsed="false">
      <c r="A2" s="3" t="s">
        <v>312</v>
      </c>
      <c r="B2" s="19"/>
      <c r="C2" s="20" t="n">
        <v>1</v>
      </c>
      <c r="D2" s="20" t="n">
        <v>2</v>
      </c>
      <c r="E2" s="20" t="n">
        <v>3</v>
      </c>
      <c r="F2" s="20" t="n">
        <v>4</v>
      </c>
      <c r="G2" s="20" t="n">
        <v>5</v>
      </c>
      <c r="H2" s="20" t="n">
        <v>6</v>
      </c>
      <c r="I2" s="20" t="n">
        <v>7</v>
      </c>
      <c r="J2" s="20" t="n">
        <v>8</v>
      </c>
      <c r="K2" s="20" t="n">
        <v>9</v>
      </c>
      <c r="L2" s="20" t="n">
        <v>10</v>
      </c>
      <c r="M2" s="20" t="n">
        <v>11</v>
      </c>
      <c r="N2" s="20" t="n">
        <v>12</v>
      </c>
      <c r="O2" s="20" t="n">
        <v>13</v>
      </c>
      <c r="P2" s="20" t="n">
        <v>14</v>
      </c>
      <c r="Q2" s="20" t="n">
        <v>15</v>
      </c>
      <c r="R2" s="20" t="n">
        <v>16</v>
      </c>
      <c r="S2" s="20" t="n">
        <v>17</v>
      </c>
      <c r="T2" s="20" t="n">
        <v>18</v>
      </c>
      <c r="U2" s="20" t="n">
        <v>19</v>
      </c>
      <c r="V2" s="20" t="n">
        <v>20</v>
      </c>
      <c r="W2" s="20" t="n">
        <v>21</v>
      </c>
      <c r="X2" s="20" t="n">
        <v>22</v>
      </c>
      <c r="Y2" s="20" t="n">
        <v>23</v>
      </c>
      <c r="Z2" s="20" t="n">
        <v>24</v>
      </c>
      <c r="AA2" s="20" t="n">
        <v>25</v>
      </c>
      <c r="AB2" s="20" t="n">
        <v>26</v>
      </c>
      <c r="AC2" s="20" t="n">
        <v>27</v>
      </c>
      <c r="AD2" s="20" t="n">
        <v>28</v>
      </c>
      <c r="AE2" s="20" t="n">
        <v>29</v>
      </c>
      <c r="AF2" s="20" t="n">
        <v>30</v>
      </c>
      <c r="AG2" s="20" t="n">
        <v>31</v>
      </c>
      <c r="AH2" s="20" t="n">
        <v>32</v>
      </c>
      <c r="AI2" s="20" t="n">
        <v>33</v>
      </c>
      <c r="AJ2" s="20" t="n">
        <v>34</v>
      </c>
      <c r="AK2" s="20" t="n">
        <v>35</v>
      </c>
      <c r="AL2" s="20" t="n">
        <v>36</v>
      </c>
    </row>
    <row r="3" customFormat="false" ht="15" hidden="false" customHeight="false" outlineLevel="0" collapsed="false">
      <c r="A3" s="3" t="s">
        <v>313</v>
      </c>
      <c r="B3" s="19"/>
      <c r="C3" s="20" t="n">
        <v>1</v>
      </c>
      <c r="D3" s="20" t="n">
        <v>1</v>
      </c>
      <c r="E3" s="20" t="n">
        <v>1</v>
      </c>
      <c r="F3" s="20" t="n">
        <v>1</v>
      </c>
      <c r="G3" s="20" t="n">
        <v>1</v>
      </c>
      <c r="H3" s="20" t="n">
        <v>1</v>
      </c>
      <c r="I3" s="20" t="n">
        <v>1</v>
      </c>
      <c r="J3" s="20" t="n">
        <v>1</v>
      </c>
      <c r="K3" s="20" t="n">
        <v>1</v>
      </c>
      <c r="L3" s="20" t="n">
        <v>1</v>
      </c>
      <c r="M3" s="20" t="n">
        <v>1</v>
      </c>
      <c r="N3" s="20" t="n">
        <v>1</v>
      </c>
      <c r="O3" s="20" t="n">
        <v>2</v>
      </c>
      <c r="P3" s="20" t="n">
        <v>2</v>
      </c>
      <c r="Q3" s="20" t="n">
        <v>2</v>
      </c>
      <c r="R3" s="20" t="n">
        <v>2</v>
      </c>
      <c r="S3" s="20" t="n">
        <v>2</v>
      </c>
      <c r="T3" s="20" t="n">
        <v>2</v>
      </c>
      <c r="U3" s="20" t="n">
        <v>2</v>
      </c>
      <c r="V3" s="20" t="n">
        <v>2</v>
      </c>
      <c r="W3" s="20" t="n">
        <v>2</v>
      </c>
      <c r="X3" s="20" t="n">
        <v>2</v>
      </c>
      <c r="Y3" s="20" t="n">
        <v>2</v>
      </c>
      <c r="Z3" s="20" t="n">
        <v>2</v>
      </c>
      <c r="AA3" s="20" t="n">
        <v>3</v>
      </c>
      <c r="AB3" s="20" t="n">
        <v>3</v>
      </c>
      <c r="AC3" s="20" t="n">
        <v>3</v>
      </c>
      <c r="AD3" s="20" t="n">
        <v>3</v>
      </c>
      <c r="AE3" s="20" t="n">
        <v>3</v>
      </c>
      <c r="AF3" s="20" t="n">
        <v>3</v>
      </c>
      <c r="AG3" s="20" t="n">
        <v>3</v>
      </c>
      <c r="AH3" s="20" t="n">
        <v>3</v>
      </c>
      <c r="AI3" s="20" t="n">
        <v>3</v>
      </c>
      <c r="AJ3" s="20" t="n">
        <v>3</v>
      </c>
      <c r="AK3" s="20" t="n">
        <v>3</v>
      </c>
      <c r="AL3" s="20" t="n">
        <v>3</v>
      </c>
    </row>
    <row r="4" customFormat="false" ht="15" hidden="false" customHeight="false" outlineLevel="0" collapsed="false">
      <c r="A4" s="3" t="s">
        <v>314</v>
      </c>
      <c r="B4" s="19"/>
      <c r="C4" s="20" t="s">
        <v>315</v>
      </c>
      <c r="D4" s="20" t="s">
        <v>316</v>
      </c>
      <c r="E4" s="20" t="s">
        <v>317</v>
      </c>
      <c r="F4" s="20" t="s">
        <v>318</v>
      </c>
      <c r="G4" s="20" t="s">
        <v>319</v>
      </c>
      <c r="H4" s="20" t="s">
        <v>320</v>
      </c>
      <c r="I4" s="20" t="s">
        <v>321</v>
      </c>
      <c r="J4" s="20" t="s">
        <v>322</v>
      </c>
      <c r="K4" s="20" t="s">
        <v>323</v>
      </c>
      <c r="L4" s="20" t="s">
        <v>324</v>
      </c>
      <c r="M4" s="20" t="s">
        <v>325</v>
      </c>
      <c r="N4" s="20" t="s">
        <v>326</v>
      </c>
      <c r="O4" s="20" t="s">
        <v>327</v>
      </c>
      <c r="P4" s="20" t="s">
        <v>328</v>
      </c>
      <c r="Q4" s="20" t="s">
        <v>329</v>
      </c>
      <c r="R4" s="20" t="s">
        <v>330</v>
      </c>
      <c r="S4" s="20" t="s">
        <v>331</v>
      </c>
      <c r="T4" s="20" t="s">
        <v>332</v>
      </c>
      <c r="U4" s="20" t="s">
        <v>333</v>
      </c>
      <c r="V4" s="20" t="s">
        <v>334</v>
      </c>
      <c r="W4" s="20" t="s">
        <v>335</v>
      </c>
      <c r="X4" s="20" t="s">
        <v>336</v>
      </c>
      <c r="Y4" s="20" t="s">
        <v>337</v>
      </c>
      <c r="Z4" s="20" t="s">
        <v>338</v>
      </c>
      <c r="AA4" s="20" t="s">
        <v>339</v>
      </c>
      <c r="AB4" s="20" t="s">
        <v>340</v>
      </c>
      <c r="AC4" s="20" t="s">
        <v>341</v>
      </c>
      <c r="AD4" s="20" t="s">
        <v>342</v>
      </c>
      <c r="AE4" s="20" t="s">
        <v>343</v>
      </c>
      <c r="AF4" s="20" t="s">
        <v>344</v>
      </c>
      <c r="AG4" s="20" t="s">
        <v>345</v>
      </c>
      <c r="AH4" s="20" t="s">
        <v>346</v>
      </c>
      <c r="AI4" s="20" t="s">
        <v>347</v>
      </c>
      <c r="AJ4" s="20" t="s">
        <v>348</v>
      </c>
      <c r="AK4" s="20" t="s">
        <v>349</v>
      </c>
      <c r="AL4" s="20" t="s">
        <v>350</v>
      </c>
    </row>
    <row r="5" customFormat="false" ht="15" hidden="false" customHeight="false" outlineLevel="0" collapsed="false">
      <c r="A5" s="4" t="s">
        <v>34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customFormat="false" ht="15" hidden="false" customHeight="false" outlineLevel="0" collapsed="false">
      <c r="A6" s="6" t="s">
        <v>351</v>
      </c>
      <c r="B6" s="2" t="s">
        <v>352</v>
      </c>
      <c r="C6" s="17" t="n">
        <f aca="false">(Assumptions!$F$13*((1+Assumptions!$F$14)^(C$2-1)))</f>
        <v>560</v>
      </c>
      <c r="D6" s="17" t="n">
        <f aca="false">(Assumptions!$F$13*((1+Assumptions!$F$14)^(D$2-1)))</f>
        <v>582.4</v>
      </c>
      <c r="E6" s="17" t="n">
        <f aca="false">(Assumptions!$F$13*((1+Assumptions!$F$14)^(E$2-1)))</f>
        <v>605.696</v>
      </c>
      <c r="F6" s="17" t="n">
        <f aca="false">(Assumptions!$F$13*((1+Assumptions!$F$14)^(F$2-1)))</f>
        <v>629.92384</v>
      </c>
      <c r="G6" s="17" t="n">
        <f aca="false">(Assumptions!$F$13*((1+Assumptions!$F$14)^(G$2-1)))</f>
        <v>655.1207936</v>
      </c>
      <c r="H6" s="17" t="n">
        <f aca="false">(Assumptions!$F$13*((1+Assumptions!$F$14)^(H$2-1)))</f>
        <v>681.325625344</v>
      </c>
      <c r="I6" s="17" t="n">
        <f aca="false">(Assumptions!$F$13*((1+Assumptions!$F$14)^(I$2-1)))</f>
        <v>708.57865035776</v>
      </c>
      <c r="J6" s="17" t="n">
        <f aca="false">(Assumptions!$F$13*((1+Assumptions!$F$14)^(J$2-1)))</f>
        <v>736.921796372071</v>
      </c>
      <c r="K6" s="17" t="n">
        <f aca="false">(Assumptions!$F$13*((1+Assumptions!$F$14)^(K$2-1)))</f>
        <v>766.398668226953</v>
      </c>
      <c r="L6" s="17" t="n">
        <f aca="false">(Assumptions!$F$13*((1+Assumptions!$F$14)^(L$2-1)))</f>
        <v>797.054614956032</v>
      </c>
      <c r="M6" s="17" t="n">
        <f aca="false">(Assumptions!$F$13*((1+Assumptions!$F$14)^(M$2-1)))</f>
        <v>828.936799554273</v>
      </c>
      <c r="N6" s="17" t="n">
        <f aca="false">(Assumptions!$F$13*((1+Assumptions!$F$14)^(N$2-1)))</f>
        <v>862.094271536444</v>
      </c>
      <c r="O6" s="17" t="n">
        <f aca="false">(Assumptions!$F$13*((1+Assumptions!$F$14)^(O$2-1)))</f>
        <v>896.578042397902</v>
      </c>
      <c r="P6" s="17" t="n">
        <f aca="false">(Assumptions!$F$13*((1+Assumptions!$F$14)^(P$2-1)))</f>
        <v>932.441164093818</v>
      </c>
      <c r="Q6" s="17" t="n">
        <f aca="false">(Assumptions!$F$13*((1+Assumptions!$F$14)^(Q$2-1)))</f>
        <v>969.73881065757</v>
      </c>
      <c r="R6" s="17" t="n">
        <f aca="false">(Assumptions!$F$13*((1+Assumptions!$F$14)^(R$2-1)))</f>
        <v>1008.52836308387</v>
      </c>
      <c r="S6" s="17" t="n">
        <f aca="false">(Assumptions!$F$13*((1+Assumptions!$F$14)^(S$2-1)))</f>
        <v>1048.86949760723</v>
      </c>
      <c r="T6" s="17" t="n">
        <f aca="false">(Assumptions!$F$13*((1+Assumptions!$F$14)^(T$2-1)))</f>
        <v>1090.82427751152</v>
      </c>
      <c r="U6" s="17" t="n">
        <f aca="false">(Assumptions!$F$13*((1+Assumptions!$F$14)^(U$2-1)))</f>
        <v>1134.45724861198</v>
      </c>
      <c r="V6" s="17" t="n">
        <f aca="false">(Assumptions!$F$13*((1+Assumptions!$F$14)^(V$2-1)))</f>
        <v>1179.83553855646</v>
      </c>
      <c r="W6" s="17" t="n">
        <f aca="false">(Assumptions!$F$13*((1+Assumptions!$F$14)^(W$2-1)))</f>
        <v>1227.02896009872</v>
      </c>
      <c r="X6" s="17" t="n">
        <f aca="false">(Assumptions!$F$13*((1+Assumptions!$F$14)^(X$2-1)))</f>
        <v>1276.11011850266</v>
      </c>
      <c r="Y6" s="17" t="n">
        <f aca="false">(Assumptions!$F$13*((1+Assumptions!$F$14)^(Y$2-1)))</f>
        <v>1327.15452324277</v>
      </c>
      <c r="Z6" s="17" t="n">
        <f aca="false">(Assumptions!$F$13*((1+Assumptions!$F$14)^(Z$2-1)))</f>
        <v>1380.24070417248</v>
      </c>
      <c r="AA6" s="17" t="n">
        <f aca="false">(Assumptions!$F$13*((1+Assumptions!$F$14)^(AA$2-1)))</f>
        <v>1435.45033233938</v>
      </c>
      <c r="AB6" s="17" t="n">
        <f aca="false">(Assumptions!$F$13*((1+Assumptions!$F$14)^(AB$2-1)))</f>
        <v>1492.86834563296</v>
      </c>
      <c r="AC6" s="17" t="n">
        <f aca="false">(Assumptions!$F$13*((1+Assumptions!$F$14)^(AC$2-1)))</f>
        <v>1552.58307945827</v>
      </c>
      <c r="AD6" s="17" t="n">
        <f aca="false">(Assumptions!$F$13*((1+Assumptions!$F$14)^(AD$2-1)))</f>
        <v>1614.68640263661</v>
      </c>
      <c r="AE6" s="17" t="n">
        <f aca="false">(Assumptions!$F$13*((1+Assumptions!$F$14)^(AE$2-1)))</f>
        <v>1679.27385874207</v>
      </c>
      <c r="AF6" s="17" t="n">
        <f aca="false">(Assumptions!$F$13*((1+Assumptions!$F$14)^(AF$2-1)))</f>
        <v>1746.44481309175</v>
      </c>
      <c r="AG6" s="17" t="n">
        <f aca="false">(Assumptions!$F$13*((1+Assumptions!$F$14)^(AG$2-1)))</f>
        <v>1816.30260561542</v>
      </c>
      <c r="AH6" s="17" t="n">
        <f aca="false">(Assumptions!$F$13*((1+Assumptions!$F$14)^(AH$2-1)))</f>
        <v>1888.95470984004</v>
      </c>
      <c r="AI6" s="17" t="n">
        <f aca="false">(Assumptions!$F$13*((1+Assumptions!$F$14)^(AI$2-1)))</f>
        <v>1964.51289823364</v>
      </c>
      <c r="AJ6" s="17" t="n">
        <f aca="false">(Assumptions!$F$13*((1+Assumptions!$F$14)^(AJ$2-1)))</f>
        <v>2043.09341416299</v>
      </c>
      <c r="AK6" s="17" t="n">
        <f aca="false">(Assumptions!$F$13*((1+Assumptions!$F$14)^(AK$2-1)))</f>
        <v>2124.81715072951</v>
      </c>
      <c r="AL6" s="17" t="n">
        <f aca="false">(Assumptions!$F$13*((1+Assumptions!$F$14)^(AL$2-1)))</f>
        <v>2209.80983675869</v>
      </c>
    </row>
    <row r="7" customFormat="false" ht="15" hidden="false" customHeight="false" outlineLevel="0" collapsed="false">
      <c r="A7" s="6" t="s">
        <v>353</v>
      </c>
      <c r="B7" s="2" t="s">
        <v>354</v>
      </c>
      <c r="C7" s="17" t="n">
        <f aca="false">(Assumptions!$F$15*0)</f>
        <v>0</v>
      </c>
      <c r="D7" s="17" t="n">
        <f aca="false">(Assumptions!$F$15*C36)</f>
        <v>4.92444444444444</v>
      </c>
      <c r="E7" s="17" t="n">
        <f aca="false">(Assumptions!$F$15*D36)</f>
        <v>5.50062508520637</v>
      </c>
      <c r="F7" s="17" t="n">
        <f aca="false">(Assumptions!$F$15*E36)</f>
        <v>6.02593264649222</v>
      </c>
      <c r="G7" s="17" t="n">
        <f aca="false">(Assumptions!$F$15*F36)</f>
        <v>6.73622931743112</v>
      </c>
      <c r="H7" s="17" t="n">
        <f aca="false">(Assumptions!$F$15*G36)</f>
        <v>7.2577393114729</v>
      </c>
      <c r="I7" s="17" t="n">
        <f aca="false">(Assumptions!$F$15*H36)</f>
        <v>7.76951651341145</v>
      </c>
      <c r="J7" s="17" t="n">
        <f aca="false">(Assumptions!$F$15*I36)</f>
        <v>8.27611962867693</v>
      </c>
      <c r="K7" s="17" t="n">
        <f aca="false">(Assumptions!$F$15*J36)</f>
        <v>8.78050195083575</v>
      </c>
      <c r="L7" s="17" t="n">
        <f aca="false">(Assumptions!$F$15*K36)</f>
        <v>9.28532647907912</v>
      </c>
      <c r="M7" s="17" t="n">
        <f aca="false">(Assumptions!$F$15*L36)</f>
        <v>9.79301549423486</v>
      </c>
      <c r="N7" s="17" t="n">
        <f aca="false">(Assumptions!$F$15*M36)</f>
        <v>10.3057856548953</v>
      </c>
      <c r="O7" s="17" t="n">
        <f aca="false">(Assumptions!$F$15*N36)</f>
        <v>10.8256785228534</v>
      </c>
      <c r="P7" s="17" t="n">
        <f aca="false">(Assumptions!$F$15*O36)</f>
        <v>11.3242449419693</v>
      </c>
      <c r="Q7" s="17" t="n">
        <f aca="false">(Assumptions!$F$15*P36)</f>
        <v>11.8320055286988</v>
      </c>
      <c r="R7" s="17" t="n">
        <f aca="false">(Assumptions!$F$15*Q36)</f>
        <v>12.3510061162864</v>
      </c>
      <c r="S7" s="17" t="n">
        <f aca="false">(Assumptions!$F$15*R36)</f>
        <v>12.8815515432659</v>
      </c>
      <c r="T7" s="17" t="n">
        <f aca="false">(Assumptions!$F$15*S36)</f>
        <v>13.4262767376377</v>
      </c>
      <c r="U7" s="17" t="n">
        <f aca="false">(Assumptions!$F$15*T36)</f>
        <v>13.9865980242951</v>
      </c>
      <c r="V7" s="17" t="n">
        <f aca="false">(Assumptions!$F$15*U36)</f>
        <v>14.5638675797641</v>
      </c>
      <c r="W7" s="17" t="n">
        <f aca="false">(Assumptions!$F$15*V36)</f>
        <v>15.1594013444039</v>
      </c>
      <c r="X7" s="17" t="n">
        <f aca="false">(Assumptions!$F$15*W36)</f>
        <v>15.7744889684947</v>
      </c>
      <c r="Y7" s="17" t="n">
        <f aca="false">(Assumptions!$F$15*X36)</f>
        <v>16.410402543958</v>
      </c>
      <c r="Z7" s="17" t="n">
        <f aca="false">(Assumptions!$F$15*Y36)</f>
        <v>17.0684044482111</v>
      </c>
      <c r="AA7" s="17" t="n">
        <f aca="false">(Assumptions!$F$15*Z36)</f>
        <v>17.7497544258498</v>
      </c>
      <c r="AB7" s="17" t="n">
        <f aca="false">(Assumptions!$F$15*AA36)</f>
        <v>18.446859451636</v>
      </c>
      <c r="AC7" s="17" t="n">
        <f aca="false">(Assumptions!$F$15*AB36)</f>
        <v>19.1693867910596</v>
      </c>
      <c r="AD7" s="17" t="n">
        <f aca="false">(Assumptions!$F$15*AC36)</f>
        <v>19.9187364497575</v>
      </c>
      <c r="AE7" s="17" t="n">
        <f aca="false">(Assumptions!$F$15*AD36)</f>
        <v>20.6958455801006</v>
      </c>
      <c r="AF7" s="17" t="n">
        <f aca="false">(Assumptions!$F$15*AE36)</f>
        <v>21.5023768970079</v>
      </c>
      <c r="AG7" s="17" t="n">
        <f aca="false">(Assumptions!$F$15*AF36)</f>
        <v>22.3396830070825</v>
      </c>
      <c r="AH7" s="17" t="n">
        <f aca="false">(Assumptions!$F$15*AG36)</f>
        <v>23.2091439302071</v>
      </c>
      <c r="AI7" s="17" t="n">
        <f aca="false">(Assumptions!$F$15*AH36)</f>
        <v>24.1121759428101</v>
      </c>
      <c r="AJ7" s="17" t="n">
        <f aca="false">(Assumptions!$F$15*AI36)</f>
        <v>25.0502353595961</v>
      </c>
      <c r="AK7" s="17" t="n">
        <f aca="false">(Assumptions!$F$15*AJ36)</f>
        <v>26.0248221298959</v>
      </c>
      <c r="AL7" s="17" t="n">
        <f aca="false">(Assumptions!$F$15*AK36)</f>
        <v>27.0374833319</v>
      </c>
    </row>
    <row r="8" customFormat="false" ht="15" hidden="false" customHeight="false" outlineLevel="0" collapsed="false">
      <c r="A8" s="6" t="s">
        <v>355</v>
      </c>
      <c r="B8" s="2" t="s">
        <v>356</v>
      </c>
      <c r="C8" s="14" t="n">
        <f aca="false">IF((C$2&gt;=Assumptions!$F$16),(Assumptions!$F$17*((1+Assumptions!$F$18)^(C$2-Assumptions!$F$16))),0)</f>
        <v>0</v>
      </c>
      <c r="D8" s="14" t="n">
        <f aca="false">IF((D$2&gt;=Assumptions!$F$16),(Assumptions!$F$17*((1+Assumptions!$F$18)^(D$2-Assumptions!$F$16))),0)</f>
        <v>0</v>
      </c>
      <c r="E8" s="14" t="n">
        <f aca="false">IF((E$2&gt;=Assumptions!$F$16),(Assumptions!$F$17*((1+Assumptions!$F$18)^(E$2-Assumptions!$F$16))),0)</f>
        <v>0</v>
      </c>
      <c r="F8" s="14" t="n">
        <f aca="false">IF((F$2&gt;=Assumptions!$F$16),(Assumptions!$F$17*((1+Assumptions!$F$18)^(F$2-Assumptions!$F$16))),0)</f>
        <v>300</v>
      </c>
      <c r="G8" s="14" t="n">
        <f aca="false">IF((G$2&gt;=Assumptions!$F$16),(Assumptions!$F$17*((1+Assumptions!$F$18)^(G$2-Assumptions!$F$16))),0)</f>
        <v>309</v>
      </c>
      <c r="H8" s="14" t="n">
        <f aca="false">IF((H$2&gt;=Assumptions!$F$16),(Assumptions!$F$17*((1+Assumptions!$F$18)^(H$2-Assumptions!$F$16))),0)</f>
        <v>318.27</v>
      </c>
      <c r="I8" s="14" t="n">
        <f aca="false">IF((I$2&gt;=Assumptions!$F$16),(Assumptions!$F$17*((1+Assumptions!$F$18)^(I$2-Assumptions!$F$16))),0)</f>
        <v>327.8181</v>
      </c>
      <c r="J8" s="14" t="n">
        <f aca="false">IF((J$2&gt;=Assumptions!$F$16),(Assumptions!$F$17*((1+Assumptions!$F$18)^(J$2-Assumptions!$F$16))),0)</f>
        <v>337.652643</v>
      </c>
      <c r="K8" s="14" t="n">
        <f aca="false">IF((K$2&gt;=Assumptions!$F$16),(Assumptions!$F$17*((1+Assumptions!$F$18)^(K$2-Assumptions!$F$16))),0)</f>
        <v>347.78222229</v>
      </c>
      <c r="L8" s="14" t="n">
        <f aca="false">IF((L$2&gt;=Assumptions!$F$16),(Assumptions!$F$17*((1+Assumptions!$F$18)^(L$2-Assumptions!$F$16))),0)</f>
        <v>358.2156889587</v>
      </c>
      <c r="M8" s="14" t="n">
        <f aca="false">IF((M$2&gt;=Assumptions!$F$16),(Assumptions!$F$17*((1+Assumptions!$F$18)^(M$2-Assumptions!$F$16))),0)</f>
        <v>368.962159627461</v>
      </c>
      <c r="N8" s="14" t="n">
        <f aca="false">IF((N$2&gt;=Assumptions!$F$16),(Assumptions!$F$17*((1+Assumptions!$F$18)^(N$2-Assumptions!$F$16))),0)</f>
        <v>380.031024416285</v>
      </c>
      <c r="O8" s="14" t="n">
        <f aca="false">IF((O$2&gt;=Assumptions!$F$16),(Assumptions!$F$17*((1+Assumptions!$F$18)^(O$2-Assumptions!$F$16))),0)</f>
        <v>391.431955148773</v>
      </c>
      <c r="P8" s="14" t="n">
        <f aca="false">IF((P$2&gt;=Assumptions!$F$16),(Assumptions!$F$17*((1+Assumptions!$F$18)^(P$2-Assumptions!$F$16))),0)</f>
        <v>403.174913803237</v>
      </c>
      <c r="Q8" s="14" t="n">
        <f aca="false">IF((Q$2&gt;=Assumptions!$F$16),(Assumptions!$F$17*((1+Assumptions!$F$18)^(Q$2-Assumptions!$F$16))),0)</f>
        <v>415.270161217334</v>
      </c>
      <c r="R8" s="14" t="n">
        <f aca="false">IF((R$2&gt;=Assumptions!$F$16),(Assumptions!$F$17*((1+Assumptions!$F$18)^(R$2-Assumptions!$F$16))),0)</f>
        <v>427.728266053854</v>
      </c>
      <c r="S8" s="14" t="n">
        <f aca="false">IF((S$2&gt;=Assumptions!$F$16),(Assumptions!$F$17*((1+Assumptions!$F$18)^(S$2-Assumptions!$F$16))),0)</f>
        <v>440.560114035469</v>
      </c>
      <c r="T8" s="14" t="n">
        <f aca="false">IF((T$2&gt;=Assumptions!$F$16),(Assumptions!$F$17*((1+Assumptions!$F$18)^(T$2-Assumptions!$F$16))),0)</f>
        <v>453.776917456534</v>
      </c>
      <c r="U8" s="14" t="n">
        <f aca="false">IF((U$2&gt;=Assumptions!$F$16),(Assumptions!$F$17*((1+Assumptions!$F$18)^(U$2-Assumptions!$F$16))),0)</f>
        <v>467.39022498023</v>
      </c>
      <c r="V8" s="14" t="n">
        <f aca="false">IF((V$2&gt;=Assumptions!$F$16),(Assumptions!$F$17*((1+Assumptions!$F$18)^(V$2-Assumptions!$F$16))),0)</f>
        <v>481.411931729637</v>
      </c>
      <c r="W8" s="14" t="n">
        <f aca="false">IF((W$2&gt;=Assumptions!$F$16),(Assumptions!$F$17*((1+Assumptions!$F$18)^(W$2-Assumptions!$F$16))),0)</f>
        <v>495.854289681526</v>
      </c>
      <c r="X8" s="14" t="n">
        <f aca="false">IF((X$2&gt;=Assumptions!$F$16),(Assumptions!$F$17*((1+Assumptions!$F$18)^(X$2-Assumptions!$F$16))),0)</f>
        <v>510.729918371971</v>
      </c>
      <c r="Y8" s="14" t="n">
        <f aca="false">IF((Y$2&gt;=Assumptions!$F$16),(Assumptions!$F$17*((1+Assumptions!$F$18)^(Y$2-Assumptions!$F$16))),0)</f>
        <v>526.05181592313</v>
      </c>
      <c r="Z8" s="14" t="n">
        <f aca="false">IF((Z$2&gt;=Assumptions!$F$16),(Assumptions!$F$17*((1+Assumptions!$F$18)^(Z$2-Assumptions!$F$16))),0)</f>
        <v>541.833370400825</v>
      </c>
      <c r="AA8" s="14" t="n">
        <f aca="false">IF((AA$2&gt;=Assumptions!$F$16),(Assumptions!$F$17*((1+Assumptions!$F$18)^(AA$2-Assumptions!$F$16))),0)</f>
        <v>558.088371512849</v>
      </c>
      <c r="AB8" s="14" t="n">
        <f aca="false">IF((AB$2&gt;=Assumptions!$F$16),(Assumptions!$F$17*((1+Assumptions!$F$18)^(AB$2-Assumptions!$F$16))),0)</f>
        <v>574.831022658235</v>
      </c>
      <c r="AC8" s="14" t="n">
        <f aca="false">IF((AC$2&gt;=Assumptions!$F$16),(Assumptions!$F$17*((1+Assumptions!$F$18)^(AC$2-Assumptions!$F$16))),0)</f>
        <v>592.075953337982</v>
      </c>
      <c r="AD8" s="14" t="n">
        <f aca="false">IF((AD$2&gt;=Assumptions!$F$16),(Assumptions!$F$17*((1+Assumptions!$F$18)^(AD$2-Assumptions!$F$16))),0)</f>
        <v>609.838231938121</v>
      </c>
      <c r="AE8" s="14" t="n">
        <f aca="false">IF((AE$2&gt;=Assumptions!$F$16),(Assumptions!$F$17*((1+Assumptions!$F$18)^(AE$2-Assumptions!$F$16))),0)</f>
        <v>628.133378896265</v>
      </c>
      <c r="AF8" s="14" t="n">
        <f aca="false">IF((AF$2&gt;=Assumptions!$F$16),(Assumptions!$F$17*((1+Assumptions!$F$18)^(AF$2-Assumptions!$F$16))),0)</f>
        <v>646.977380263153</v>
      </c>
      <c r="AG8" s="14" t="n">
        <f aca="false">IF((AG$2&gt;=Assumptions!$F$16),(Assumptions!$F$17*((1+Assumptions!$F$18)^(AG$2-Assumptions!$F$16))),0)</f>
        <v>666.386701671048</v>
      </c>
      <c r="AH8" s="14" t="n">
        <f aca="false">IF((AH$2&gt;=Assumptions!$F$16),(Assumptions!$F$17*((1+Assumptions!$F$18)^(AH$2-Assumptions!$F$16))),0)</f>
        <v>686.378302721179</v>
      </c>
      <c r="AI8" s="14" t="n">
        <f aca="false">IF((AI$2&gt;=Assumptions!$F$16),(Assumptions!$F$17*((1+Assumptions!$F$18)^(AI$2-Assumptions!$F$16))),0)</f>
        <v>706.969651802814</v>
      </c>
      <c r="AJ8" s="14" t="n">
        <f aca="false">IF((AJ$2&gt;=Assumptions!$F$16),(Assumptions!$F$17*((1+Assumptions!$F$18)^(AJ$2-Assumptions!$F$16))),0)</f>
        <v>728.178741356899</v>
      </c>
      <c r="AK8" s="14" t="n">
        <f aca="false">IF((AK$2&gt;=Assumptions!$F$16),(Assumptions!$F$17*((1+Assumptions!$F$18)^(AK$2-Assumptions!$F$16))),0)</f>
        <v>750.024103597606</v>
      </c>
      <c r="AL8" s="14" t="n">
        <f aca="false">IF((AL$2&gt;=Assumptions!$F$16),(Assumptions!$F$17*((1+Assumptions!$F$18)^(AL$2-Assumptions!$F$16))),0)</f>
        <v>772.524826705534</v>
      </c>
    </row>
    <row r="9" customFormat="false" ht="15" hidden="false" customHeight="false" outlineLevel="0" collapsed="false">
      <c r="A9" s="6" t="s">
        <v>357</v>
      </c>
      <c r="B9" s="2" t="s">
        <v>358</v>
      </c>
      <c r="C9" s="17" t="n">
        <f aca="false">IF(Assumptions!$F$19=0,0,C8/Assumptions!$F$19)</f>
        <v>0</v>
      </c>
      <c r="D9" s="17" t="n">
        <f aca="false">IF(Assumptions!$F$19=0,0,D8/Assumptions!$F$19)</f>
        <v>0</v>
      </c>
      <c r="E9" s="17" t="n">
        <f aca="false">IF(Assumptions!$F$19=0,0,E8/Assumptions!$F$19)</f>
        <v>0</v>
      </c>
      <c r="F9" s="17" t="n">
        <f aca="false">IF(Assumptions!$F$19=0,0,F8/Assumptions!$F$19)</f>
        <v>25</v>
      </c>
      <c r="G9" s="17" t="n">
        <f aca="false">IF(Assumptions!$F$19=0,0,G8/Assumptions!$F$19)</f>
        <v>25.75</v>
      </c>
      <c r="H9" s="17" t="n">
        <f aca="false">IF(Assumptions!$F$19=0,0,H8/Assumptions!$F$19)</f>
        <v>26.5225</v>
      </c>
      <c r="I9" s="17" t="n">
        <f aca="false">IF(Assumptions!$F$19=0,0,I8/Assumptions!$F$19)</f>
        <v>27.318175</v>
      </c>
      <c r="J9" s="17" t="n">
        <f aca="false">IF(Assumptions!$F$19=0,0,J8/Assumptions!$F$19)</f>
        <v>28.13772025</v>
      </c>
      <c r="K9" s="17" t="n">
        <f aca="false">IF(Assumptions!$F$19=0,0,K8/Assumptions!$F$19)</f>
        <v>28.9818518575</v>
      </c>
      <c r="L9" s="17" t="n">
        <f aca="false">IF(Assumptions!$F$19=0,0,L8/Assumptions!$F$19)</f>
        <v>29.851307413225</v>
      </c>
      <c r="M9" s="17" t="n">
        <f aca="false">IF(Assumptions!$F$19=0,0,M8/Assumptions!$F$19)</f>
        <v>30.7468466356218</v>
      </c>
      <c r="N9" s="17" t="n">
        <f aca="false">IF(Assumptions!$F$19=0,0,N8/Assumptions!$F$19)</f>
        <v>31.6692520346904</v>
      </c>
      <c r="O9" s="17" t="n">
        <f aca="false">IF(Assumptions!$F$19=0,0,O8/Assumptions!$F$19)</f>
        <v>32.6193295957311</v>
      </c>
      <c r="P9" s="17" t="n">
        <f aca="false">IF(Assumptions!$F$19=0,0,P8/Assumptions!$F$19)</f>
        <v>33.5979094836031</v>
      </c>
      <c r="Q9" s="17" t="n">
        <f aca="false">IF(Assumptions!$F$19=0,0,Q8/Assumptions!$F$19)</f>
        <v>34.6058467681112</v>
      </c>
      <c r="R9" s="17" t="n">
        <f aca="false">IF(Assumptions!$F$19=0,0,R8/Assumptions!$F$19)</f>
        <v>35.6440221711545</v>
      </c>
      <c r="S9" s="17" t="n">
        <f aca="false">IF(Assumptions!$F$19=0,0,S8/Assumptions!$F$19)</f>
        <v>36.7133428362891</v>
      </c>
      <c r="T9" s="17" t="n">
        <f aca="false">IF(Assumptions!$F$19=0,0,T8/Assumptions!$F$19)</f>
        <v>37.8147431213778</v>
      </c>
      <c r="U9" s="17" t="n">
        <f aca="false">IF(Assumptions!$F$19=0,0,U8/Assumptions!$F$19)</f>
        <v>38.9491854150191</v>
      </c>
      <c r="V9" s="17" t="n">
        <f aca="false">IF(Assumptions!$F$19=0,0,V8/Assumptions!$F$19)</f>
        <v>40.1176609774697</v>
      </c>
      <c r="W9" s="17" t="n">
        <f aca="false">IF(Assumptions!$F$19=0,0,W8/Assumptions!$F$19)</f>
        <v>41.3211908067938</v>
      </c>
      <c r="X9" s="17" t="n">
        <f aca="false">IF(Assumptions!$F$19=0,0,X8/Assumptions!$F$19)</f>
        <v>42.5608265309976</v>
      </c>
      <c r="Y9" s="17" t="n">
        <f aca="false">IF(Assumptions!$F$19=0,0,Y8/Assumptions!$F$19)</f>
        <v>43.8376513269275</v>
      </c>
      <c r="Z9" s="17" t="n">
        <f aca="false">IF(Assumptions!$F$19=0,0,Z8/Assumptions!$F$19)</f>
        <v>45.1527808667354</v>
      </c>
      <c r="AA9" s="17" t="n">
        <f aca="false">IF(Assumptions!$F$19=0,0,AA8/Assumptions!$F$19)</f>
        <v>46.5073642927374</v>
      </c>
      <c r="AB9" s="17" t="n">
        <f aca="false">IF(Assumptions!$F$19=0,0,AB8/Assumptions!$F$19)</f>
        <v>47.9025852215196</v>
      </c>
      <c r="AC9" s="17" t="n">
        <f aca="false">IF(Assumptions!$F$19=0,0,AC8/Assumptions!$F$19)</f>
        <v>49.3396627781652</v>
      </c>
      <c r="AD9" s="17" t="n">
        <f aca="false">IF(Assumptions!$F$19=0,0,AD8/Assumptions!$F$19)</f>
        <v>50.8198526615101</v>
      </c>
      <c r="AE9" s="17" t="n">
        <f aca="false">IF(Assumptions!$F$19=0,0,AE8/Assumptions!$F$19)</f>
        <v>52.3444482413554</v>
      </c>
      <c r="AF9" s="17" t="n">
        <f aca="false">IF(Assumptions!$F$19=0,0,AF8/Assumptions!$F$19)</f>
        <v>53.9147816885961</v>
      </c>
      <c r="AG9" s="17" t="n">
        <f aca="false">IF(Assumptions!$F$19=0,0,AG8/Assumptions!$F$19)</f>
        <v>55.532225139254</v>
      </c>
      <c r="AH9" s="17" t="n">
        <f aca="false">IF(Assumptions!$F$19=0,0,AH8/Assumptions!$F$19)</f>
        <v>57.1981918934316</v>
      </c>
      <c r="AI9" s="17" t="n">
        <f aca="false">IF(Assumptions!$F$19=0,0,AI8/Assumptions!$F$19)</f>
        <v>58.9141376502345</v>
      </c>
      <c r="AJ9" s="17" t="n">
        <f aca="false">IF(Assumptions!$F$19=0,0,AJ8/Assumptions!$F$19)</f>
        <v>60.6815617797416</v>
      </c>
      <c r="AK9" s="17" t="n">
        <f aca="false">IF(Assumptions!$F$19=0,0,AK8/Assumptions!$F$19)</f>
        <v>62.5020086331338</v>
      </c>
      <c r="AL9" s="17" t="n">
        <f aca="false">IF(Assumptions!$F$19=0,0,AL8/Assumptions!$F$19)</f>
        <v>64.3770688921278</v>
      </c>
    </row>
    <row r="10" customFormat="false" ht="15" hidden="false" customHeight="false" outlineLevel="0" collapsed="false">
      <c r="A10" s="6" t="s">
        <v>359</v>
      </c>
      <c r="B10" s="2" t="s">
        <v>360</v>
      </c>
      <c r="C10" s="14" t="n">
        <f aca="false">IF((C$2&gt;=Assumptions!$F$20),(Assumptions!$F$21*((1+Assumptions!$F$22)^(C$2-Assumptions!$F$20))),0)</f>
        <v>500</v>
      </c>
      <c r="D10" s="14" t="n">
        <f aca="false">IF((D$2&gt;=Assumptions!$F$20),(Assumptions!$F$21*((1+Assumptions!$F$22)^(D$2-Assumptions!$F$20))),0)</f>
        <v>500</v>
      </c>
      <c r="E10" s="14" t="n">
        <f aca="false">IF((E$2&gt;=Assumptions!$F$20),(Assumptions!$F$21*((1+Assumptions!$F$22)^(E$2-Assumptions!$F$20))),0)</f>
        <v>500</v>
      </c>
      <c r="F10" s="14" t="n">
        <f aca="false">IF((F$2&gt;=Assumptions!$F$20),(Assumptions!$F$21*((1+Assumptions!$F$22)^(F$2-Assumptions!$F$20))),0)</f>
        <v>500</v>
      </c>
      <c r="G10" s="14" t="n">
        <f aca="false">IF((G$2&gt;=Assumptions!$F$20),(Assumptions!$F$21*((1+Assumptions!$F$22)^(G$2-Assumptions!$F$20))),0)</f>
        <v>500</v>
      </c>
      <c r="H10" s="14" t="n">
        <f aca="false">IF((H$2&gt;=Assumptions!$F$20),(Assumptions!$F$21*((1+Assumptions!$F$22)^(H$2-Assumptions!$F$20))),0)</f>
        <v>500</v>
      </c>
      <c r="I10" s="14" t="n">
        <f aca="false">IF((I$2&gt;=Assumptions!$F$20),(Assumptions!$F$21*((1+Assumptions!$F$22)^(I$2-Assumptions!$F$20))),0)</f>
        <v>500</v>
      </c>
      <c r="J10" s="14" t="n">
        <f aca="false">IF((J$2&gt;=Assumptions!$F$20),(Assumptions!$F$21*((1+Assumptions!$F$22)^(J$2-Assumptions!$F$20))),0)</f>
        <v>500</v>
      </c>
      <c r="K10" s="14" t="n">
        <f aca="false">IF((K$2&gt;=Assumptions!$F$20),(Assumptions!$F$21*((1+Assumptions!$F$22)^(K$2-Assumptions!$F$20))),0)</f>
        <v>500</v>
      </c>
      <c r="L10" s="14" t="n">
        <f aca="false">IF((L$2&gt;=Assumptions!$F$20),(Assumptions!$F$21*((1+Assumptions!$F$22)^(L$2-Assumptions!$F$20))),0)</f>
        <v>500</v>
      </c>
      <c r="M10" s="14" t="n">
        <f aca="false">IF((M$2&gt;=Assumptions!$F$20),(Assumptions!$F$21*((1+Assumptions!$F$22)^(M$2-Assumptions!$F$20))),0)</f>
        <v>500</v>
      </c>
      <c r="N10" s="14" t="n">
        <f aca="false">IF((N$2&gt;=Assumptions!$F$20),(Assumptions!$F$21*((1+Assumptions!$F$22)^(N$2-Assumptions!$F$20))),0)</f>
        <v>500</v>
      </c>
      <c r="O10" s="14" t="n">
        <f aca="false">IF((O$2&gt;=Assumptions!$F$20),(Assumptions!$F$21*((1+Assumptions!$F$22)^(O$2-Assumptions!$F$20))),0)</f>
        <v>500</v>
      </c>
      <c r="P10" s="14" t="n">
        <f aca="false">IF((P$2&gt;=Assumptions!$F$20),(Assumptions!$F$21*((1+Assumptions!$F$22)^(P$2-Assumptions!$F$20))),0)</f>
        <v>500</v>
      </c>
      <c r="Q10" s="14" t="n">
        <f aca="false">IF((Q$2&gt;=Assumptions!$F$20),(Assumptions!$F$21*((1+Assumptions!$F$22)^(Q$2-Assumptions!$F$20))),0)</f>
        <v>500</v>
      </c>
      <c r="R10" s="14" t="n">
        <f aca="false">IF((R$2&gt;=Assumptions!$F$20),(Assumptions!$F$21*((1+Assumptions!$F$22)^(R$2-Assumptions!$F$20))),0)</f>
        <v>500</v>
      </c>
      <c r="S10" s="14" t="n">
        <f aca="false">IF((S$2&gt;=Assumptions!$F$20),(Assumptions!$F$21*((1+Assumptions!$F$22)^(S$2-Assumptions!$F$20))),0)</f>
        <v>500</v>
      </c>
      <c r="T10" s="14" t="n">
        <f aca="false">IF((T$2&gt;=Assumptions!$F$20),(Assumptions!$F$21*((1+Assumptions!$F$22)^(T$2-Assumptions!$F$20))),0)</f>
        <v>500</v>
      </c>
      <c r="U10" s="14" t="n">
        <f aca="false">IF((U$2&gt;=Assumptions!$F$20),(Assumptions!$F$21*((1+Assumptions!$F$22)^(U$2-Assumptions!$F$20))),0)</f>
        <v>500</v>
      </c>
      <c r="V10" s="14" t="n">
        <f aca="false">IF((V$2&gt;=Assumptions!$F$20),(Assumptions!$F$21*((1+Assumptions!$F$22)^(V$2-Assumptions!$F$20))),0)</f>
        <v>500</v>
      </c>
      <c r="W10" s="14" t="n">
        <f aca="false">IF((W$2&gt;=Assumptions!$F$20),(Assumptions!$F$21*((1+Assumptions!$F$22)^(W$2-Assumptions!$F$20))),0)</f>
        <v>500</v>
      </c>
      <c r="X10" s="14" t="n">
        <f aca="false">IF((X$2&gt;=Assumptions!$F$20),(Assumptions!$F$21*((1+Assumptions!$F$22)^(X$2-Assumptions!$F$20))),0)</f>
        <v>500</v>
      </c>
      <c r="Y10" s="14" t="n">
        <f aca="false">IF((Y$2&gt;=Assumptions!$F$20),(Assumptions!$F$21*((1+Assumptions!$F$22)^(Y$2-Assumptions!$F$20))),0)</f>
        <v>500</v>
      </c>
      <c r="Z10" s="14" t="n">
        <f aca="false">IF((Z$2&gt;=Assumptions!$F$20),(Assumptions!$F$21*((1+Assumptions!$F$22)^(Z$2-Assumptions!$F$20))),0)</f>
        <v>500</v>
      </c>
      <c r="AA10" s="14" t="n">
        <f aca="false">IF((AA$2&gt;=Assumptions!$F$20),(Assumptions!$F$21*((1+Assumptions!$F$22)^(AA$2-Assumptions!$F$20))),0)</f>
        <v>500</v>
      </c>
      <c r="AB10" s="14" t="n">
        <f aca="false">IF((AB$2&gt;=Assumptions!$F$20),(Assumptions!$F$21*((1+Assumptions!$F$22)^(AB$2-Assumptions!$F$20))),0)</f>
        <v>500</v>
      </c>
      <c r="AC10" s="14" t="n">
        <f aca="false">IF((AC$2&gt;=Assumptions!$F$20),(Assumptions!$F$21*((1+Assumptions!$F$22)^(AC$2-Assumptions!$F$20))),0)</f>
        <v>500</v>
      </c>
      <c r="AD10" s="14" t="n">
        <f aca="false">IF((AD$2&gt;=Assumptions!$F$20),(Assumptions!$F$21*((1+Assumptions!$F$22)^(AD$2-Assumptions!$F$20))),0)</f>
        <v>500</v>
      </c>
      <c r="AE10" s="14" t="n">
        <f aca="false">IF((AE$2&gt;=Assumptions!$F$20),(Assumptions!$F$21*((1+Assumptions!$F$22)^(AE$2-Assumptions!$F$20))),0)</f>
        <v>500</v>
      </c>
      <c r="AF10" s="14" t="n">
        <f aca="false">IF((AF$2&gt;=Assumptions!$F$20),(Assumptions!$F$21*((1+Assumptions!$F$22)^(AF$2-Assumptions!$F$20))),0)</f>
        <v>500</v>
      </c>
      <c r="AG10" s="14" t="n">
        <f aca="false">IF((AG$2&gt;=Assumptions!$F$20),(Assumptions!$F$21*((1+Assumptions!$F$22)^(AG$2-Assumptions!$F$20))),0)</f>
        <v>500</v>
      </c>
      <c r="AH10" s="14" t="n">
        <f aca="false">IF((AH$2&gt;=Assumptions!$F$20),(Assumptions!$F$21*((1+Assumptions!$F$22)^(AH$2-Assumptions!$F$20))),0)</f>
        <v>500</v>
      </c>
      <c r="AI10" s="14" t="n">
        <f aca="false">IF((AI$2&gt;=Assumptions!$F$20),(Assumptions!$F$21*((1+Assumptions!$F$22)^(AI$2-Assumptions!$F$20))),0)</f>
        <v>500</v>
      </c>
      <c r="AJ10" s="14" t="n">
        <f aca="false">IF((AJ$2&gt;=Assumptions!$F$20),(Assumptions!$F$21*((1+Assumptions!$F$22)^(AJ$2-Assumptions!$F$20))),0)</f>
        <v>500</v>
      </c>
      <c r="AK10" s="14" t="n">
        <f aca="false">IF((AK$2&gt;=Assumptions!$F$20),(Assumptions!$F$21*((1+Assumptions!$F$22)^(AK$2-Assumptions!$F$20))),0)</f>
        <v>500</v>
      </c>
      <c r="AL10" s="14" t="n">
        <f aca="false">IF((AL$2&gt;=Assumptions!$F$20),(Assumptions!$F$21*((1+Assumptions!$F$22)^(AL$2-Assumptions!$F$20))),0)</f>
        <v>500</v>
      </c>
    </row>
    <row r="11" customFormat="false" ht="15" hidden="false" customHeight="false" outlineLevel="0" collapsed="false">
      <c r="A11" s="6" t="s">
        <v>361</v>
      </c>
      <c r="B11" s="2" t="s">
        <v>362</v>
      </c>
      <c r="C11" s="17" t="n">
        <f aca="false">IF(Assumptions!$F$23=0,0,C10/Assumptions!$F$23)</f>
        <v>55.5555555555556</v>
      </c>
      <c r="D11" s="17" t="n">
        <f aca="false">IF(Assumptions!$F$23=0,0,D10/Assumptions!$F$23)</f>
        <v>55.5555555555556</v>
      </c>
      <c r="E11" s="17" t="n">
        <f aca="false">IF(Assumptions!$F$23=0,0,E10/Assumptions!$F$23)</f>
        <v>55.5555555555556</v>
      </c>
      <c r="F11" s="17" t="n">
        <f aca="false">IF(Assumptions!$F$23=0,0,F10/Assumptions!$F$23)</f>
        <v>55.5555555555556</v>
      </c>
      <c r="G11" s="17" t="n">
        <f aca="false">IF(Assumptions!$F$23=0,0,G10/Assumptions!$F$23)</f>
        <v>55.5555555555556</v>
      </c>
      <c r="H11" s="17" t="n">
        <f aca="false">IF(Assumptions!$F$23=0,0,H10/Assumptions!$F$23)</f>
        <v>55.5555555555556</v>
      </c>
      <c r="I11" s="17" t="n">
        <f aca="false">IF(Assumptions!$F$23=0,0,I10/Assumptions!$F$23)</f>
        <v>55.5555555555556</v>
      </c>
      <c r="J11" s="17" t="n">
        <f aca="false">IF(Assumptions!$F$23=0,0,J10/Assumptions!$F$23)</f>
        <v>55.5555555555556</v>
      </c>
      <c r="K11" s="17" t="n">
        <f aca="false">IF(Assumptions!$F$23=0,0,K10/Assumptions!$F$23)</f>
        <v>55.5555555555556</v>
      </c>
      <c r="L11" s="17" t="n">
        <f aca="false">IF(Assumptions!$F$23=0,0,L10/Assumptions!$F$23)</f>
        <v>55.5555555555556</v>
      </c>
      <c r="M11" s="17" t="n">
        <f aca="false">IF(Assumptions!$F$23=0,0,M10/Assumptions!$F$23)</f>
        <v>55.5555555555556</v>
      </c>
      <c r="N11" s="17" t="n">
        <f aca="false">IF(Assumptions!$F$23=0,0,N10/Assumptions!$F$23)</f>
        <v>55.5555555555556</v>
      </c>
      <c r="O11" s="17" t="n">
        <f aca="false">IF(Assumptions!$F$23=0,0,O10/Assumptions!$F$23)</f>
        <v>55.5555555555556</v>
      </c>
      <c r="P11" s="17" t="n">
        <f aca="false">IF(Assumptions!$F$23=0,0,P10/Assumptions!$F$23)</f>
        <v>55.5555555555556</v>
      </c>
      <c r="Q11" s="17" t="n">
        <f aca="false">IF(Assumptions!$F$23=0,0,Q10/Assumptions!$F$23)</f>
        <v>55.5555555555556</v>
      </c>
      <c r="R11" s="17" t="n">
        <f aca="false">IF(Assumptions!$F$23=0,0,R10/Assumptions!$F$23)</f>
        <v>55.5555555555556</v>
      </c>
      <c r="S11" s="17" t="n">
        <f aca="false">IF(Assumptions!$F$23=0,0,S10/Assumptions!$F$23)</f>
        <v>55.5555555555556</v>
      </c>
      <c r="T11" s="17" t="n">
        <f aca="false">IF(Assumptions!$F$23=0,0,T10/Assumptions!$F$23)</f>
        <v>55.5555555555556</v>
      </c>
      <c r="U11" s="17" t="n">
        <f aca="false">IF(Assumptions!$F$23=0,0,U10/Assumptions!$F$23)</f>
        <v>55.5555555555556</v>
      </c>
      <c r="V11" s="17" t="n">
        <f aca="false">IF(Assumptions!$F$23=0,0,V10/Assumptions!$F$23)</f>
        <v>55.5555555555556</v>
      </c>
      <c r="W11" s="17" t="n">
        <f aca="false">IF(Assumptions!$F$23=0,0,W10/Assumptions!$F$23)</f>
        <v>55.5555555555556</v>
      </c>
      <c r="X11" s="17" t="n">
        <f aca="false">IF(Assumptions!$F$23=0,0,X10/Assumptions!$F$23)</f>
        <v>55.5555555555556</v>
      </c>
      <c r="Y11" s="17" t="n">
        <f aca="false">IF(Assumptions!$F$23=0,0,Y10/Assumptions!$F$23)</f>
        <v>55.5555555555556</v>
      </c>
      <c r="Z11" s="17" t="n">
        <f aca="false">IF(Assumptions!$F$23=0,0,Z10/Assumptions!$F$23)</f>
        <v>55.5555555555556</v>
      </c>
      <c r="AA11" s="17" t="n">
        <f aca="false">IF(Assumptions!$F$23=0,0,AA10/Assumptions!$F$23)</f>
        <v>55.5555555555556</v>
      </c>
      <c r="AB11" s="17" t="n">
        <f aca="false">IF(Assumptions!$F$23=0,0,AB10/Assumptions!$F$23)</f>
        <v>55.5555555555556</v>
      </c>
      <c r="AC11" s="17" t="n">
        <f aca="false">IF(Assumptions!$F$23=0,0,AC10/Assumptions!$F$23)</f>
        <v>55.5555555555556</v>
      </c>
      <c r="AD11" s="17" t="n">
        <f aca="false">IF(Assumptions!$F$23=0,0,AD10/Assumptions!$F$23)</f>
        <v>55.5555555555556</v>
      </c>
      <c r="AE11" s="17" t="n">
        <f aca="false">IF(Assumptions!$F$23=0,0,AE10/Assumptions!$F$23)</f>
        <v>55.5555555555556</v>
      </c>
      <c r="AF11" s="17" t="n">
        <f aca="false">IF(Assumptions!$F$23=0,0,AF10/Assumptions!$F$23)</f>
        <v>55.5555555555556</v>
      </c>
      <c r="AG11" s="17" t="n">
        <f aca="false">IF(Assumptions!$F$23=0,0,AG10/Assumptions!$F$23)</f>
        <v>55.5555555555556</v>
      </c>
      <c r="AH11" s="17" t="n">
        <f aca="false">IF(Assumptions!$F$23=0,0,AH10/Assumptions!$F$23)</f>
        <v>55.5555555555556</v>
      </c>
      <c r="AI11" s="17" t="n">
        <f aca="false">IF(Assumptions!$F$23=0,0,AI10/Assumptions!$F$23)</f>
        <v>55.5555555555556</v>
      </c>
      <c r="AJ11" s="17" t="n">
        <f aca="false">IF(Assumptions!$F$23=0,0,AJ10/Assumptions!$F$23)</f>
        <v>55.5555555555556</v>
      </c>
      <c r="AK11" s="17" t="n">
        <f aca="false">IF(Assumptions!$F$23=0,0,AK10/Assumptions!$F$23)</f>
        <v>55.5555555555556</v>
      </c>
      <c r="AL11" s="17" t="n">
        <f aca="false">IF(Assumptions!$F$23=0,0,AL10/Assumptions!$F$23)</f>
        <v>55.5555555555556</v>
      </c>
    </row>
    <row r="12" customFormat="false" ht="15" hidden="false" customHeight="false" outlineLevel="0" collapsed="false">
      <c r="A12" s="21" t="s">
        <v>363</v>
      </c>
      <c r="B12" s="2" t="s">
        <v>364</v>
      </c>
      <c r="C12" s="22" t="n">
        <f aca="false">(((C6+C7)+C9)+C11)</f>
        <v>615.555555555556</v>
      </c>
      <c r="D12" s="22" t="n">
        <f aca="false">(((D6+D7)+D9)+D11)</f>
        <v>642.88</v>
      </c>
      <c r="E12" s="22" t="n">
        <f aca="false">(((E6+E7)+E9)+E11)</f>
        <v>666.752180640762</v>
      </c>
      <c r="F12" s="22" t="n">
        <f aca="false">(((F6+F7)+F9)+F11)</f>
        <v>716.505328202048</v>
      </c>
      <c r="G12" s="22" t="n">
        <f aca="false">(((G6+G7)+G9)+G11)</f>
        <v>743.162578472987</v>
      </c>
      <c r="H12" s="22" t="n">
        <f aca="false">(((H6+H7)+H9)+H11)</f>
        <v>770.661420211029</v>
      </c>
      <c r="I12" s="22" t="n">
        <f aca="false">(((I6+I7)+I9)+I11)</f>
        <v>799.221897426727</v>
      </c>
      <c r="J12" s="22" t="n">
        <f aca="false">(((J6+J7)+J9)+J11)</f>
        <v>828.891191806303</v>
      </c>
      <c r="K12" s="22" t="n">
        <f aca="false">(((K6+K7)+K9)+K11)</f>
        <v>859.716577590845</v>
      </c>
      <c r="L12" s="22" t="n">
        <f aca="false">(((L6+L7)+L9)+L11)</f>
        <v>891.746804403891</v>
      </c>
      <c r="M12" s="22" t="n">
        <f aca="false">(((M6+M7)+M9)+M11)</f>
        <v>925.032217239685</v>
      </c>
      <c r="N12" s="22" t="n">
        <f aca="false">(((N6+N7)+N9)+N11)</f>
        <v>959.624864781585</v>
      </c>
      <c r="O12" s="22" t="n">
        <f aca="false">(((O6+O7)+O9)+O11)</f>
        <v>995.578606072042</v>
      </c>
      <c r="P12" s="22" t="n">
        <f aca="false">(((P6+P7)+P9)+P11)</f>
        <v>1032.91887407495</v>
      </c>
      <c r="Q12" s="22" t="n">
        <f aca="false">(((Q6+Q7)+Q9)+Q11)</f>
        <v>1071.73221850994</v>
      </c>
      <c r="R12" s="22" t="n">
        <f aca="false">(((R6+R7)+R9)+R11)</f>
        <v>1112.07894692687</v>
      </c>
      <c r="S12" s="22" t="n">
        <f aca="false">(((S6+S7)+S9)+S11)</f>
        <v>1154.01994754234</v>
      </c>
      <c r="T12" s="22" t="n">
        <f aca="false">(((T6+T7)+T9)+T11)</f>
        <v>1197.62085292609</v>
      </c>
      <c r="U12" s="22" t="n">
        <f aca="false">(((U6+U7)+U9)+U11)</f>
        <v>1242.94858760685</v>
      </c>
      <c r="V12" s="22" t="n">
        <f aca="false">(((V6+V7)+V9)+V11)</f>
        <v>1290.07262266925</v>
      </c>
      <c r="W12" s="22" t="n">
        <f aca="false">(((W6+W7)+W9)+W11)</f>
        <v>1339.06510780547</v>
      </c>
      <c r="X12" s="22" t="n">
        <f aca="false">(((X6+X7)+X9)+X11)</f>
        <v>1390.00098955771</v>
      </c>
      <c r="Y12" s="22" t="n">
        <f aca="false">(((Y6+Y7)+Y9)+Y11)</f>
        <v>1442.95813266921</v>
      </c>
      <c r="Z12" s="22" t="n">
        <f aca="false">(((Z6+Z7)+Z9)+Z11)</f>
        <v>1498.01744504298</v>
      </c>
      <c r="AA12" s="22" t="n">
        <f aca="false">(((AA6+AA7)+AA9)+AA11)</f>
        <v>1555.26300661352</v>
      </c>
      <c r="AB12" s="22" t="n">
        <f aca="false">(((AB6+AB7)+AB9)+AB11)</f>
        <v>1614.77334586167</v>
      </c>
      <c r="AC12" s="22" t="n">
        <f aca="false">(((AC6+AC7)+AC9)+AC11)</f>
        <v>1676.64768458306</v>
      </c>
      <c r="AD12" s="22" t="n">
        <f aca="false">(((AD6+AD7)+AD9)+AD11)</f>
        <v>1740.98054730343</v>
      </c>
      <c r="AE12" s="22" t="n">
        <f aca="false">(((AE6+AE7)+AE9)+AE11)</f>
        <v>1807.86970811908</v>
      </c>
      <c r="AF12" s="22" t="n">
        <f aca="false">(((AF6+AF7)+AF9)+AF11)</f>
        <v>1877.41752723291</v>
      </c>
      <c r="AG12" s="22" t="n">
        <f aca="false">(((AG6+AG7)+AG9)+AG11)</f>
        <v>1949.73006931732</v>
      </c>
      <c r="AH12" s="22" t="n">
        <f aca="false">(((AH6+AH7)+AH9)+AH11)</f>
        <v>2024.91760121923</v>
      </c>
      <c r="AI12" s="22" t="n">
        <f aca="false">(((AI6+AI7)+AI9)+AI11)</f>
        <v>2103.09476738224</v>
      </c>
      <c r="AJ12" s="22" t="n">
        <f aca="false">(((AJ6+AJ7)+AJ9)+AJ11)</f>
        <v>2184.38076685788</v>
      </c>
      <c r="AK12" s="22" t="n">
        <f aca="false">(((AK6+AK7)+AK9)+AK11)</f>
        <v>2268.89953704809</v>
      </c>
      <c r="AL12" s="22" t="n">
        <f aca="false">(((AL6+AL7)+AL9)+AL11)</f>
        <v>2356.77994453827</v>
      </c>
    </row>
    <row r="14" customFormat="false" ht="15" hidden="false" customHeight="false" outlineLevel="0" collapsed="false">
      <c r="A14" s="4" t="s">
        <v>365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customFormat="false" ht="15" hidden="false" customHeight="false" outlineLevel="0" collapsed="false">
      <c r="A15" s="6" t="s">
        <v>366</v>
      </c>
      <c r="B15" s="2" t="s">
        <v>367</v>
      </c>
      <c r="C15" s="17" t="n">
        <f aca="false">(C12*Assumptions!$F$25)</f>
        <v>338.555555555556</v>
      </c>
      <c r="D15" s="17" t="n">
        <f aca="false">(D12*Assumptions!$F$25)</f>
        <v>353.584</v>
      </c>
      <c r="E15" s="17" t="n">
        <f aca="false">(E12*Assumptions!$F$25)</f>
        <v>366.713699352419</v>
      </c>
      <c r="F15" s="17" t="n">
        <f aca="false">(F12*Assumptions!$F$25)</f>
        <v>394.077930511126</v>
      </c>
      <c r="G15" s="17" t="n">
        <f aca="false">(G12*Assumptions!$F$25)</f>
        <v>408.739418160143</v>
      </c>
      <c r="H15" s="17" t="n">
        <f aca="false">(H12*Assumptions!$F$25)</f>
        <v>423.863781116066</v>
      </c>
      <c r="I15" s="17" t="n">
        <f aca="false">(I12*Assumptions!$F$25)</f>
        <v>439.5720435847</v>
      </c>
      <c r="J15" s="17" t="n">
        <f aca="false">(J12*Assumptions!$F$25)</f>
        <v>455.890155493467</v>
      </c>
      <c r="K15" s="17" t="n">
        <f aca="false">(K12*Assumptions!$F$25)</f>
        <v>472.844117674965</v>
      </c>
      <c r="L15" s="17" t="n">
        <f aca="false">(L12*Assumptions!$F$25)</f>
        <v>490.46074242214</v>
      </c>
      <c r="M15" s="17" t="n">
        <f aca="false">(M12*Assumptions!$F$25)</f>
        <v>508.767719481827</v>
      </c>
      <c r="N15" s="17" t="n">
        <f aca="false">(N12*Assumptions!$F$25)</f>
        <v>527.793675629872</v>
      </c>
      <c r="O15" s="17" t="n">
        <f aca="false">(O12*Assumptions!$F$25)</f>
        <v>547.568233339623</v>
      </c>
      <c r="P15" s="17" t="n">
        <f aca="false">(P12*Assumptions!$F$25)</f>
        <v>568.10538074122</v>
      </c>
      <c r="Q15" s="17" t="n">
        <f aca="false">(Q12*Assumptions!$F$25)</f>
        <v>589.452720180465</v>
      </c>
      <c r="R15" s="17" t="n">
        <f aca="false">(R12*Assumptions!$F$25)</f>
        <v>611.643420809778</v>
      </c>
      <c r="S15" s="17" t="n">
        <f aca="false">(S12*Assumptions!$F$25)</f>
        <v>634.710971148286</v>
      </c>
      <c r="T15" s="17" t="n">
        <f aca="false">(T12*Assumptions!$F$25)</f>
        <v>658.691469109349</v>
      </c>
      <c r="U15" s="17" t="n">
        <f aca="false">(U12*Assumptions!$F$25)</f>
        <v>683.621723183767</v>
      </c>
      <c r="V15" s="17" t="n">
        <f aca="false">(V12*Assumptions!$F$25)</f>
        <v>709.539942468086</v>
      </c>
      <c r="W15" s="17" t="n">
        <f aca="false">(W12*Assumptions!$F$25)</f>
        <v>736.485809293008</v>
      </c>
      <c r="X15" s="17" t="n">
        <f aca="false">(X12*Assumptions!$F$25)</f>
        <v>764.500544256742</v>
      </c>
      <c r="Y15" s="17" t="n">
        <f aca="false">(Y12*Assumptions!$F$25)</f>
        <v>793.626972968067</v>
      </c>
      <c r="Z15" s="17" t="n">
        <f aca="false">(Z12*Assumptions!$F$25)</f>
        <v>823.909594773641</v>
      </c>
      <c r="AA15" s="17" t="n">
        <f aca="false">(AA12*Assumptions!$F$25)</f>
        <v>855.394653637438</v>
      </c>
      <c r="AB15" s="17" t="n">
        <f aca="false">(AB12*Assumptions!$F$25)</f>
        <v>888.125340223917</v>
      </c>
      <c r="AC15" s="17" t="n">
        <f aca="false">(AC12*Assumptions!$F$25)</f>
        <v>922.15622652068</v>
      </c>
      <c r="AD15" s="17" t="n">
        <f aca="false">(AD12*Assumptions!$F$25)</f>
        <v>957.539301016886</v>
      </c>
      <c r="AE15" s="17" t="n">
        <f aca="false">(AE12*Assumptions!$F$25)</f>
        <v>994.328339465495</v>
      </c>
      <c r="AF15" s="17" t="n">
        <f aca="false">(AF12*Assumptions!$F$25)</f>
        <v>1032.5796399781</v>
      </c>
      <c r="AG15" s="17" t="n">
        <f aca="false">(AG12*Assumptions!$F$25)</f>
        <v>1072.35153812452</v>
      </c>
      <c r="AH15" s="17" t="n">
        <f aca="false">(AH12*Assumptions!$F$25)</f>
        <v>1113.70468067058</v>
      </c>
      <c r="AI15" s="17" t="n">
        <f aca="false">(AI12*Assumptions!$F$25)</f>
        <v>1156.70212206023</v>
      </c>
      <c r="AJ15" s="17" t="n">
        <f aca="false">(AJ12*Assumptions!$F$25)</f>
        <v>1201.40942177183</v>
      </c>
      <c r="AK15" s="17" t="n">
        <f aca="false">(AK12*Assumptions!$F$25)</f>
        <v>1247.89474537645</v>
      </c>
      <c r="AL15" s="17" t="n">
        <f aca="false">(AL12*Assumptions!$F$25)</f>
        <v>1296.22896949605</v>
      </c>
    </row>
    <row r="16" customFormat="false" ht="15" hidden="false" customHeight="false" outlineLevel="0" collapsed="false">
      <c r="A16" s="6" t="s">
        <v>368</v>
      </c>
      <c r="B16" s="2" t="s">
        <v>369</v>
      </c>
      <c r="C16" s="17" t="n">
        <f aca="false">(C15*Assumptions!$F$29)</f>
        <v>27.0844444444444</v>
      </c>
      <c r="D16" s="17" t="n">
        <f aca="false">(D15*Assumptions!$F$29)</f>
        <v>28.28672</v>
      </c>
      <c r="E16" s="17" t="n">
        <f aca="false">(E15*Assumptions!$F$29)</f>
        <v>29.3370959481935</v>
      </c>
      <c r="F16" s="17" t="n">
        <f aca="false">(F15*Assumptions!$F$29)</f>
        <v>31.5262344408901</v>
      </c>
      <c r="G16" s="17" t="n">
        <f aca="false">(G15*Assumptions!$F$29)</f>
        <v>32.6991534528114</v>
      </c>
      <c r="H16" s="17" t="n">
        <f aca="false">(H15*Assumptions!$F$29)</f>
        <v>33.9091024892853</v>
      </c>
      <c r="I16" s="17" t="n">
        <f aca="false">(I15*Assumptions!$F$29)</f>
        <v>35.165763486776</v>
      </c>
      <c r="J16" s="17" t="n">
        <f aca="false">(J15*Assumptions!$F$29)</f>
        <v>36.4712124394773</v>
      </c>
      <c r="K16" s="17" t="n">
        <f aca="false">(K15*Assumptions!$F$29)</f>
        <v>37.8275294139972</v>
      </c>
      <c r="L16" s="17" t="n">
        <f aca="false">(L15*Assumptions!$F$29)</f>
        <v>39.2368593937712</v>
      </c>
      <c r="M16" s="17" t="n">
        <f aca="false">(M15*Assumptions!$F$29)</f>
        <v>40.7014175585462</v>
      </c>
      <c r="N16" s="17" t="n">
        <f aca="false">(N15*Assumptions!$F$29)</f>
        <v>42.2234940503897</v>
      </c>
      <c r="O16" s="17" t="n">
        <f aca="false">(O15*Assumptions!$F$29)</f>
        <v>43.8054586671698</v>
      </c>
      <c r="P16" s="17" t="n">
        <f aca="false">(P15*Assumptions!$F$29)</f>
        <v>45.4484304592976</v>
      </c>
      <c r="Q16" s="17" t="n">
        <f aca="false">(Q15*Assumptions!$F$29)</f>
        <v>47.1562176144372</v>
      </c>
      <c r="R16" s="17" t="n">
        <f aca="false">(R15*Assumptions!$F$29)</f>
        <v>48.9314736647823</v>
      </c>
      <c r="S16" s="17" t="n">
        <f aca="false">(S15*Assumptions!$F$29)</f>
        <v>50.7768776918629</v>
      </c>
      <c r="T16" s="17" t="n">
        <f aca="false">(T15*Assumptions!$F$29)</f>
        <v>52.6953175287479</v>
      </c>
      <c r="U16" s="17" t="n">
        <f aca="false">(U15*Assumptions!$F$29)</f>
        <v>54.6897378547013</v>
      </c>
      <c r="V16" s="17" t="n">
        <f aca="false">(V15*Assumptions!$F$29)</f>
        <v>56.7631953974469</v>
      </c>
      <c r="W16" s="17" t="n">
        <f aca="false">(W15*Assumptions!$F$29)</f>
        <v>58.9188647434406</v>
      </c>
      <c r="X16" s="17" t="n">
        <f aca="false">(X15*Assumptions!$F$29)</f>
        <v>61.1600435405394</v>
      </c>
      <c r="Y16" s="17" t="n">
        <f aca="false">(Y15*Assumptions!$F$29)</f>
        <v>63.4901578374453</v>
      </c>
      <c r="Z16" s="17" t="n">
        <f aca="false">(Z15*Assumptions!$F$29)</f>
        <v>65.9127675818913</v>
      </c>
      <c r="AA16" s="17" t="n">
        <f aca="false">(AA15*Assumptions!$F$29)</f>
        <v>68.4315722909951</v>
      </c>
      <c r="AB16" s="17" t="n">
        <f aca="false">(AB15*Assumptions!$F$29)</f>
        <v>71.0500272179134</v>
      </c>
      <c r="AC16" s="17" t="n">
        <f aca="false">(AC15*Assumptions!$F$29)</f>
        <v>73.7724981216544</v>
      </c>
      <c r="AD16" s="17" t="n">
        <f aca="false">(AD15*Assumptions!$F$29)</f>
        <v>76.6031440813509</v>
      </c>
      <c r="AE16" s="17" t="n">
        <f aca="false">(AE15*Assumptions!$F$29)</f>
        <v>79.5462671572396</v>
      </c>
      <c r="AF16" s="17" t="n">
        <f aca="false">(AF15*Assumptions!$F$29)</f>
        <v>82.6063711982482</v>
      </c>
      <c r="AG16" s="17" t="n">
        <f aca="false">(AG15*Assumptions!$F$29)</f>
        <v>85.7881230499619</v>
      </c>
      <c r="AH16" s="17" t="n">
        <f aca="false">(AH15*Assumptions!$F$29)</f>
        <v>89.0963744536463</v>
      </c>
      <c r="AI16" s="17" t="n">
        <f aca="false">(AI15*Assumptions!$F$29)</f>
        <v>92.5361697648187</v>
      </c>
      <c r="AJ16" s="17" t="n">
        <f aca="false">(AJ15*Assumptions!$F$29)</f>
        <v>96.1127537417468</v>
      </c>
      <c r="AK16" s="17" t="n">
        <f aca="false">(AK15*Assumptions!$F$29)</f>
        <v>99.8315796301161</v>
      </c>
      <c r="AL16" s="17" t="n">
        <f aca="false">(AL15*Assumptions!$F$29)</f>
        <v>103.698317559684</v>
      </c>
    </row>
    <row r="17" customFormat="false" ht="15" hidden="false" customHeight="false" outlineLevel="0" collapsed="false">
      <c r="A17" s="21" t="s">
        <v>370</v>
      </c>
      <c r="B17" s="2" t="s">
        <v>371</v>
      </c>
      <c r="C17" s="22" t="n">
        <f aca="false">(C16*Assumptions!$F$30)</f>
        <v>8.93786666666667</v>
      </c>
      <c r="D17" s="22" t="n">
        <f aca="false">(D16*Assumptions!$F$30)</f>
        <v>9.3346176</v>
      </c>
      <c r="E17" s="22" t="n">
        <f aca="false">(E16*Assumptions!$F$30)</f>
        <v>9.68124166290387</v>
      </c>
      <c r="F17" s="22" t="n">
        <f aca="false">(F16*Assumptions!$F$30)</f>
        <v>10.4036573654937</v>
      </c>
      <c r="G17" s="22" t="n">
        <f aca="false">(G16*Assumptions!$F$30)</f>
        <v>10.7907206394278</v>
      </c>
      <c r="H17" s="22" t="n">
        <f aca="false">(H16*Assumptions!$F$30)</f>
        <v>11.1900038214641</v>
      </c>
      <c r="I17" s="22" t="n">
        <f aca="false">(I16*Assumptions!$F$30)</f>
        <v>11.6047019506361</v>
      </c>
      <c r="J17" s="22" t="n">
        <f aca="false">(J16*Assumptions!$F$30)</f>
        <v>12.0355001050275</v>
      </c>
      <c r="K17" s="22" t="n">
        <f aca="false">(K16*Assumptions!$F$30)</f>
        <v>12.4830847066191</v>
      </c>
      <c r="L17" s="22" t="n">
        <f aca="false">(L16*Assumptions!$F$30)</f>
        <v>12.9481635999445</v>
      </c>
      <c r="M17" s="22" t="n">
        <f aca="false">(M16*Assumptions!$F$30)</f>
        <v>13.4314677943202</v>
      </c>
      <c r="N17" s="22" t="n">
        <f aca="false">(N16*Assumptions!$F$30)</f>
        <v>13.9337530366286</v>
      </c>
      <c r="O17" s="22" t="n">
        <f aca="false">(O16*Assumptions!$F$30)</f>
        <v>14.455801360166</v>
      </c>
      <c r="P17" s="22" t="n">
        <f aca="false">(P16*Assumptions!$F$30)</f>
        <v>14.9979820515682</v>
      </c>
      <c r="Q17" s="22" t="n">
        <f aca="false">(Q16*Assumptions!$F$30)</f>
        <v>15.5615518127643</v>
      </c>
      <c r="R17" s="22" t="n">
        <f aca="false">(R16*Assumptions!$F$30)</f>
        <v>16.1473863093782</v>
      </c>
      <c r="S17" s="22" t="n">
        <f aca="false">(S16*Assumptions!$F$30)</f>
        <v>16.7563696383148</v>
      </c>
      <c r="T17" s="22" t="n">
        <f aca="false">(T16*Assumptions!$F$30)</f>
        <v>17.3894547844868</v>
      </c>
      <c r="U17" s="22" t="n">
        <f aca="false">(U16*Assumptions!$F$30)</f>
        <v>18.0476134920514</v>
      </c>
      <c r="V17" s="22" t="n">
        <f aca="false">(V16*Assumptions!$F$30)</f>
        <v>18.7318544811575</v>
      </c>
      <c r="W17" s="22" t="n">
        <f aca="false">(W16*Assumptions!$F$30)</f>
        <v>19.4432253653354</v>
      </c>
      <c r="X17" s="22" t="n">
        <f aca="false">(X16*Assumptions!$F$30)</f>
        <v>20.182814368378</v>
      </c>
      <c r="Y17" s="22" t="n">
        <f aca="false">(Y16*Assumptions!$F$30)</f>
        <v>20.951752086357</v>
      </c>
      <c r="Z17" s="22" t="n">
        <f aca="false">(Z16*Assumptions!$F$30)</f>
        <v>21.7512133020241</v>
      </c>
      <c r="AA17" s="22" t="n">
        <f aca="false">(AA16*Assumptions!$F$30)</f>
        <v>22.5824188560284</v>
      </c>
      <c r="AB17" s="22" t="n">
        <f aca="false">(AB16*Assumptions!$F$30)</f>
        <v>23.4465089819114</v>
      </c>
      <c r="AC17" s="22" t="n">
        <f aca="false">(AC16*Assumptions!$F$30)</f>
        <v>24.344924380146</v>
      </c>
      <c r="AD17" s="22" t="n">
        <f aca="false">(AD16*Assumptions!$F$30)</f>
        <v>25.2790375468458</v>
      </c>
      <c r="AE17" s="22" t="n">
        <f aca="false">(AE16*Assumptions!$F$30)</f>
        <v>26.2502681618891</v>
      </c>
      <c r="AF17" s="22" t="n">
        <f aca="false">(AF16*Assumptions!$F$30)</f>
        <v>27.2601024954219</v>
      </c>
      <c r="AG17" s="22" t="n">
        <f aca="false">(AG16*Assumptions!$F$30)</f>
        <v>28.3100806064874</v>
      </c>
      <c r="AH17" s="22" t="n">
        <f aca="false">(AH16*Assumptions!$F$30)</f>
        <v>29.4018035697033</v>
      </c>
      <c r="AI17" s="22" t="n">
        <f aca="false">(AI16*Assumptions!$F$30)</f>
        <v>30.5369360223902</v>
      </c>
      <c r="AJ17" s="22" t="n">
        <f aca="false">(AJ16*Assumptions!$F$30)</f>
        <v>31.7172087347764</v>
      </c>
      <c r="AK17" s="22" t="n">
        <f aca="false">(AK16*Assumptions!$F$30)</f>
        <v>32.9444212779383</v>
      </c>
      <c r="AL17" s="22" t="n">
        <f aca="false">(AL16*Assumptions!$F$30)</f>
        <v>34.2204447946957</v>
      </c>
    </row>
    <row r="18" customFormat="false" ht="15" hidden="false" customHeight="false" outlineLevel="0" collapsed="false">
      <c r="A18" s="6" t="s">
        <v>372</v>
      </c>
      <c r="B18" s="2" t="s">
        <v>373</v>
      </c>
      <c r="C18" s="17" t="n">
        <f aca="false">(C17*Assumptions!$F$31)</f>
        <v>3.57514666666667</v>
      </c>
      <c r="D18" s="17" t="n">
        <f aca="false">(D17*Assumptions!$F$31)</f>
        <v>3.73384704</v>
      </c>
      <c r="E18" s="17" t="n">
        <f aca="false">(E17*Assumptions!$F$31)</f>
        <v>3.87249666516155</v>
      </c>
      <c r="F18" s="17" t="n">
        <f aca="false">(F17*Assumptions!$F$31)</f>
        <v>4.1614629461975</v>
      </c>
      <c r="G18" s="17" t="n">
        <f aca="false">(G17*Assumptions!$F$31)</f>
        <v>4.31628825577111</v>
      </c>
      <c r="H18" s="17" t="n">
        <f aca="false">(H17*Assumptions!$F$31)</f>
        <v>4.47600152858565</v>
      </c>
      <c r="I18" s="17" t="n">
        <f aca="false">(I17*Assumptions!$F$31)</f>
        <v>4.64188078025443</v>
      </c>
      <c r="J18" s="17" t="n">
        <f aca="false">(J17*Assumptions!$F$31)</f>
        <v>4.81420004201101</v>
      </c>
      <c r="K18" s="17" t="n">
        <f aca="false">(K17*Assumptions!$F$31)</f>
        <v>4.99323388264763</v>
      </c>
      <c r="L18" s="17" t="n">
        <f aca="false">(L17*Assumptions!$F$31)</f>
        <v>5.1792654399778</v>
      </c>
      <c r="M18" s="17" t="n">
        <f aca="false">(M17*Assumptions!$F$31)</f>
        <v>5.37258711772809</v>
      </c>
      <c r="N18" s="17" t="n">
        <f aca="false">(N17*Assumptions!$F$31)</f>
        <v>5.57350121465145</v>
      </c>
      <c r="O18" s="17" t="n">
        <f aca="false">(O17*Assumptions!$F$31)</f>
        <v>5.78232054406642</v>
      </c>
      <c r="P18" s="17" t="n">
        <f aca="false">(P17*Assumptions!$F$31)</f>
        <v>5.99919282062729</v>
      </c>
      <c r="Q18" s="17" t="n">
        <f aca="false">(Q17*Assumptions!$F$31)</f>
        <v>6.22462072510571</v>
      </c>
      <c r="R18" s="17" t="n">
        <f aca="false">(R17*Assumptions!$F$31)</f>
        <v>6.45895452375126</v>
      </c>
      <c r="S18" s="17" t="n">
        <f aca="false">(S17*Assumptions!$F$31)</f>
        <v>6.70254785532591</v>
      </c>
      <c r="T18" s="17" t="n">
        <f aca="false">(T17*Assumptions!$F$31)</f>
        <v>6.95578191379473</v>
      </c>
      <c r="U18" s="17" t="n">
        <f aca="false">(U17*Assumptions!$F$31)</f>
        <v>7.21904539682058</v>
      </c>
      <c r="V18" s="17" t="n">
        <f aca="false">(V17*Assumptions!$F$31)</f>
        <v>7.49274179246299</v>
      </c>
      <c r="W18" s="17" t="n">
        <f aca="false">(W17*Assumptions!$F$31)</f>
        <v>7.77729014613417</v>
      </c>
      <c r="X18" s="17" t="n">
        <f aca="false">(X17*Assumptions!$F$31)</f>
        <v>8.0731257473512</v>
      </c>
      <c r="Y18" s="17" t="n">
        <f aca="false">(Y17*Assumptions!$F$31)</f>
        <v>8.38070083454279</v>
      </c>
      <c r="Z18" s="17" t="n">
        <f aca="false">(Z17*Assumptions!$F$31)</f>
        <v>8.70048532080965</v>
      </c>
      <c r="AA18" s="17" t="n">
        <f aca="false">(AA17*Assumptions!$F$31)</f>
        <v>9.03296754241135</v>
      </c>
      <c r="AB18" s="17" t="n">
        <f aca="false">(AB17*Assumptions!$F$31)</f>
        <v>9.37860359276457</v>
      </c>
      <c r="AC18" s="17" t="n">
        <f aca="false">(AC17*Assumptions!$F$31)</f>
        <v>9.73796975205839</v>
      </c>
      <c r="AD18" s="17" t="n">
        <f aca="false">(AD17*Assumptions!$F$31)</f>
        <v>10.1116150187383</v>
      </c>
      <c r="AE18" s="17" t="n">
        <f aca="false">(AE17*Assumptions!$F$31)</f>
        <v>10.5001072647556</v>
      </c>
      <c r="AF18" s="17" t="n">
        <f aca="false">(AF17*Assumptions!$F$31)</f>
        <v>10.9040409981688</v>
      </c>
      <c r="AG18" s="17" t="n">
        <f aca="false">(AG17*Assumptions!$F$31)</f>
        <v>11.324032242595</v>
      </c>
      <c r="AH18" s="17" t="n">
        <f aca="false">(AH17*Assumptions!$F$31)</f>
        <v>11.7607214278813</v>
      </c>
      <c r="AI18" s="17" t="n">
        <f aca="false">(AI17*Assumptions!$F$31)</f>
        <v>12.2147744089561</v>
      </c>
      <c r="AJ18" s="17" t="n">
        <f aca="false">(AJ17*Assumptions!$F$31)</f>
        <v>12.6868834939106</v>
      </c>
      <c r="AK18" s="17" t="n">
        <f aca="false">(AK17*Assumptions!$F$31)</f>
        <v>13.1777685111753</v>
      </c>
      <c r="AL18" s="17" t="n">
        <f aca="false">(AL17*Assumptions!$F$31)</f>
        <v>13.6881779178783</v>
      </c>
    </row>
    <row r="19" customFormat="false" ht="15" hidden="false" customHeight="false" outlineLevel="0" collapsed="false">
      <c r="A19" s="6" t="s">
        <v>374</v>
      </c>
      <c r="B19" s="2" t="s">
        <v>375</v>
      </c>
      <c r="C19" s="17" t="n">
        <f aca="false">(C17*Assumptions!$F$32)</f>
        <v>4.02204</v>
      </c>
      <c r="D19" s="17" t="n">
        <f aca="false">(D17*Assumptions!$F$32)</f>
        <v>4.20057792</v>
      </c>
      <c r="E19" s="17" t="n">
        <f aca="false">(E17*Assumptions!$F$32)</f>
        <v>4.35655874830674</v>
      </c>
      <c r="F19" s="17" t="n">
        <f aca="false">(F17*Assumptions!$F$32)</f>
        <v>4.68164581447218</v>
      </c>
      <c r="G19" s="17" t="n">
        <f aca="false">(G17*Assumptions!$F$32)</f>
        <v>4.8558242877425</v>
      </c>
      <c r="H19" s="17" t="n">
        <f aca="false">(H17*Assumptions!$F$32)</f>
        <v>5.03550171965886</v>
      </c>
      <c r="I19" s="17" t="n">
        <f aca="false">(I17*Assumptions!$F$32)</f>
        <v>5.22211587778624</v>
      </c>
      <c r="J19" s="17" t="n">
        <f aca="false">(J17*Assumptions!$F$32)</f>
        <v>5.41597504726239</v>
      </c>
      <c r="K19" s="17" t="n">
        <f aca="false">(K17*Assumptions!$F$32)</f>
        <v>5.61738811797858</v>
      </c>
      <c r="L19" s="17" t="n">
        <f aca="false">(L17*Assumptions!$F$32)</f>
        <v>5.82667361997503</v>
      </c>
      <c r="M19" s="17" t="n">
        <f aca="false">(M17*Assumptions!$F$32)</f>
        <v>6.0441605074441</v>
      </c>
      <c r="N19" s="17" t="n">
        <f aca="false">(N17*Assumptions!$F$32)</f>
        <v>6.27018886648288</v>
      </c>
      <c r="O19" s="17" t="n">
        <f aca="false">(O17*Assumptions!$F$32)</f>
        <v>6.50511061207472</v>
      </c>
      <c r="P19" s="17" t="n">
        <f aca="false">(P17*Assumptions!$F$32)</f>
        <v>6.7490919232057</v>
      </c>
      <c r="Q19" s="17" t="n">
        <f aca="false">(Q17*Assumptions!$F$32)</f>
        <v>7.00269831574392</v>
      </c>
      <c r="R19" s="17" t="n">
        <f aca="false">(R17*Assumptions!$F$32)</f>
        <v>7.26632383922017</v>
      </c>
      <c r="S19" s="17" t="n">
        <f aca="false">(S17*Assumptions!$F$32)</f>
        <v>7.54036633724164</v>
      </c>
      <c r="T19" s="17" t="n">
        <f aca="false">(T17*Assumptions!$F$32)</f>
        <v>7.82525465301907</v>
      </c>
      <c r="U19" s="17" t="n">
        <f aca="false">(U17*Assumptions!$F$32)</f>
        <v>8.12142607142315</v>
      </c>
      <c r="V19" s="17" t="n">
        <f aca="false">(V17*Assumptions!$F$32)</f>
        <v>8.42933451652086</v>
      </c>
      <c r="W19" s="17" t="n">
        <f aca="false">(W17*Assumptions!$F$32)</f>
        <v>8.74945141440094</v>
      </c>
      <c r="X19" s="17" t="n">
        <f aca="false">(X17*Assumptions!$F$32)</f>
        <v>9.0822664657701</v>
      </c>
      <c r="Y19" s="17" t="n">
        <f aca="false">(Y17*Assumptions!$F$32)</f>
        <v>9.42828843886064</v>
      </c>
      <c r="Z19" s="17" t="n">
        <f aca="false">(Z17*Assumptions!$F$32)</f>
        <v>9.78804598591086</v>
      </c>
      <c r="AA19" s="17" t="n">
        <f aca="false">(AA17*Assumptions!$F$32)</f>
        <v>10.1620884852128</v>
      </c>
      <c r="AB19" s="17" t="n">
        <f aca="false">(AB17*Assumptions!$F$32)</f>
        <v>10.5509290418601</v>
      </c>
      <c r="AC19" s="17" t="n">
        <f aca="false">(AC17*Assumptions!$F$32)</f>
        <v>10.9552159710657</v>
      </c>
      <c r="AD19" s="17" t="n">
        <f aca="false">(AD17*Assumptions!$F$32)</f>
        <v>11.3755668960806</v>
      </c>
      <c r="AE19" s="17" t="n">
        <f aca="false">(AE17*Assumptions!$F$32)</f>
        <v>11.8126206728501</v>
      </c>
      <c r="AF19" s="17" t="n">
        <f aca="false">(AF17*Assumptions!$F$32)</f>
        <v>12.2670461229399</v>
      </c>
      <c r="AG19" s="17" t="n">
        <f aca="false">(AG17*Assumptions!$F$32)</f>
        <v>12.7395362729193</v>
      </c>
      <c r="AH19" s="17" t="n">
        <f aca="false">(AH17*Assumptions!$F$32)</f>
        <v>13.2308116063665</v>
      </c>
      <c r="AI19" s="17" t="n">
        <f aca="false">(AI17*Assumptions!$F$32)</f>
        <v>13.7416212100756</v>
      </c>
      <c r="AJ19" s="17" t="n">
        <f aca="false">(AJ17*Assumptions!$F$32)</f>
        <v>14.2727439306494</v>
      </c>
      <c r="AK19" s="17" t="n">
        <f aca="false">(AK17*Assumptions!$F$32)</f>
        <v>14.8249895750722</v>
      </c>
      <c r="AL19" s="17" t="n">
        <f aca="false">(AL17*Assumptions!$F$32)</f>
        <v>15.3992001576131</v>
      </c>
    </row>
    <row r="20" customFormat="false" ht="15" hidden="false" customHeight="false" outlineLevel="0" collapsed="false">
      <c r="A20" s="6" t="s">
        <v>376</v>
      </c>
      <c r="B20" s="2" t="s">
        <v>377</v>
      </c>
      <c r="C20" s="17" t="n">
        <f aca="false">(C17*Assumptions!$F$109)</f>
        <v>1.34068</v>
      </c>
      <c r="D20" s="17" t="n">
        <f aca="false">(D17*Assumptions!$F$109)</f>
        <v>1.40019264</v>
      </c>
      <c r="E20" s="17" t="n">
        <f aca="false">(E17*Assumptions!$F$109)</f>
        <v>1.45218624943558</v>
      </c>
      <c r="F20" s="17" t="n">
        <f aca="false">(F17*Assumptions!$F$109)</f>
        <v>1.56054860482406</v>
      </c>
      <c r="G20" s="17" t="n">
        <f aca="false">(G17*Assumptions!$F$109)</f>
        <v>1.61860809591417</v>
      </c>
      <c r="H20" s="17" t="n">
        <f aca="false">(H17*Assumptions!$F$109)</f>
        <v>1.67850057321962</v>
      </c>
      <c r="I20" s="17" t="n">
        <f aca="false">(I17*Assumptions!$F$109)</f>
        <v>1.74070529259541</v>
      </c>
      <c r="J20" s="17" t="n">
        <f aca="false">(J17*Assumptions!$F$109)</f>
        <v>1.80532501575413</v>
      </c>
      <c r="K20" s="17" t="n">
        <f aca="false">(K17*Assumptions!$F$109)</f>
        <v>1.87246270599286</v>
      </c>
      <c r="L20" s="17" t="n">
        <f aca="false">(L17*Assumptions!$F$109)</f>
        <v>1.94222453999167</v>
      </c>
      <c r="M20" s="17" t="n">
        <f aca="false">(M17*Assumptions!$F$109)</f>
        <v>2.01472016914803</v>
      </c>
      <c r="N20" s="17" t="n">
        <f aca="false">(N17*Assumptions!$F$109)</f>
        <v>2.09006295549429</v>
      </c>
      <c r="O20" s="17" t="n">
        <f aca="false">(O17*Assumptions!$F$109)</f>
        <v>2.16837020402491</v>
      </c>
      <c r="P20" s="17" t="n">
        <f aca="false">(P17*Assumptions!$F$109)</f>
        <v>2.24969730773523</v>
      </c>
      <c r="Q20" s="17" t="n">
        <f aca="false">(Q17*Assumptions!$F$109)</f>
        <v>2.33423277191464</v>
      </c>
      <c r="R20" s="17" t="n">
        <f aca="false">(R17*Assumptions!$F$109)</f>
        <v>2.42210794640672</v>
      </c>
      <c r="S20" s="17" t="n">
        <f aca="false">(S17*Assumptions!$F$109)</f>
        <v>2.51345544574721</v>
      </c>
      <c r="T20" s="17" t="n">
        <f aca="false">(T17*Assumptions!$F$109)</f>
        <v>2.60841821767302</v>
      </c>
      <c r="U20" s="17" t="n">
        <f aca="false">(U17*Assumptions!$F$109)</f>
        <v>2.70714202380772</v>
      </c>
      <c r="V20" s="17" t="n">
        <f aca="false">(V17*Assumptions!$F$109)</f>
        <v>2.80977817217362</v>
      </c>
      <c r="W20" s="17" t="n">
        <f aca="false">(W17*Assumptions!$F$109)</f>
        <v>2.91648380480031</v>
      </c>
      <c r="X20" s="17" t="n">
        <f aca="false">(X17*Assumptions!$F$109)</f>
        <v>3.0274221552567</v>
      </c>
      <c r="Y20" s="17" t="n">
        <f aca="false">(Y17*Assumptions!$F$109)</f>
        <v>3.14276281295354</v>
      </c>
      <c r="Z20" s="17" t="n">
        <f aca="false">(Z17*Assumptions!$F$109)</f>
        <v>3.26268199530362</v>
      </c>
      <c r="AA20" s="17" t="n">
        <f aca="false">(AA17*Assumptions!$F$109)</f>
        <v>3.38736282840426</v>
      </c>
      <c r="AB20" s="17" t="n">
        <f aca="false">(AB17*Assumptions!$F$109)</f>
        <v>3.51697634728671</v>
      </c>
      <c r="AC20" s="17" t="n">
        <f aca="false">(AC17*Assumptions!$F$109)</f>
        <v>3.65173865702189</v>
      </c>
      <c r="AD20" s="17" t="n">
        <f aca="false">(AD17*Assumptions!$F$109)</f>
        <v>3.79185563202687</v>
      </c>
      <c r="AE20" s="17" t="n">
        <f aca="false">(AE17*Assumptions!$F$109)</f>
        <v>3.93754022428336</v>
      </c>
      <c r="AF20" s="17" t="n">
        <f aca="false">(AF17*Assumptions!$F$109)</f>
        <v>4.08901537431328</v>
      </c>
      <c r="AG20" s="17" t="n">
        <f aca="false">(AG17*Assumptions!$F$109)</f>
        <v>4.24651209097311</v>
      </c>
      <c r="AH20" s="17" t="n">
        <f aca="false">(AH17*Assumptions!$F$109)</f>
        <v>4.41027053545549</v>
      </c>
      <c r="AI20" s="17" t="n">
        <f aca="false">(AI17*Assumptions!$F$109)</f>
        <v>4.58054040335852</v>
      </c>
      <c r="AJ20" s="17" t="n">
        <f aca="false">(AJ17*Assumptions!$F$109)</f>
        <v>4.75758131021647</v>
      </c>
      <c r="AK20" s="17" t="n">
        <f aca="false">(AK17*Assumptions!$F$109)</f>
        <v>4.94166319169075</v>
      </c>
      <c r="AL20" s="17" t="n">
        <f aca="false">(AL17*Assumptions!$F$109)</f>
        <v>5.13306671920435</v>
      </c>
    </row>
    <row r="21" customFormat="false" ht="15" hidden="false" customHeight="false" outlineLevel="0" collapsed="false">
      <c r="A21" s="6" t="s">
        <v>378</v>
      </c>
      <c r="B21" s="2" t="s">
        <v>379</v>
      </c>
      <c r="C21" s="17" t="n">
        <f aca="false">(C15*Assumptions!$F$33)</f>
        <v>0.677111111111111</v>
      </c>
      <c r="D21" s="17" t="n">
        <f aca="false">(D15*Assumptions!$F$33)</f>
        <v>0.707168</v>
      </c>
      <c r="E21" s="17" t="n">
        <f aca="false">(E15*Assumptions!$F$33)</f>
        <v>0.733427398704838</v>
      </c>
      <c r="F21" s="17" t="n">
        <f aca="false">(F15*Assumptions!$F$33)</f>
        <v>0.788155861022253</v>
      </c>
      <c r="G21" s="17" t="n">
        <f aca="false">(G15*Assumptions!$F$33)</f>
        <v>0.817478836320286</v>
      </c>
      <c r="H21" s="17" t="n">
        <f aca="false">(H15*Assumptions!$F$33)</f>
        <v>0.847727562232131</v>
      </c>
      <c r="I21" s="17" t="n">
        <f aca="false">(I15*Assumptions!$F$33)</f>
        <v>0.8791440871694</v>
      </c>
      <c r="J21" s="17" t="n">
        <f aca="false">(J15*Assumptions!$F$33)</f>
        <v>0.911780310986933</v>
      </c>
      <c r="K21" s="17" t="n">
        <f aca="false">(K15*Assumptions!$F$33)</f>
        <v>0.945688235349929</v>
      </c>
      <c r="L21" s="17" t="n">
        <f aca="false">(L15*Assumptions!$F$33)</f>
        <v>0.980921484844281</v>
      </c>
      <c r="M21" s="17" t="n">
        <f aca="false">(M15*Assumptions!$F$33)</f>
        <v>1.01753543896365</v>
      </c>
      <c r="N21" s="17" t="n">
        <f aca="false">(N15*Assumptions!$F$33)</f>
        <v>1.05558735125974</v>
      </c>
      <c r="O21" s="17" t="n">
        <f aca="false">(O15*Assumptions!$F$33)</f>
        <v>1.09513646667925</v>
      </c>
      <c r="P21" s="17" t="n">
        <f aca="false">(P15*Assumptions!$F$33)</f>
        <v>1.13621076148244</v>
      </c>
      <c r="Q21" s="17" t="n">
        <f aca="false">(Q15*Assumptions!$F$33)</f>
        <v>1.17890544036093</v>
      </c>
      <c r="R21" s="17" t="n">
        <f aca="false">(R15*Assumptions!$F$33)</f>
        <v>1.22328684161956</v>
      </c>
      <c r="S21" s="17" t="n">
        <f aca="false">(S15*Assumptions!$F$33)</f>
        <v>1.26942194229657</v>
      </c>
      <c r="T21" s="17" t="n">
        <f aca="false">(T15*Assumptions!$F$33)</f>
        <v>1.3173829382187</v>
      </c>
      <c r="U21" s="17" t="n">
        <f aca="false">(U15*Assumptions!$F$33)</f>
        <v>1.36724344636753</v>
      </c>
      <c r="V21" s="17" t="n">
        <f aca="false">(V15*Assumptions!$F$33)</f>
        <v>1.41907988493617</v>
      </c>
      <c r="W21" s="17" t="n">
        <f aca="false">(W15*Assumptions!$F$33)</f>
        <v>1.47297161858602</v>
      </c>
      <c r="X21" s="17" t="n">
        <f aca="false">(X15*Assumptions!$F$33)</f>
        <v>1.52900108851348</v>
      </c>
      <c r="Y21" s="17" t="n">
        <f aca="false">(Y15*Assumptions!$F$33)</f>
        <v>1.58725394593613</v>
      </c>
      <c r="Z21" s="17" t="n">
        <f aca="false">(Z15*Assumptions!$F$33)</f>
        <v>1.64781918954728</v>
      </c>
      <c r="AA21" s="17" t="n">
        <f aca="false">(AA15*Assumptions!$F$33)</f>
        <v>1.71078930727488</v>
      </c>
      <c r="AB21" s="17" t="n">
        <f aca="false">(AB15*Assumptions!$F$33)</f>
        <v>1.77625068044783</v>
      </c>
      <c r="AC21" s="17" t="n">
        <f aca="false">(AC15*Assumptions!$F$33)</f>
        <v>1.84431245304136</v>
      </c>
      <c r="AD21" s="17" t="n">
        <f aca="false">(AD15*Assumptions!$F$33)</f>
        <v>1.91507860203377</v>
      </c>
      <c r="AE21" s="17" t="n">
        <f aca="false">(AE15*Assumptions!$F$33)</f>
        <v>1.98865667893099</v>
      </c>
      <c r="AF21" s="17" t="n">
        <f aca="false">(AF15*Assumptions!$F$33)</f>
        <v>2.0651592799562</v>
      </c>
      <c r="AG21" s="17" t="n">
        <f aca="false">(AG15*Assumptions!$F$33)</f>
        <v>2.14470307624905</v>
      </c>
      <c r="AH21" s="17" t="n">
        <f aca="false">(AH15*Assumptions!$F$33)</f>
        <v>2.22740936134116</v>
      </c>
      <c r="AI21" s="17" t="n">
        <f aca="false">(AI15*Assumptions!$F$33)</f>
        <v>2.31340424412047</v>
      </c>
      <c r="AJ21" s="17" t="n">
        <f aca="false">(AJ15*Assumptions!$F$33)</f>
        <v>2.40281884354367</v>
      </c>
      <c r="AK21" s="17" t="n">
        <f aca="false">(AK15*Assumptions!$F$33)</f>
        <v>2.4957894907529</v>
      </c>
      <c r="AL21" s="17" t="n">
        <f aca="false">(AL15*Assumptions!$F$33)</f>
        <v>2.5924579389921</v>
      </c>
    </row>
    <row r="23" customFormat="false" ht="15" hidden="false" customHeight="false" outlineLevel="0" collapsed="false">
      <c r="A23" s="4" t="s">
        <v>380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customFormat="false" ht="15" hidden="false" customHeight="false" outlineLevel="0" collapsed="false">
      <c r="A24" s="6" t="s">
        <v>381</v>
      </c>
      <c r="B24" s="2" t="s">
        <v>382</v>
      </c>
      <c r="C24" s="17" t="n">
        <f aca="false">((0*(1-Assumptions!$F$110))+C18)</f>
        <v>3.57514666666667</v>
      </c>
      <c r="D24" s="17" t="n">
        <f aca="false">((C24*(1-Assumptions!$F$110))+D18)</f>
        <v>6.67220135746271</v>
      </c>
      <c r="E24" s="17" t="n">
        <f aca="false">((D24*(1-Assumptions!$F$110))+E18)</f>
        <v>9.35626935859355</v>
      </c>
      <c r="F24" s="17" t="n">
        <f aca="false">((E24*(1-Assumptions!$F$110))+F18)</f>
        <v>11.8512270393724</v>
      </c>
      <c r="G24" s="17" t="n">
        <f aca="false">((F24*(1-Assumptions!$F$110))+G18)</f>
        <v>14.0566170828507</v>
      </c>
      <c r="H24" s="17" t="n">
        <f aca="false">((G24*(1-Assumptions!$F$110))+H18)</f>
        <v>16.0289042051139</v>
      </c>
      <c r="I24" s="17" t="n">
        <f aca="false">((H24*(1-Assumptions!$F$110))+I18)</f>
        <v>17.8157738443971</v>
      </c>
      <c r="J24" s="17" t="n">
        <f aca="false">((I24*(1-Assumptions!$F$110))+J18)</f>
        <v>19.4566919103045</v>
      </c>
      <c r="K24" s="17" t="n">
        <f aca="false">((J24*(1-Assumptions!$F$110))+K18)</f>
        <v>20.9843693544376</v>
      </c>
      <c r="L24" s="17" t="n">
        <f aca="false">((K24*(1-Assumptions!$F$110))+L18)</f>
        <v>22.4259739083979</v>
      </c>
      <c r="M24" s="17" t="n">
        <f aca="false">((L24*(1-Assumptions!$F$110))+M18)</f>
        <v>23.8041266882391</v>
      </c>
      <c r="N24" s="17" t="n">
        <f aca="false">((M24*(1-Assumptions!$F$110))+N18)</f>
        <v>25.1377219164082</v>
      </c>
      <c r="O24" s="17" t="n">
        <f aca="false">((N24*(1-Assumptions!$F$110))+O18)</f>
        <v>26.4426012572833</v>
      </c>
      <c r="P24" s="17" t="n">
        <f aca="false">((O24*(1-Assumptions!$F$110))+P18)</f>
        <v>27.7319324292447</v>
      </c>
      <c r="Q24" s="17" t="n">
        <f aca="false">((P24*(1-Assumptions!$F$110))+Q18)</f>
        <v>29.0170404444987</v>
      </c>
      <c r="R24" s="17" t="n">
        <f aca="false">((Q24*(1-Assumptions!$F$110))+R18)</f>
        <v>30.3075834107944</v>
      </c>
      <c r="S24" s="17" t="n">
        <f aca="false">((R24*(1-Assumptions!$F$110))+S18)</f>
        <v>31.6118528070022</v>
      </c>
      <c r="T24" s="17" t="n">
        <f aca="false">((S24*(1-Assumptions!$F$110))+T18)</f>
        <v>32.9370444573688</v>
      </c>
      <c r="U24" s="17" t="n">
        <f aca="false">((T24*(1-Assumptions!$F$110))+U18)</f>
        <v>34.2894611893021</v>
      </c>
      <c r="V24" s="17" t="n">
        <f aca="false">((U24*(1-Assumptions!$F$110))+V18)</f>
        <v>35.6746866811731</v>
      </c>
      <c r="W24" s="17" t="n">
        <f aca="false">((V24*(1-Assumptions!$F$110))+W18)</f>
        <v>37.0977291119261</v>
      </c>
      <c r="X24" s="17" t="n">
        <f aca="false">((W24*(1-Assumptions!$F$110))+X18)</f>
        <v>38.5631399110844</v>
      </c>
      <c r="Y24" s="17" t="n">
        <f aca="false">((X24*(1-Assumptions!$F$110))+Y18)</f>
        <v>40.0751120622369</v>
      </c>
      <c r="Z24" s="17" t="n">
        <f aca="false">((Y24*(1-Assumptions!$F$110))+Z18)</f>
        <v>41.6375616228194</v>
      </c>
      <c r="AA24" s="17" t="n">
        <f aca="false">((Z24*(1-Assumptions!$F$110))+AA18)</f>
        <v>43.2541954723697</v>
      </c>
      <c r="AB24" s="17" t="n">
        <f aca="false">((AA24*(1-Assumptions!$F$110))+AB18)</f>
        <v>44.9285163277051</v>
      </c>
      <c r="AC24" s="17" t="n">
        <f aca="false">((AB24*(1-Assumptions!$F$110))+AC18)</f>
        <v>46.6639792944285</v>
      </c>
      <c r="AD24" s="17" t="n">
        <f aca="false">((AC24*(1-Assumptions!$F$110))+AD18)</f>
        <v>48.4639730655246</v>
      </c>
      <c r="AE24" s="17" t="n">
        <f aca="false">((AD24*(1-Assumptions!$F$110))+AE18)</f>
        <v>50.3318506240436</v>
      </c>
      <c r="AF24" s="17" t="n">
        <f aca="false">((AE24*(1-Assumptions!$F$110))+AF18)</f>
        <v>52.2709622397346</v>
      </c>
      <c r="AG24" s="17" t="n">
        <f aca="false">((AF24*(1-Assumptions!$F$110))+AG18)</f>
        <v>54.2846774678877</v>
      </c>
      <c r="AH24" s="17" t="n">
        <f aca="false">((AG24*(1-Assumptions!$F$110))+AH18)</f>
        <v>56.3764061204921</v>
      </c>
      <c r="AI24" s="17" t="n">
        <f aca="false">((AH24*(1-Assumptions!$F$110))+AI18)</f>
        <v>58.5496165209381</v>
      </c>
      <c r="AJ24" s="17" t="n">
        <f aca="false">((AI24*(1-Assumptions!$F$110))+AJ18)</f>
        <v>60.8078515353386</v>
      </c>
      <c r="AK24" s="17" t="n">
        <f aca="false">((AJ24*(1-Assumptions!$F$110))+AK18)</f>
        <v>63.1547428155843</v>
      </c>
      <c r="AL24" s="17" t="n">
        <f aca="false">((AK24*(1-Assumptions!$F$110))+AL18)</f>
        <v>65.5940236138365</v>
      </c>
    </row>
    <row r="25" customFormat="false" ht="15" hidden="false" customHeight="false" outlineLevel="0" collapsed="false">
      <c r="A25" s="6" t="s">
        <v>383</v>
      </c>
      <c r="B25" s="2" t="s">
        <v>384</v>
      </c>
      <c r="C25" s="17" t="n">
        <f aca="false">(C19+0)</f>
        <v>4.02204</v>
      </c>
      <c r="D25" s="17" t="n">
        <f aca="false">(D19+0)</f>
        <v>4.20057792</v>
      </c>
      <c r="E25" s="17" t="n">
        <f aca="false">(E19+0)</f>
        <v>4.35655874830674</v>
      </c>
      <c r="F25" s="17" t="n">
        <f aca="false">(F19+0)</f>
        <v>4.68164581447218</v>
      </c>
      <c r="G25" s="17" t="n">
        <f aca="false">(G19+0)</f>
        <v>4.8558242877425</v>
      </c>
      <c r="H25" s="17" t="n">
        <f aca="false">(H19+0)</f>
        <v>5.03550171965886</v>
      </c>
      <c r="I25" s="17" t="n">
        <f aca="false">(I19+0)</f>
        <v>5.22211587778624</v>
      </c>
      <c r="J25" s="17" t="n">
        <f aca="false">(J19+0)</f>
        <v>5.41597504726239</v>
      </c>
      <c r="K25" s="17" t="n">
        <f aca="false">(K19+0)</f>
        <v>5.61738811797858</v>
      </c>
      <c r="L25" s="17" t="n">
        <f aca="false">(L19+0)</f>
        <v>5.82667361997503</v>
      </c>
      <c r="M25" s="17" t="n">
        <f aca="false">(M19+0)</f>
        <v>6.0441605074441</v>
      </c>
      <c r="N25" s="17" t="n">
        <f aca="false">(N19+0)</f>
        <v>6.27018886648288</v>
      </c>
      <c r="O25" s="17" t="n">
        <f aca="false">(O19+(Assumptions!$F$43*C25))</f>
        <v>7.73987689207472</v>
      </c>
      <c r="P25" s="17" t="n">
        <f aca="false">(P19+(Assumptions!$F$43*D25))</f>
        <v>8.0386693446457</v>
      </c>
      <c r="Q25" s="17" t="n">
        <f aca="false">(Q19+(Assumptions!$F$43*E25))</f>
        <v>8.34016185147409</v>
      </c>
      <c r="R25" s="17" t="n">
        <f aca="false">(R19+(Assumptions!$F$43*F25))</f>
        <v>8.70358910426313</v>
      </c>
      <c r="S25" s="17" t="n">
        <f aca="false">(S19+(Assumptions!$F$43*G25))</f>
        <v>9.03110439357859</v>
      </c>
      <c r="T25" s="17" t="n">
        <f aca="false">(T19+(Assumptions!$F$43*H25))</f>
        <v>9.37115368095434</v>
      </c>
      <c r="U25" s="17" t="n">
        <f aca="false">(U19+(Assumptions!$F$43*I25))</f>
        <v>9.72461564590352</v>
      </c>
      <c r="V25" s="17" t="n">
        <f aca="false">(V19+(Assumptions!$F$43*J25))</f>
        <v>10.0920388560304</v>
      </c>
      <c r="W25" s="17" t="n">
        <f aca="false">(W19+(Assumptions!$F$43*K25))</f>
        <v>10.4739895666204</v>
      </c>
      <c r="X25" s="17" t="n">
        <f aca="false">(X19+(Assumptions!$F$43*L25))</f>
        <v>10.8710552671024</v>
      </c>
      <c r="Y25" s="17" t="n">
        <f aca="false">(Y19+(Assumptions!$F$43*M25))</f>
        <v>11.283845714646</v>
      </c>
      <c r="Z25" s="17" t="n">
        <f aca="false">(Z19+(Assumptions!$F$43*N25))</f>
        <v>11.7129939679211</v>
      </c>
      <c r="AA25" s="17" t="n">
        <f aca="false">(AA19+(Assumptions!$F$43*O25))</f>
        <v>12.5382306910797</v>
      </c>
      <c r="AB25" s="17" t="n">
        <f aca="false">(AB19+(Assumptions!$F$43*P25))</f>
        <v>13.0188005306664</v>
      </c>
      <c r="AC25" s="17" t="n">
        <f aca="false">(AC19+(Assumptions!$F$43*Q25))</f>
        <v>13.5156456594682</v>
      </c>
      <c r="AD25" s="17" t="n">
        <f aca="false">(AD19+(Assumptions!$F$43*R25))</f>
        <v>14.0475687510894</v>
      </c>
      <c r="AE25" s="17" t="n">
        <f aca="false">(AE19+(Assumptions!$F$43*S25))</f>
        <v>14.5851697216787</v>
      </c>
      <c r="AF25" s="17" t="n">
        <f aca="false">(AF19+(Assumptions!$F$43*T25))</f>
        <v>15.1439903029928</v>
      </c>
      <c r="AG25" s="17" t="n">
        <f aca="false">(AG19+(Assumptions!$F$43*U25))</f>
        <v>15.7249932762117</v>
      </c>
      <c r="AH25" s="17" t="n">
        <f aca="false">(AH19+(Assumptions!$F$43*V25))</f>
        <v>16.3290675351678</v>
      </c>
      <c r="AI25" s="17" t="n">
        <f aca="false">(AI19+(Assumptions!$F$43*W25))</f>
        <v>16.957136007028</v>
      </c>
      <c r="AJ25" s="17" t="n">
        <f aca="false">(AJ19+(Assumptions!$F$43*X25))</f>
        <v>17.6101578976498</v>
      </c>
      <c r="AK25" s="17" t="n">
        <f aca="false">(AK19+(Assumptions!$F$43*Y25))</f>
        <v>18.2891302094686</v>
      </c>
      <c r="AL25" s="17" t="n">
        <f aca="false">(AL19+(Assumptions!$F$43*Z25))</f>
        <v>18.9950893057648</v>
      </c>
    </row>
    <row r="26" customFormat="false" ht="15" hidden="false" customHeight="false" outlineLevel="0" collapsed="false">
      <c r="A26" s="6" t="s">
        <v>385</v>
      </c>
      <c r="B26" s="2" t="s">
        <v>386</v>
      </c>
      <c r="C26" s="17" t="n">
        <f aca="false">SUM(C25:C25)</f>
        <v>4.02204</v>
      </c>
      <c r="D26" s="17" t="n">
        <f aca="false">SUM(C25:D25)</f>
        <v>8.22261792</v>
      </c>
      <c r="E26" s="17" t="n">
        <f aca="false">SUM(C25:E25)</f>
        <v>12.5791766683067</v>
      </c>
      <c r="F26" s="17" t="n">
        <f aca="false">SUM(C25:F25)</f>
        <v>17.2608224827789</v>
      </c>
      <c r="G26" s="17" t="n">
        <f aca="false">SUM(C25:G25)</f>
        <v>22.1166467705214</v>
      </c>
      <c r="H26" s="17" t="n">
        <f aca="false">SUM(C25:H25)</f>
        <v>27.1521484901803</v>
      </c>
      <c r="I26" s="17" t="n">
        <f aca="false">SUM(C25:I25)</f>
        <v>32.3742643679665</v>
      </c>
      <c r="J26" s="17" t="n">
        <f aca="false">SUM(C25:J25)</f>
        <v>37.7902394152289</v>
      </c>
      <c r="K26" s="17" t="n">
        <f aca="false">SUM(C25:K25)</f>
        <v>43.4076275332075</v>
      </c>
      <c r="L26" s="17" t="n">
        <f aca="false">SUM(C25:L25)</f>
        <v>49.2343011531825</v>
      </c>
      <c r="M26" s="17" t="n">
        <f aca="false">SUM(C25:M25)</f>
        <v>55.2784616606266</v>
      </c>
      <c r="N26" s="17" t="n">
        <f aca="false">SUM(C25:N25)</f>
        <v>61.5486505271095</v>
      </c>
      <c r="O26" s="17" t="n">
        <f aca="false">SUM(D25:O25)</f>
        <v>65.2664874191842</v>
      </c>
      <c r="P26" s="17" t="n">
        <f aca="false">SUM(E25:P25)</f>
        <v>69.1045788438299</v>
      </c>
      <c r="Q26" s="17" t="n">
        <f aca="false">SUM(F25:Q25)</f>
        <v>73.0881819469973</v>
      </c>
      <c r="R26" s="17" t="n">
        <f aca="false">SUM(G25:R25)</f>
        <v>77.1101252367882</v>
      </c>
      <c r="S26" s="17" t="n">
        <f aca="false">SUM(H25:S25)</f>
        <v>81.2854053426243</v>
      </c>
      <c r="T26" s="17" t="n">
        <f aca="false">SUM(I25:T25)</f>
        <v>85.6210573039198</v>
      </c>
      <c r="U26" s="17" t="n">
        <f aca="false">SUM(J25:U25)</f>
        <v>90.1235570720371</v>
      </c>
      <c r="V26" s="17" t="n">
        <f aca="false">SUM(K25:V25)</f>
        <v>94.7996208808051</v>
      </c>
      <c r="W26" s="17" t="n">
        <f aca="false">SUM(L25:W25)</f>
        <v>99.6562223294469</v>
      </c>
      <c r="X26" s="17" t="n">
        <f aca="false">SUM(M25:X25)</f>
        <v>104.700603976574</v>
      </c>
      <c r="Y26" s="17" t="n">
        <f aca="false">SUM(N25:Y25)</f>
        <v>109.940289183776</v>
      </c>
      <c r="Z26" s="17" t="n">
        <f aca="false">SUM(O25:Z25)</f>
        <v>115.383094285214</v>
      </c>
      <c r="AA26" s="17" t="n">
        <f aca="false">SUM(P25:AA25)</f>
        <v>120.181448084219</v>
      </c>
      <c r="AB26" s="17" t="n">
        <f aca="false">SUM(Q25:AB25)</f>
        <v>125.16157927024</v>
      </c>
      <c r="AC26" s="17" t="n">
        <f aca="false">SUM(R25:AC25)</f>
        <v>130.337063078234</v>
      </c>
      <c r="AD26" s="17" t="n">
        <f aca="false">SUM(S25:AD25)</f>
        <v>135.68104272506</v>
      </c>
      <c r="AE26" s="17" t="n">
        <f aca="false">SUM(T25:AE25)</f>
        <v>141.235108053161</v>
      </c>
      <c r="AF26" s="17" t="n">
        <f aca="false">SUM(U25:AF25)</f>
        <v>147.007944675199</v>
      </c>
      <c r="AG26" s="17" t="n">
        <f aca="false">SUM(V25:AG25)</f>
        <v>153.008322305507</v>
      </c>
      <c r="AH26" s="17" t="n">
        <f aca="false">SUM(W25:AH25)</f>
        <v>159.245350984645</v>
      </c>
      <c r="AI26" s="17" t="n">
        <f aca="false">SUM(X25:AI25)</f>
        <v>165.728497425052</v>
      </c>
      <c r="AJ26" s="17" t="n">
        <f aca="false">SUM(Y25:AJ25)</f>
        <v>172.4676000556</v>
      </c>
      <c r="AK26" s="17" t="n">
        <f aca="false">SUM(Z25:AK25)</f>
        <v>179.472884550422</v>
      </c>
      <c r="AL26" s="17" t="n">
        <f aca="false">SUM(AA25:AL25)</f>
        <v>186.754979888266</v>
      </c>
    </row>
    <row r="27" customFormat="false" ht="15" hidden="false" customHeight="false" outlineLevel="0" collapsed="false">
      <c r="A27" s="6" t="s">
        <v>387</v>
      </c>
      <c r="B27" s="2" t="s">
        <v>388</v>
      </c>
      <c r="C27" s="17" t="n">
        <f aca="false">(C20+0)</f>
        <v>1.34068</v>
      </c>
      <c r="D27" s="17" t="n">
        <f aca="false">(D20+0)</f>
        <v>1.40019264</v>
      </c>
      <c r="E27" s="17" t="n">
        <f aca="false">(E20+0)</f>
        <v>1.45218624943558</v>
      </c>
      <c r="F27" s="17" t="n">
        <f aca="false">(F20+0)</f>
        <v>1.56054860482406</v>
      </c>
      <c r="G27" s="17" t="n">
        <f aca="false">(G20+0)</f>
        <v>1.61860809591417</v>
      </c>
      <c r="H27" s="17" t="n">
        <f aca="false">(H20+0)</f>
        <v>1.67850057321962</v>
      </c>
      <c r="I27" s="17" t="n">
        <f aca="false">(I20+0)</f>
        <v>1.74070529259541</v>
      </c>
      <c r="J27" s="17" t="n">
        <f aca="false">(J20+0)</f>
        <v>1.80532501575413</v>
      </c>
      <c r="K27" s="17" t="n">
        <f aca="false">(K20+0)</f>
        <v>1.87246270599286</v>
      </c>
      <c r="L27" s="17" t="n">
        <f aca="false">(L20+0)</f>
        <v>1.94222453999167</v>
      </c>
      <c r="M27" s="17" t="n">
        <f aca="false">(M20+0)</f>
        <v>2.01472016914803</v>
      </c>
      <c r="N27" s="17" t="n">
        <f aca="false">(N20+0)</f>
        <v>2.09006295549429</v>
      </c>
      <c r="O27" s="17" t="n">
        <f aca="false">(O20+(Assumptions!$F$44*C27))</f>
        <v>2.50354020402491</v>
      </c>
      <c r="P27" s="17" t="n">
        <f aca="false">(P20+(Assumptions!$F$44*D27))</f>
        <v>2.59974546773523</v>
      </c>
      <c r="Q27" s="17" t="n">
        <f aca="false">(Q20+(Assumptions!$F$44*E27))</f>
        <v>2.69727933427354</v>
      </c>
      <c r="R27" s="17" t="n">
        <f aca="false">(R20+(Assumptions!$F$44*F27))</f>
        <v>2.81224509761274</v>
      </c>
      <c r="S27" s="17" t="n">
        <f aca="false">(S20+(Assumptions!$F$44*G27))</f>
        <v>2.91810746972576</v>
      </c>
      <c r="T27" s="17" t="n">
        <f aca="false">(T20+(Assumptions!$F$44*H27))</f>
        <v>3.02804336097793</v>
      </c>
      <c r="U27" s="17" t="n">
        <f aca="false">(U20+(Assumptions!$F$44*I27))</f>
        <v>3.14231834695657</v>
      </c>
      <c r="V27" s="17" t="n">
        <f aca="false">(V20+(Assumptions!$F$44*J27))</f>
        <v>3.26110942611215</v>
      </c>
      <c r="W27" s="17" t="n">
        <f aca="false">(W20+(Assumptions!$F$44*K27))</f>
        <v>3.38459948129853</v>
      </c>
      <c r="X27" s="17" t="n">
        <f aca="false">(X20+(Assumptions!$F$44*L27))</f>
        <v>3.51297829025462</v>
      </c>
      <c r="Y27" s="17" t="n">
        <f aca="false">(Y20+(Assumptions!$F$44*M27))</f>
        <v>3.64644285524055</v>
      </c>
      <c r="Z27" s="17" t="n">
        <f aca="false">(Z20+(Assumptions!$F$44*N27))</f>
        <v>3.78519773417719</v>
      </c>
      <c r="AA27" s="17" t="n">
        <f aca="false">(AA20+(Assumptions!$F$44*O27))</f>
        <v>4.01324787941048</v>
      </c>
      <c r="AB27" s="17" t="n">
        <f aca="false">(AB20+(Assumptions!$F$44*P27))</f>
        <v>4.16691271422052</v>
      </c>
      <c r="AC27" s="17" t="n">
        <f aca="false">(AC20+(Assumptions!$F$44*Q27))</f>
        <v>4.32605849059028</v>
      </c>
      <c r="AD27" s="17" t="n">
        <f aca="false">(AD20+(Assumptions!$F$44*R27))</f>
        <v>4.49491690643005</v>
      </c>
      <c r="AE27" s="17" t="n">
        <f aca="false">(AE20+(Assumptions!$F$44*S27))</f>
        <v>4.6670670917148</v>
      </c>
      <c r="AF27" s="17" t="n">
        <f aca="false">(AF20+(Assumptions!$F$44*T27))</f>
        <v>4.84602621455777</v>
      </c>
      <c r="AG27" s="17" t="n">
        <f aca="false">(AG20+(Assumptions!$F$44*U27))</f>
        <v>5.03209167771226</v>
      </c>
      <c r="AH27" s="17" t="n">
        <f aca="false">(AH20+(Assumptions!$F$44*V27))</f>
        <v>5.22554789198353</v>
      </c>
      <c r="AI27" s="17" t="n">
        <f aca="false">(AI20+(Assumptions!$F$44*W27))</f>
        <v>5.42669027368316</v>
      </c>
      <c r="AJ27" s="17" t="n">
        <f aca="false">(AJ20+(Assumptions!$F$44*X27))</f>
        <v>5.63582588278012</v>
      </c>
      <c r="AK27" s="17" t="n">
        <f aca="false">(AK20+(Assumptions!$F$44*Y27))</f>
        <v>5.85327390550088</v>
      </c>
      <c r="AL27" s="17" t="n">
        <f aca="false">(AL20+(Assumptions!$F$44*Z27))</f>
        <v>6.07936615274865</v>
      </c>
    </row>
    <row r="28" customFormat="false" ht="15" hidden="false" customHeight="false" outlineLevel="0" collapsed="false">
      <c r="A28" s="6" t="s">
        <v>389</v>
      </c>
      <c r="B28" s="2" t="s">
        <v>390</v>
      </c>
      <c r="C28" s="17" t="n">
        <f aca="false">SUM(C27:C27)</f>
        <v>1.34068</v>
      </c>
      <c r="D28" s="17" t="n">
        <f aca="false">SUM(C27:D27)</f>
        <v>2.74087264</v>
      </c>
      <c r="E28" s="17" t="n">
        <f aca="false">SUM(C27:E27)</f>
        <v>4.19305888943558</v>
      </c>
      <c r="F28" s="17" t="n">
        <f aca="false">SUM(C27:F27)</f>
        <v>5.75360749425964</v>
      </c>
      <c r="G28" s="17" t="n">
        <f aca="false">SUM(C27:G27)</f>
        <v>7.3722155901738</v>
      </c>
      <c r="H28" s="17" t="n">
        <f aca="false">SUM(C27:H27)</f>
        <v>9.05071616339343</v>
      </c>
      <c r="I28" s="17" t="n">
        <f aca="false">SUM(C27:I27)</f>
        <v>10.7914214559888</v>
      </c>
      <c r="J28" s="17" t="n">
        <f aca="false">SUM(C27:J27)</f>
        <v>12.596746471743</v>
      </c>
      <c r="K28" s="17" t="n">
        <f aca="false">SUM(C27:K27)</f>
        <v>14.4692091777358</v>
      </c>
      <c r="L28" s="17" t="n">
        <f aca="false">SUM(C27:L27)</f>
        <v>16.4114337177275</v>
      </c>
      <c r="M28" s="17" t="n">
        <f aca="false">SUM(C27:M27)</f>
        <v>18.4261538868755</v>
      </c>
      <c r="N28" s="17" t="n">
        <f aca="false">SUM(C27:N27)</f>
        <v>20.5162168423698</v>
      </c>
      <c r="O28" s="17" t="n">
        <f aca="false">SUM(D27:O27)</f>
        <v>21.6790770463947</v>
      </c>
      <c r="P28" s="17" t="n">
        <f aca="false">SUM(E27:P27)</f>
        <v>22.87862987413</v>
      </c>
      <c r="Q28" s="17" t="n">
        <f aca="false">SUM(F27:Q27)</f>
        <v>24.1237229589679</v>
      </c>
      <c r="R28" s="17" t="n">
        <f aca="false">SUM(G27:R27)</f>
        <v>25.3754194517566</v>
      </c>
      <c r="S28" s="17" t="n">
        <f aca="false">SUM(H27:S27)</f>
        <v>26.6749188255682</v>
      </c>
      <c r="T28" s="17" t="n">
        <f aca="false">SUM(I27:T27)</f>
        <v>28.0244616133265</v>
      </c>
      <c r="U28" s="17" t="n">
        <f aca="false">SUM(J27:U27)</f>
        <v>29.4260746676877</v>
      </c>
      <c r="V28" s="17" t="n">
        <f aca="false">SUM(K27:V27)</f>
        <v>30.8818590780457</v>
      </c>
      <c r="W28" s="17" t="n">
        <f aca="false">SUM(L27:W27)</f>
        <v>32.3939958533513</v>
      </c>
      <c r="X28" s="17" t="n">
        <f aca="false">SUM(M27:X27)</f>
        <v>33.9647496036143</v>
      </c>
      <c r="Y28" s="17" t="n">
        <f aca="false">SUM(N27:Y27)</f>
        <v>35.5964722897068</v>
      </c>
      <c r="Z28" s="17" t="n">
        <f aca="false">SUM(O27:Z27)</f>
        <v>37.2916070683897</v>
      </c>
      <c r="AA28" s="17" t="n">
        <f aca="false">SUM(P27:AA27)</f>
        <v>38.8013147437753</v>
      </c>
      <c r="AB28" s="17" t="n">
        <f aca="false">SUM(Q27:AB27)</f>
        <v>40.3684819902606</v>
      </c>
      <c r="AC28" s="17" t="n">
        <f aca="false">SUM(R27:AC27)</f>
        <v>41.9972611465773</v>
      </c>
      <c r="AD28" s="17" t="n">
        <f aca="false">SUM(S27:AD27)</f>
        <v>43.6799329553946</v>
      </c>
      <c r="AE28" s="17" t="n">
        <f aca="false">SUM(T27:AE27)</f>
        <v>45.4288925773837</v>
      </c>
      <c r="AF28" s="17" t="n">
        <f aca="false">SUM(U27:AF27)</f>
        <v>47.2468754309635</v>
      </c>
      <c r="AG28" s="17" t="n">
        <f aca="false">SUM(V27:AG27)</f>
        <v>49.1366487617192</v>
      </c>
      <c r="AH28" s="17" t="n">
        <f aca="false">SUM(W27:AH27)</f>
        <v>51.1010872275906</v>
      </c>
      <c r="AI28" s="17" t="n">
        <f aca="false">SUM(X27:AI27)</f>
        <v>53.1431780199752</v>
      </c>
      <c r="AJ28" s="17" t="n">
        <f aca="false">SUM(Y27:AJ27)</f>
        <v>55.2660256125007</v>
      </c>
      <c r="AK28" s="17" t="n">
        <f aca="false">SUM(Z27:AK27)</f>
        <v>57.472856662761</v>
      </c>
      <c r="AL28" s="17" t="n">
        <f aca="false">SUM(AA27:AL27)</f>
        <v>59.7670250813325</v>
      </c>
    </row>
    <row r="29" customFormat="false" ht="15" hidden="false" customHeight="false" outlineLevel="0" collapsed="false">
      <c r="A29" s="21" t="s">
        <v>391</v>
      </c>
      <c r="B29" s="2" t="s">
        <v>392</v>
      </c>
      <c r="C29" s="22" t="n">
        <f aca="false">((C24+C26)+C28)</f>
        <v>8.93786666666667</v>
      </c>
      <c r="D29" s="22" t="n">
        <f aca="false">((D24+D26)+D28)</f>
        <v>17.6356919174627</v>
      </c>
      <c r="E29" s="22" t="n">
        <f aca="false">((E24+E26)+E28)</f>
        <v>26.1285049163359</v>
      </c>
      <c r="F29" s="22" t="n">
        <f aca="false">((F24+F26)+F28)</f>
        <v>34.865657016411</v>
      </c>
      <c r="G29" s="22" t="n">
        <f aca="false">((G24+G26)+G28)</f>
        <v>43.5454794435459</v>
      </c>
      <c r="H29" s="22" t="n">
        <f aca="false">((H24+H26)+H28)</f>
        <v>52.2317688586876</v>
      </c>
      <c r="I29" s="22" t="n">
        <f aca="false">((I24+I26)+I28)</f>
        <v>60.9814596683524</v>
      </c>
      <c r="J29" s="22" t="n">
        <f aca="false">((J24+J26)+J28)</f>
        <v>69.8436777972764</v>
      </c>
      <c r="K29" s="22" t="n">
        <f aca="false">((K24+K26)+K28)</f>
        <v>78.8612060653809</v>
      </c>
      <c r="L29" s="22" t="n">
        <f aca="false">((L24+L26)+L28)</f>
        <v>88.0717087793079</v>
      </c>
      <c r="M29" s="22" t="n">
        <f aca="false">((M24+M26)+M28)</f>
        <v>97.5087422357412</v>
      </c>
      <c r="N29" s="22" t="n">
        <f aca="false">((N24+N26)+N28)</f>
        <v>107.202589285887</v>
      </c>
      <c r="O29" s="22" t="n">
        <f aca="false">((O24+O26)+O28)</f>
        <v>113.388165722862</v>
      </c>
      <c r="P29" s="22" t="n">
        <f aca="false">((P24+P26)+P28)</f>
        <v>119.715141147205</v>
      </c>
      <c r="Q29" s="22" t="n">
        <f aca="false">((Q24+Q26)+Q28)</f>
        <v>126.228945350464</v>
      </c>
      <c r="R29" s="22" t="n">
        <f aca="false">((R24+R26)+R28)</f>
        <v>132.793128099339</v>
      </c>
      <c r="S29" s="22" t="n">
        <f aca="false">((S24+S26)+S28)</f>
        <v>139.572176975195</v>
      </c>
      <c r="T29" s="22" t="n">
        <f aca="false">((T24+T26)+T28)</f>
        <v>146.582563374615</v>
      </c>
      <c r="U29" s="22" t="n">
        <f aca="false">((U24+U26)+U28)</f>
        <v>153.839092929027</v>
      </c>
      <c r="V29" s="22" t="n">
        <f aca="false">((V24+V26)+V28)</f>
        <v>161.356166640024</v>
      </c>
      <c r="W29" s="22" t="n">
        <f aca="false">((W24+W26)+W28)</f>
        <v>169.147947294724</v>
      </c>
      <c r="X29" s="22" t="n">
        <f aca="false">((X24+X26)+X28)</f>
        <v>177.228493491273</v>
      </c>
      <c r="Y29" s="22" t="n">
        <f aca="false">((Y24+Y26)+Y28)</f>
        <v>185.61187353572</v>
      </c>
      <c r="Z29" s="22" t="n">
        <f aca="false">((Z24+Z26)+Z28)</f>
        <v>194.312262976423</v>
      </c>
      <c r="AA29" s="22" t="n">
        <f aca="false">((AA24+AA26)+AA28)</f>
        <v>202.236958300364</v>
      </c>
      <c r="AB29" s="22" t="n">
        <f aca="false">((AB24+AB26)+AB28)</f>
        <v>210.458577588206</v>
      </c>
      <c r="AC29" s="22" t="n">
        <f aca="false">((AC24+AC26)+AC28)</f>
        <v>218.99830351924</v>
      </c>
      <c r="AD29" s="22" t="n">
        <f aca="false">((AD24+AD26)+AD28)</f>
        <v>227.82494874598</v>
      </c>
      <c r="AE29" s="22" t="n">
        <f aca="false">((AE24+AE26)+AE28)</f>
        <v>236.995851254588</v>
      </c>
      <c r="AF29" s="22" t="n">
        <f aca="false">((AF24+AF26)+AF28)</f>
        <v>246.525782345897</v>
      </c>
      <c r="AG29" s="22" t="n">
        <f aca="false">((AG24+AG26)+AG28)</f>
        <v>256.429648535114</v>
      </c>
      <c r="AH29" s="22" t="n">
        <f aca="false">((AH24+AH26)+AH28)</f>
        <v>266.722844332727</v>
      </c>
      <c r="AI29" s="22" t="n">
        <f aca="false">((AI24+AI26)+AI28)</f>
        <v>277.421291965966</v>
      </c>
      <c r="AJ29" s="22" t="n">
        <f aca="false">((AJ24+AJ26)+AJ28)</f>
        <v>288.541477203439</v>
      </c>
      <c r="AK29" s="22" t="n">
        <f aca="false">((AK24+AK26)+AK28)</f>
        <v>300.100484028768</v>
      </c>
      <c r="AL29" s="22" t="n">
        <f aca="false">((AL24+AL26)+AL28)</f>
        <v>312.116028583435</v>
      </c>
    </row>
    <row r="30" customFormat="false" ht="15" hidden="false" customHeight="false" outlineLevel="0" collapsed="false">
      <c r="A30" s="6" t="s">
        <v>393</v>
      </c>
      <c r="B30" s="2" t="s">
        <v>394</v>
      </c>
      <c r="C30" s="14" t="n">
        <f aca="false">((((C24*Assumptions!$F$35)+(C25*Assumptions!$F$36))+(C27*Assumptions!$F$37))+(C21*Assumptions!$F$38))</f>
        <v>363.790132444444</v>
      </c>
      <c r="D30" s="14" t="n">
        <f aca="false">((((D24*Assumptions!$F$35)+(D25*Assumptions!$F$36))+(D27*Assumptions!$F$37))+(D21*Assumptions!$F$38))</f>
        <v>409.292896655453</v>
      </c>
      <c r="E30" s="14" t="n">
        <f aca="false">((((E24*Assumptions!$F$35)+(E25*Assumptions!$F$36))+(E27*Assumptions!$F$37))+(E21*Assumptions!$F$38))</f>
        <v>448.829960854737</v>
      </c>
      <c r="F30" s="14" t="n">
        <f aca="false">((((F24*Assumptions!$F$35)+(F25*Assumptions!$F$36))+(F27*Assumptions!$F$37))+(F21*Assumptions!$F$38))</f>
        <v>500.271666430521</v>
      </c>
      <c r="G30" s="14" t="n">
        <f aca="false">((((G24*Assumptions!$F$35)+(G25*Assumptions!$F$36))+(G27*Assumptions!$F$37))+(G21*Assumptions!$F$38))</f>
        <v>536.511104414652</v>
      </c>
      <c r="H30" s="14" t="n">
        <f aca="false">((((H24*Assumptions!$F$35)+(H25*Assumptions!$F$36))+(H27*Assumptions!$F$37))+(H21*Assumptions!$F$38))</f>
        <v>570.87038964385</v>
      </c>
      <c r="I30" s="14" t="n">
        <f aca="false">((((I24*Assumptions!$F$35)+(I25*Assumptions!$F$36))+(I27*Assumptions!$F$37))+(I21*Assumptions!$F$38))</f>
        <v>603.943177136114</v>
      </c>
      <c r="J30" s="14" t="n">
        <f aca="false">((((J24*Assumptions!$F$35)+(J25*Assumptions!$F$36))+(J27*Assumptions!$F$37))+(J21*Assumptions!$F$38))</f>
        <v>636.14887788758</v>
      </c>
      <c r="K30" s="14" t="n">
        <f aca="false">((((K24*Assumptions!$F$35)+(K25*Assumptions!$F$36))+(K27*Assumptions!$F$37))+(K21*Assumptions!$F$38))</f>
        <v>667.839470193168</v>
      </c>
      <c r="L30" s="14" t="n">
        <f aca="false">((((L24*Assumptions!$F$35)+(L25*Assumptions!$F$36))+(L27*Assumptions!$F$37))+(L21*Assumptions!$F$38))</f>
        <v>699.312341918834</v>
      </c>
      <c r="M30" s="14" t="n">
        <f aca="false">((((M24*Assumptions!$F$35)+(M25*Assumptions!$F$36))+(M27*Assumptions!$F$37))+(M21*Assumptions!$F$38))</f>
        <v>730.820310530529</v>
      </c>
      <c r="N30" s="14" t="n">
        <f aca="false">((((N24*Assumptions!$F$35)+(N25*Assumptions!$F$36))+(N27*Assumptions!$F$37))+(N21*Assumptions!$F$38))</f>
        <v>762.57986984717</v>
      </c>
      <c r="O30" s="14" t="n">
        <f aca="false">((((O24*Assumptions!$F$35)+(O25*Assumptions!$F$36))+(O27*Assumptions!$F$37))+(O21*Assumptions!$F$38))</f>
        <v>882.255060942062</v>
      </c>
      <c r="P30" s="14" t="n">
        <f aca="false">((((P24*Assumptions!$F$35)+(P25*Assumptions!$F$36))+(P27*Assumptions!$F$37))+(P21*Assumptions!$F$38))</f>
        <v>918.919927520821</v>
      </c>
      <c r="Q30" s="14" t="n">
        <f aca="false">((((Q24*Assumptions!$F$35)+(Q25*Assumptions!$F$36))+(Q27*Assumptions!$F$37))+(Q21*Assumptions!$F$38))</f>
        <v>955.837110665757</v>
      </c>
      <c r="R30" s="14" t="n">
        <f aca="false">((((R24*Assumptions!$F$35)+(R25*Assumptions!$F$36))+(R27*Assumptions!$F$37))+(R21*Assumptions!$F$38))</f>
        <v>997.303805331473</v>
      </c>
      <c r="S30" s="14" t="n">
        <f aca="false">((((S24*Assumptions!$F$35)+(S25*Assumptions!$F$36))+(S27*Assumptions!$F$37))+(S21*Assumptions!$F$38))</f>
        <v>1036.4751549996</v>
      </c>
      <c r="T30" s="14" t="n">
        <f aca="false">((((T24*Assumptions!$F$35)+(T25*Assumptions!$F$36))+(T27*Assumptions!$F$37))+(T21*Assumptions!$F$38))</f>
        <v>1076.85980142779</v>
      </c>
      <c r="U30" s="14" t="n">
        <f aca="false">((((U24*Assumptions!$F$35)+(U25*Assumptions!$F$36))+(U27*Assumptions!$F$37))+(U21*Assumptions!$F$38))</f>
        <v>1118.58764944568</v>
      </c>
      <c r="V30" s="14" t="n">
        <f aca="false">((((V24*Assumptions!$F$35)+(V25*Assumptions!$F$36))+(V27*Assumptions!$F$37))+(V21*Assumptions!$F$38))</f>
        <v>1161.75821123028</v>
      </c>
      <c r="W30" s="14" t="n">
        <f aca="false">((((W24*Assumptions!$F$35)+(W25*Assumptions!$F$36))+(W27*Assumptions!$F$37))+(W21*Assumptions!$F$38))</f>
        <v>1206.46669049754</v>
      </c>
      <c r="X30" s="14" t="n">
        <f aca="false">((((X24*Assumptions!$F$35)+(X25*Assumptions!$F$36))+(X27*Assumptions!$F$37))+(X21*Assumptions!$F$38))</f>
        <v>1252.80542834965</v>
      </c>
      <c r="Y30" s="14" t="n">
        <f aca="false">((((Y24*Assumptions!$F$35)+(Y25*Assumptions!$F$36))+(Y27*Assumptions!$F$37))+(Y21*Assumptions!$F$38))</f>
        <v>1300.8649670553</v>
      </c>
      <c r="Z30" s="14" t="n">
        <f aca="false">((((Z24*Assumptions!$F$35)+(Z25*Assumptions!$F$36))+(Z27*Assumptions!$F$37))+(Z21*Assumptions!$F$38))</f>
        <v>1350.73494642512</v>
      </c>
      <c r="AA30" s="14" t="n">
        <f aca="false">((((AA24*Assumptions!$F$35)+(AA25*Assumptions!$F$36))+(AA27*Assumptions!$F$37))+(AA21*Assumptions!$F$38))</f>
        <v>1428.59633068094</v>
      </c>
      <c r="AB30" s="14" t="n">
        <f aca="false">((((AB24*Assumptions!$F$35)+(AB25*Assumptions!$F$36))+(AB27*Assumptions!$F$37))+(AB21*Assumptions!$F$38))</f>
        <v>1483.50484473207</v>
      </c>
      <c r="AC30" s="14" t="n">
        <f aca="false">((((AC24*Assumptions!$F$35)+(AC25*Assumptions!$F$36))+(AC27*Assumptions!$F$37))+(AC21*Assumptions!$F$38))</f>
        <v>1540.34712550057</v>
      </c>
      <c r="AD30" s="14" t="n">
        <f aca="false">((((AD24*Assumptions!$F$35)+(AD25*Assumptions!$F$36))+(AD27*Assumptions!$F$37))+(AD21*Assumptions!$F$38))</f>
        <v>1600.45931889024</v>
      </c>
      <c r="AE30" s="14" t="n">
        <f aca="false">((((AE24*Assumptions!$F$35)+(AE25*Assumptions!$F$36))+(AE27*Assumptions!$F$37))+(AE21*Assumptions!$F$38))</f>
        <v>1661.85970960299</v>
      </c>
      <c r="AF30" s="14" t="n">
        <f aca="false">((((AF24*Assumptions!$F$35)+(AF25*Assumptions!$F$36))+(AF27*Assumptions!$F$37))+(AF21*Assumptions!$F$38))</f>
        <v>1725.66028408951</v>
      </c>
      <c r="AG30" s="14" t="n">
        <f aca="false">((((AG24*Assumptions!$F$35)+(AG25*Assumptions!$F$36))+(AG27*Assumptions!$F$37))+(AG21*Assumptions!$F$38))</f>
        <v>1791.97007147206</v>
      </c>
      <c r="AH30" s="14" t="n">
        <f aca="false">((((AH24*Assumptions!$F$35)+(AH25*Assumptions!$F$36))+(AH27*Assumptions!$F$37))+(AH21*Assumptions!$F$38))</f>
        <v>1860.89377748457</v>
      </c>
      <c r="AI30" s="14" t="n">
        <f aca="false">((((AI24*Assumptions!$F$35)+(AI25*Assumptions!$F$36))+(AI27*Assumptions!$F$37))+(AI21*Assumptions!$F$38))</f>
        <v>1932.53941011228</v>
      </c>
      <c r="AJ30" s="14" t="n">
        <f aca="false">((((AJ24*Assumptions!$F$35)+(AJ25*Assumptions!$F$36))+(AJ27*Assumptions!$F$37))+(AJ21*Assumptions!$F$38))</f>
        <v>2007.01860950406</v>
      </c>
      <c r="AK30" s="14" t="n">
        <f aca="false">((((AK24*Assumptions!$F$35)+(AK25*Assumptions!$F$36))+(AK27*Assumptions!$F$37))+(AK21*Assumptions!$F$38))</f>
        <v>2084.44691052158</v>
      </c>
      <c r="AL30" s="14" t="n">
        <f aca="false">((((AL24*Assumptions!$F$35)+(AL25*Assumptions!$F$36))+(AL27*Assumptions!$F$37))+(AL21*Assumptions!$F$38))</f>
        <v>2164.94399481409</v>
      </c>
    </row>
    <row r="32" customFormat="false" ht="15" hidden="false" customHeight="false" outlineLevel="0" collapsed="false">
      <c r="A32" s="4" t="s">
        <v>395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customFormat="false" ht="15" hidden="false" customHeight="false" outlineLevel="0" collapsed="false">
      <c r="A33" s="6" t="s">
        <v>396</v>
      </c>
      <c r="B33" s="2" t="s">
        <v>397</v>
      </c>
      <c r="C33" s="17" t="n">
        <f aca="false">(C12-C17)</f>
        <v>606.617688888889</v>
      </c>
      <c r="D33" s="17" t="n">
        <f aca="false">(D12-D17)</f>
        <v>633.5453824</v>
      </c>
      <c r="E33" s="17" t="n">
        <f aca="false">(E12-E17)</f>
        <v>657.070938977858</v>
      </c>
      <c r="F33" s="17" t="n">
        <f aca="false">(F12-F17)</f>
        <v>706.101670836554</v>
      </c>
      <c r="G33" s="17" t="n">
        <f aca="false">(G12-G17)</f>
        <v>732.371857833559</v>
      </c>
      <c r="H33" s="17" t="n">
        <f aca="false">(H12-H17)</f>
        <v>759.471416389564</v>
      </c>
      <c r="I33" s="17" t="n">
        <f aca="false">(I12-I17)</f>
        <v>787.617195476091</v>
      </c>
      <c r="J33" s="17" t="n">
        <f aca="false">(J12-J17)</f>
        <v>816.855691701276</v>
      </c>
      <c r="K33" s="17" t="n">
        <f aca="false">(K12-K17)</f>
        <v>847.233492884226</v>
      </c>
      <c r="L33" s="17" t="n">
        <f aca="false">(L12-L17)</f>
        <v>878.798640803947</v>
      </c>
      <c r="M33" s="17" t="n">
        <f aca="false">(M12-M17)</f>
        <v>911.600749445365</v>
      </c>
      <c r="N33" s="17" t="n">
        <f aca="false">(N12-N17)</f>
        <v>945.691111744956</v>
      </c>
      <c r="O33" s="17" t="n">
        <f aca="false">(O12-O17)</f>
        <v>981.122804711876</v>
      </c>
      <c r="P33" s="17" t="n">
        <f aca="false">(P12-P17)</f>
        <v>1017.92089202338</v>
      </c>
      <c r="Q33" s="17" t="n">
        <f aca="false">(Q12-Q17)</f>
        <v>1056.17066669717</v>
      </c>
      <c r="R33" s="17" t="n">
        <f aca="false">(R12-R17)</f>
        <v>1095.93156061749</v>
      </c>
      <c r="S33" s="17" t="n">
        <f aca="false">(S12-S17)</f>
        <v>1137.26357790402</v>
      </c>
      <c r="T33" s="17" t="n">
        <f aca="false">(T12-T17)</f>
        <v>1180.2313981416</v>
      </c>
      <c r="U33" s="17" t="n">
        <f aca="false">(U12-U17)</f>
        <v>1224.9009741148</v>
      </c>
      <c r="V33" s="17" t="n">
        <f aca="false">(V12-V17)</f>
        <v>1271.34076818809</v>
      </c>
      <c r="W33" s="17" t="n">
        <f aca="false">(W12-W17)</f>
        <v>1319.62188244013</v>
      </c>
      <c r="X33" s="17" t="n">
        <f aca="false">(X12-X17)</f>
        <v>1369.81817518933</v>
      </c>
      <c r="Y33" s="17" t="n">
        <f aca="false">(Y12-Y17)</f>
        <v>1422.00638058286</v>
      </c>
      <c r="Z33" s="17" t="n">
        <f aca="false">(Z12-Z17)</f>
        <v>1476.26623174096</v>
      </c>
      <c r="AA33" s="17" t="n">
        <f aca="false">(AA12-AA17)</f>
        <v>1532.6805877575</v>
      </c>
      <c r="AB33" s="17" t="n">
        <f aca="false">(AB12-AB17)</f>
        <v>1591.32683687976</v>
      </c>
      <c r="AC33" s="17" t="n">
        <f aca="false">(AC12-AC17)</f>
        <v>1652.30276020291</v>
      </c>
      <c r="AD33" s="17" t="n">
        <f aca="false">(AD12-AD17)</f>
        <v>1715.70150975658</v>
      </c>
      <c r="AE33" s="17" t="n">
        <f aca="false">(AE12-AE17)</f>
        <v>1781.61943995719</v>
      </c>
      <c r="AF33" s="17" t="n">
        <f aca="false">(AF12-AF17)</f>
        <v>1850.15742473749</v>
      </c>
      <c r="AG33" s="17" t="n">
        <f aca="false">(AG12-AG17)</f>
        <v>1921.41998871083</v>
      </c>
      <c r="AH33" s="17" t="n">
        <f aca="false">(AH12-AH17)</f>
        <v>1995.51579764953</v>
      </c>
      <c r="AI33" s="17" t="n">
        <f aca="false">(AI12-AI17)</f>
        <v>2072.55783135985</v>
      </c>
      <c r="AJ33" s="17" t="n">
        <f aca="false">(AJ12-AJ17)</f>
        <v>2152.66355812311</v>
      </c>
      <c r="AK33" s="17" t="n">
        <f aca="false">(AK12-AK17)</f>
        <v>2235.95511577015</v>
      </c>
      <c r="AL33" s="17" t="n">
        <f aca="false">(AL12-AL17)</f>
        <v>2322.55949974358</v>
      </c>
    </row>
    <row r="34" customFormat="false" ht="15" hidden="false" customHeight="false" outlineLevel="0" collapsed="false">
      <c r="A34" s="6" t="s">
        <v>398</v>
      </c>
      <c r="B34" s="2" t="s">
        <v>399</v>
      </c>
      <c r="C34" s="17" t="n">
        <f aca="false">((0*(1-Assumptions!$F$27))+(0*Assumptions!$F$26))</f>
        <v>0</v>
      </c>
      <c r="D34" s="17" t="n">
        <f aca="false">((C34*(1-Assumptions!$F$27))+(C33*Assumptions!$F$26))</f>
        <v>36.3970613333333</v>
      </c>
      <c r="E34" s="17" t="n">
        <f aca="false">((D34*(1-Assumptions!$F$27))+(D33*Assumptions!$F$26))</f>
        <v>70.0421369173333</v>
      </c>
      <c r="F34" s="17" t="n">
        <f aca="false">((E34*(1-Assumptions!$F$27))+(E33*Assumptions!$F$26))</f>
        <v>101.061336825925</v>
      </c>
      <c r="G34" s="17" t="n">
        <f aca="false">((F34*(1-Assumptions!$F$27))+(F33*Assumptions!$F$26))</f>
        <v>131.300076657007</v>
      </c>
      <c r="H34" s="17" t="n">
        <f aca="false">((G34*(1-Assumptions!$F$27))+(G33*Assumptions!$F$26))</f>
        <v>159.48637892818</v>
      </c>
      <c r="I34" s="17" t="n">
        <f aca="false">((H34*(1-Assumptions!$F$27))+(H33*Assumptions!$F$26))</f>
        <v>185.916298440172</v>
      </c>
      <c r="J34" s="17" t="n">
        <f aca="false">((I34*(1-Assumptions!$F$27))+(I33*Assumptions!$F$26))</f>
        <v>210.863374355917</v>
      </c>
      <c r="K34" s="17" t="n">
        <f aca="false">((J34*(1-Assumptions!$F$27))+(J33*Assumptions!$F$26))</f>
        <v>234.571110935283</v>
      </c>
      <c r="L34" s="17" t="n">
        <f aca="false">((K34*(1-Assumptions!$F$27))+(K33*Assumptions!$F$26))</f>
        <v>257.256587196103</v>
      </c>
      <c r="M34" s="17" t="n">
        <f aca="false">((L34*(1-Assumptions!$F$27))+(L33*Assumptions!$F$26))</f>
        <v>279.113715180807</v>
      </c>
      <c r="N34" s="17" t="n">
        <f aca="false">((M34*(1-Assumptions!$F$27))+(M33*Assumptions!$F$26))</f>
        <v>300.316114325832</v>
      </c>
      <c r="O34" s="17" t="n">
        <f aca="false">((N34*(1-Assumptions!$F$27))+(N33*Assumptions!$F$26))</f>
        <v>321.01964731143</v>
      </c>
      <c r="P34" s="17" t="n">
        <f aca="false">((O34*(1-Assumptions!$F$27))+(O33*Assumptions!$F$26))</f>
        <v>341.364657916771</v>
      </c>
      <c r="Q34" s="17" t="n">
        <f aca="false">((P34*(1-Assumptions!$F$27))+(P33*Assumptions!$F$26))</f>
        <v>361.476152488161</v>
      </c>
      <c r="R34" s="17" t="n">
        <f aca="false">((Q34*(1-Assumptions!$F$27))+(Q33*Assumptions!$F$26))</f>
        <v>381.469254191412</v>
      </c>
      <c r="S34" s="17" t="n">
        <f aca="false">((R34*(1-Assumptions!$F$27))+(R33*Assumptions!$F$26))</f>
        <v>401.448837325492</v>
      </c>
      <c r="T34" s="17" t="n">
        <f aca="false">((S34*(1-Assumptions!$F$27))+(S33*Assumptions!$F$26))</f>
        <v>421.510791520674</v>
      </c>
      <c r="U34" s="17" t="n">
        <f aca="false">((T34*(1-Assumptions!$F$27))+(T33*Assumptions!$F$26))</f>
        <v>441.74338042669</v>
      </c>
      <c r="V34" s="17" t="n">
        <f aca="false">((U34*(1-Assumptions!$F$27))+(U33*Assumptions!$F$26))</f>
        <v>462.228233222375</v>
      </c>
      <c r="W34" s="17" t="n">
        <f aca="false">((V34*(1-Assumptions!$F$27))+(V33*Assumptions!$F$26))</f>
        <v>483.041291326975</v>
      </c>
      <c r="X34" s="17" t="n">
        <f aca="false">((W34*(1-Assumptions!$F$27))+(W33*Assumptions!$F$26))</f>
        <v>504.253649314146</v>
      </c>
      <c r="Y34" s="17" t="n">
        <f aca="false">((X34*(1-Assumptions!$F$27))+(X33*Assumptions!$F$26))</f>
        <v>525.932301907809</v>
      </c>
      <c r="Z34" s="17" t="n">
        <f aca="false">((Y34*(1-Assumptions!$F$27))+(Y33*Assumptions!$F$26))</f>
        <v>548.140808513843</v>
      </c>
      <c r="AA34" s="17" t="n">
        <f aca="false">((Z34*(1-Assumptions!$F$27))+(Z33*Assumptions!$F$26))</f>
        <v>570.939885396639</v>
      </c>
      <c r="AB34" s="17" t="n">
        <f aca="false">((AA34*(1-Assumptions!$F$27))+(AA33*Assumptions!$F$26))</f>
        <v>594.387934414492</v>
      </c>
      <c r="AC34" s="17" t="n">
        <f aca="false">((AB34*(1-Assumptions!$F$27))+(AB33*Assumptions!$F$26))</f>
        <v>618.540992497539</v>
      </c>
      <c r="AD34" s="17" t="n">
        <f aca="false">((AC34*(1-Assumptions!$F$27))+(AC33*Assumptions!$F$26))</f>
        <v>643.454239010009</v>
      </c>
      <c r="AE34" s="17" t="n">
        <f aca="false">((AD34*(1-Assumptions!$F$27))+(AD33*Assumptions!$F$26))</f>
        <v>669.181820914203</v>
      </c>
      <c r="AF34" s="17" t="n">
        <f aca="false">((AE34*(1-Assumptions!$F$27))+(AE33*Assumptions!$F$26))</f>
        <v>695.77716880193</v>
      </c>
      <c r="AG34" s="17" t="n">
        <f aca="false">((AF34*(1-Assumptions!$F$27))+(AF33*Assumptions!$F$26))</f>
        <v>723.293354029948</v>
      </c>
      <c r="AH34" s="17" t="n">
        <f aca="false">((AG34*(1-Assumptions!$F$27))+(AG33*Assumptions!$F$26))</f>
        <v>751.783350869004</v>
      </c>
      <c r="AI34" s="17" t="n">
        <f aca="false">((AH34*(1-Assumptions!$F$27))+(AH33*Assumptions!$F$26))</f>
        <v>781.300296623695</v>
      </c>
      <c r="AJ34" s="17" t="n">
        <f aca="false">((AI34*(1-Assumptions!$F$27))+(AI33*Assumptions!$F$26))</f>
        <v>811.897730910443</v>
      </c>
      <c r="AK34" s="17" t="n">
        <f aca="false">((AJ34*(1-Assumptions!$F$27))+(AJ33*Assumptions!$F$26))</f>
        <v>843.629816688576</v>
      </c>
      <c r="AL34" s="17" t="n">
        <f aca="false">((AK34*(1-Assumptions!$F$27))+(AK33*Assumptions!$F$26))</f>
        <v>876.551545632156</v>
      </c>
    </row>
    <row r="35" customFormat="false" ht="15" hidden="false" customHeight="false" outlineLevel="0" collapsed="false">
      <c r="A35" s="6" t="s">
        <v>400</v>
      </c>
      <c r="B35" s="2" t="s">
        <v>401</v>
      </c>
      <c r="C35" s="17" t="n">
        <f aca="false">(C33+C34)</f>
        <v>606.617688888889</v>
      </c>
      <c r="D35" s="17" t="n">
        <f aca="false">(D33+D34)</f>
        <v>669.942443733333</v>
      </c>
      <c r="E35" s="17" t="n">
        <f aca="false">(E33+E34)</f>
        <v>727.113075895191</v>
      </c>
      <c r="F35" s="17" t="n">
        <f aca="false">(F33+F34)</f>
        <v>807.163007662479</v>
      </c>
      <c r="G35" s="17" t="n">
        <f aca="false">(G33+G34)</f>
        <v>863.671934490566</v>
      </c>
      <c r="H35" s="17" t="n">
        <f aca="false">(H33+H34)</f>
        <v>918.957795317744</v>
      </c>
      <c r="I35" s="17" t="n">
        <f aca="false">(I33+I34)</f>
        <v>973.533493916263</v>
      </c>
      <c r="J35" s="17" t="n">
        <f aca="false">(J33+J34)</f>
        <v>1027.71906605719</v>
      </c>
      <c r="K35" s="17" t="n">
        <f aca="false">(K33+K34)</f>
        <v>1081.80460381951</v>
      </c>
      <c r="L35" s="17" t="n">
        <f aca="false">(L33+L34)</f>
        <v>1136.05522800005</v>
      </c>
      <c r="M35" s="17" t="n">
        <f aca="false">(M33+M34)</f>
        <v>1190.71446462617</v>
      </c>
      <c r="N35" s="17" t="n">
        <f aca="false">(N33+N34)</f>
        <v>1246.00722607079</v>
      </c>
      <c r="O35" s="17" t="n">
        <f aca="false">(O33+O34)</f>
        <v>1302.14245202331</v>
      </c>
      <c r="P35" s="17" t="n">
        <f aca="false">(P33+P34)</f>
        <v>1359.28554994015</v>
      </c>
      <c r="Q35" s="17" t="n">
        <f aca="false">(Q33+Q34)</f>
        <v>1417.64681918533</v>
      </c>
      <c r="R35" s="17" t="n">
        <f aca="false">(R33+R34)</f>
        <v>1477.4008148089</v>
      </c>
      <c r="S35" s="17" t="n">
        <f aca="false">(S33+S34)</f>
        <v>1538.71241522952</v>
      </c>
      <c r="T35" s="17" t="n">
        <f aca="false">(T33+T34)</f>
        <v>1601.74218966228</v>
      </c>
      <c r="U35" s="17" t="n">
        <f aca="false">(U33+U34)</f>
        <v>1666.64435454149</v>
      </c>
      <c r="V35" s="17" t="n">
        <f aca="false">(V33+V34)</f>
        <v>1733.56900141046</v>
      </c>
      <c r="W35" s="17" t="n">
        <f aca="false">(W33+W34)</f>
        <v>1802.66317376711</v>
      </c>
      <c r="X35" s="17" t="n">
        <f aca="false">(X33+X34)</f>
        <v>1874.07182450348</v>
      </c>
      <c r="Y35" s="17" t="n">
        <f aca="false">(Y33+Y34)</f>
        <v>1947.93868249066</v>
      </c>
      <c r="Z35" s="17" t="n">
        <f aca="false">(Z33+Z34)</f>
        <v>2024.4070402548</v>
      </c>
      <c r="AA35" s="17" t="n">
        <f aca="false">(AA33+AA34)</f>
        <v>2103.62047315414</v>
      </c>
      <c r="AB35" s="17" t="n">
        <f aca="false">(AB33+AB34)</f>
        <v>2185.71477129425</v>
      </c>
      <c r="AC35" s="17" t="n">
        <f aca="false">(AC33+AC34)</f>
        <v>2270.84375270045</v>
      </c>
      <c r="AD35" s="17" t="n">
        <f aca="false">(AD33+AD34)</f>
        <v>2359.15574876659</v>
      </c>
      <c r="AE35" s="17" t="n">
        <f aca="false">(AE33+AE34)</f>
        <v>2450.8012608714</v>
      </c>
      <c r="AF35" s="17" t="n">
        <f aca="false">(AF33+AF34)</f>
        <v>2545.93459353942</v>
      </c>
      <c r="AG35" s="17" t="n">
        <f aca="false">(AG33+AG34)</f>
        <v>2644.71334274078</v>
      </c>
      <c r="AH35" s="17" t="n">
        <f aca="false">(AH33+AH34)</f>
        <v>2747.29914851854</v>
      </c>
      <c r="AI35" s="17" t="n">
        <f aca="false">(AI33+AI34)</f>
        <v>2853.85812798355</v>
      </c>
      <c r="AJ35" s="17" t="n">
        <f aca="false">(AJ33+AJ34)</f>
        <v>2964.56128903355</v>
      </c>
      <c r="AK35" s="17" t="n">
        <f aca="false">(AK33+AK34)</f>
        <v>3079.58493245873</v>
      </c>
      <c r="AL35" s="17" t="n">
        <f aca="false">(AL33+AL34)</f>
        <v>3199.11104537573</v>
      </c>
    </row>
    <row r="36" customFormat="false" ht="15" hidden="false" customHeight="false" outlineLevel="0" collapsed="false">
      <c r="A36" s="21" t="s">
        <v>402</v>
      </c>
      <c r="B36" s="2" t="s">
        <v>403</v>
      </c>
      <c r="C36" s="22" t="n">
        <f aca="false">(C35+C29)</f>
        <v>615.555555555556</v>
      </c>
      <c r="D36" s="22" t="n">
        <f aca="false">(D35+D29)</f>
        <v>687.578135650796</v>
      </c>
      <c r="E36" s="22" t="n">
        <f aca="false">(E35+E29)</f>
        <v>753.241580811527</v>
      </c>
      <c r="F36" s="22" t="n">
        <f aca="false">(F35+F29)</f>
        <v>842.02866467889</v>
      </c>
      <c r="G36" s="22" t="n">
        <f aca="false">(G35+G29)</f>
        <v>907.217413934112</v>
      </c>
      <c r="H36" s="22" t="n">
        <f aca="false">(H35+H29)</f>
        <v>971.189564176432</v>
      </c>
      <c r="I36" s="22" t="n">
        <f aca="false">(I35+I29)</f>
        <v>1034.51495358462</v>
      </c>
      <c r="J36" s="22" t="n">
        <f aca="false">(J35+J29)</f>
        <v>1097.56274385447</v>
      </c>
      <c r="K36" s="22" t="n">
        <f aca="false">(K35+K29)</f>
        <v>1160.66580988489</v>
      </c>
      <c r="L36" s="22" t="n">
        <f aca="false">(L35+L29)</f>
        <v>1224.12693677936</v>
      </c>
      <c r="M36" s="22" t="n">
        <f aca="false">(M35+M29)</f>
        <v>1288.22320686191</v>
      </c>
      <c r="N36" s="22" t="n">
        <f aca="false">(N35+N29)</f>
        <v>1353.20981535668</v>
      </c>
      <c r="O36" s="22" t="n">
        <f aca="false">(O35+O29)</f>
        <v>1415.53061774617</v>
      </c>
      <c r="P36" s="22" t="n">
        <f aca="false">(P35+P29)</f>
        <v>1479.00069108735</v>
      </c>
      <c r="Q36" s="22" t="n">
        <f aca="false">(Q35+Q29)</f>
        <v>1543.8757645358</v>
      </c>
      <c r="R36" s="22" t="n">
        <f aca="false">(R35+R29)</f>
        <v>1610.19394290824</v>
      </c>
      <c r="S36" s="22" t="n">
        <f aca="false">(S35+S29)</f>
        <v>1678.28459220471</v>
      </c>
      <c r="T36" s="22" t="n">
        <f aca="false">(T35+T29)</f>
        <v>1748.32475303689</v>
      </c>
      <c r="U36" s="22" t="n">
        <f aca="false">(U35+U29)</f>
        <v>1820.48344747051</v>
      </c>
      <c r="V36" s="22" t="n">
        <f aca="false">(V35+V29)</f>
        <v>1894.92516805049</v>
      </c>
      <c r="W36" s="22" t="n">
        <f aca="false">(W35+W29)</f>
        <v>1971.81112106183</v>
      </c>
      <c r="X36" s="22" t="n">
        <f aca="false">(X35+X29)</f>
        <v>2051.30031799475</v>
      </c>
      <c r="Y36" s="22" t="n">
        <f aca="false">(Y35+Y29)</f>
        <v>2133.55055602638</v>
      </c>
      <c r="Z36" s="22" t="n">
        <f aca="false">(Z35+Z29)</f>
        <v>2218.71930323123</v>
      </c>
      <c r="AA36" s="22" t="n">
        <f aca="false">(AA35+AA29)</f>
        <v>2305.8574314545</v>
      </c>
      <c r="AB36" s="22" t="n">
        <f aca="false">(AB35+AB29)</f>
        <v>2396.17334888245</v>
      </c>
      <c r="AC36" s="22" t="n">
        <f aca="false">(AC35+AC29)</f>
        <v>2489.84205621969</v>
      </c>
      <c r="AD36" s="22" t="n">
        <f aca="false">(AD35+AD29)</f>
        <v>2586.98069751257</v>
      </c>
      <c r="AE36" s="22" t="n">
        <f aca="false">(AE35+AE29)</f>
        <v>2687.79711212598</v>
      </c>
      <c r="AF36" s="22" t="n">
        <f aca="false">(AF35+AF29)</f>
        <v>2792.46037588532</v>
      </c>
      <c r="AG36" s="22" t="n">
        <f aca="false">(AG35+AG29)</f>
        <v>2901.14299127589</v>
      </c>
      <c r="AH36" s="22" t="n">
        <f aca="false">(AH35+AH29)</f>
        <v>3014.02199285126</v>
      </c>
      <c r="AI36" s="22" t="n">
        <f aca="false">(AI35+AI29)</f>
        <v>3131.27941994951</v>
      </c>
      <c r="AJ36" s="22" t="n">
        <f aca="false">(AJ35+AJ29)</f>
        <v>3253.10276623699</v>
      </c>
      <c r="AK36" s="22" t="n">
        <f aca="false">(AK35+AK29)</f>
        <v>3379.6854164875</v>
      </c>
      <c r="AL36" s="22" t="n">
        <f aca="false">(AL35+AL29)</f>
        <v>3511.22707395917</v>
      </c>
    </row>
    <row r="37" customFormat="false" ht="15" hidden="false" customHeight="false" outlineLevel="0" collapsed="false">
      <c r="A37" s="6" t="s">
        <v>404</v>
      </c>
      <c r="B37" s="2" t="s">
        <v>405</v>
      </c>
      <c r="C37" s="16" t="n">
        <f aca="false">IF(C36=0,0,C29/C36)</f>
        <v>0.01452</v>
      </c>
      <c r="D37" s="16" t="n">
        <f aca="false">IF(D36=0,0,D29/D36)</f>
        <v>0.0256490004598102</v>
      </c>
      <c r="E37" s="16" t="n">
        <f aca="false">IF(E36=0,0,E29/E36)</f>
        <v>0.0346880809317318</v>
      </c>
      <c r="F37" s="16" t="n">
        <f aca="false">IF(F36=0,0,F29/F36)</f>
        <v>0.0414067340922498</v>
      </c>
      <c r="G37" s="16" t="n">
        <f aca="false">IF(G36=0,0,G29/G36)</f>
        <v>0.0479989457595536</v>
      </c>
      <c r="H37" s="16" t="n">
        <f aca="false">IF(H36=0,0,H29/H36)</f>
        <v>0.0537812295202947</v>
      </c>
      <c r="I37" s="16" t="n">
        <f aca="false">IF(I36=0,0,I29/I36)</f>
        <v>0.0589469098122269</v>
      </c>
      <c r="J37" s="16" t="n">
        <f aca="false">IF(J36=0,0,J29/J36)</f>
        <v>0.0636352483612885</v>
      </c>
      <c r="K37" s="16" t="n">
        <f aca="false">IF(K36=0,0,K29/K36)</f>
        <v>0.067944799781086</v>
      </c>
      <c r="L37" s="16" t="n">
        <f aca="false">IF(L36=0,0,L29/L36)</f>
        <v>0.0719465491144423</v>
      </c>
      <c r="M37" s="16" t="n">
        <f aca="false">IF(M36=0,0,M29/M36)</f>
        <v>0.0756924279242497</v>
      </c>
      <c r="N37" s="16" t="n">
        <f aca="false">IF(N36=0,0,N29/N36)</f>
        <v>0.07922096637884</v>
      </c>
      <c r="O37" s="16" t="n">
        <f aca="false">IF(O36=0,0,O29/O36)</f>
        <v>0.0801029411171627</v>
      </c>
      <c r="P37" s="16" t="n">
        <f aca="false">IF(P36=0,0,P29/P36)</f>
        <v>0.0809432624802837</v>
      </c>
      <c r="Q37" s="16" t="n">
        <f aca="false">IF(Q36=0,0,Q29/Q36)</f>
        <v>0.081761077056882</v>
      </c>
      <c r="R37" s="16" t="n">
        <f aca="false">IF(R36=0,0,R29/R36)</f>
        <v>0.0824702693015325</v>
      </c>
      <c r="S37" s="16" t="n">
        <f aca="false">IF(S36=0,0,S29/S36)</f>
        <v>0.0831635931256707</v>
      </c>
      <c r="T37" s="16" t="n">
        <f aca="false">IF(T36=0,0,T29/T36)</f>
        <v>0.0838417251257222</v>
      </c>
      <c r="U37" s="16" t="n">
        <f aca="false">IF(U36=0,0,U29/U36)</f>
        <v>0.0845045271588599</v>
      </c>
      <c r="V37" s="16" t="n">
        <f aca="false">IF(V36=0,0,V29/V36)</f>
        <v>0.085151735467226</v>
      </c>
      <c r="W37" s="16" t="n">
        <f aca="false">IF(W36=0,0,W29/W36)</f>
        <v>0.0857830374765495</v>
      </c>
      <c r="X37" s="16" t="n">
        <f aca="false">IF(X36=0,0,X29/X36)</f>
        <v>0.0863981211997873</v>
      </c>
      <c r="Y37" s="16" t="n">
        <f aca="false">IF(Y36=0,0,Y29/Y36)</f>
        <v>0.0869967074421763</v>
      </c>
      <c r="Z37" s="16" t="n">
        <f aca="false">IF(Z36=0,0,Z29/Z36)</f>
        <v>0.0875785696250252</v>
      </c>
      <c r="AA37" s="16" t="n">
        <f aca="false">IF(AA36=0,0,AA29/AA36)</f>
        <v>0.0877057512496756</v>
      </c>
      <c r="AB37" s="16" t="n">
        <f aca="false">IF(AB36=0,0,AB29/AB36)</f>
        <v>0.0878311152598208</v>
      </c>
      <c r="AC37" s="16" t="n">
        <f aca="false">IF(AC36=0,0,AC29/AC36)</f>
        <v>0.0879567051139556</v>
      </c>
      <c r="AD37" s="16" t="n">
        <f aca="false">IF(AD36=0,0,AD29/AD36)</f>
        <v>0.0880659639111484</v>
      </c>
      <c r="AE37" s="16" t="n">
        <f aca="false">IF(AE36=0,0,AE29/AE36)</f>
        <v>0.0881747547779489</v>
      </c>
      <c r="AF37" s="16" t="n">
        <f aca="false">IF(AF36=0,0,AF29/AF36)</f>
        <v>0.0882826429605967</v>
      </c>
      <c r="AG37" s="16" t="n">
        <f aca="false">IF(AG36=0,0,AG29/AG36)</f>
        <v>0.088389179473825</v>
      </c>
      <c r="AH37" s="16" t="n">
        <f aca="false">IF(AH36=0,0,AH29/AH36)</f>
        <v>0.0884939940602118</v>
      </c>
      <c r="AI37" s="16" t="n">
        <f aca="false">IF(AI36=0,0,AI29/AI36)</f>
        <v>0.0885967857734136</v>
      </c>
      <c r="AJ37" s="16" t="n">
        <f aca="false">IF(AJ36=0,0,AJ29/AJ36)</f>
        <v>0.0886973138992496</v>
      </c>
      <c r="AK37" s="16" t="n">
        <f aca="false">IF(AK36=0,0,AK29/AK36)</f>
        <v>0.0887953898208259</v>
      </c>
      <c r="AL37" s="16" t="n">
        <f aca="false">IF(AL36=0,0,AL29/AL36)</f>
        <v>0.0888908697754775</v>
      </c>
    </row>
    <row r="39" customFormat="false" ht="15" hidden="false" customHeight="false" outlineLevel="0" collapsed="false">
      <c r="A39" s="4" t="s">
        <v>406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customFormat="false" ht="15" hidden="false" customHeight="false" outlineLevel="0" collapsed="false">
      <c r="A40" s="6" t="s">
        <v>407</v>
      </c>
      <c r="B40" s="2" t="s">
        <v>408</v>
      </c>
      <c r="C40" s="17" t="n">
        <f aca="false">IF(AND((Assumptions!$F$5=1),(C$2&gt;=Assumptions!$F$46)),(C35*Assumptions!$F$47),0)</f>
        <v>0</v>
      </c>
      <c r="D40" s="17" t="n">
        <f aca="false">IF(AND((Assumptions!$F$5=1),(D$2&gt;=Assumptions!$F$46)),(D35*Assumptions!$F$47),0)</f>
        <v>0</v>
      </c>
      <c r="E40" s="17" t="n">
        <f aca="false">IF(AND((Assumptions!$F$5=1),(E$2&gt;=Assumptions!$F$46)),(E35*Assumptions!$F$47),0)</f>
        <v>0</v>
      </c>
      <c r="F40" s="17" t="n">
        <f aca="false">IF(AND((Assumptions!$F$5=1),(F$2&gt;=Assumptions!$F$46)),(F35*Assumptions!$F$47),0)</f>
        <v>484.297804597487</v>
      </c>
      <c r="G40" s="17" t="n">
        <f aca="false">IF(AND((Assumptions!$F$5=1),(G$2&gt;=Assumptions!$F$46)),(G35*Assumptions!$F$47),0)</f>
        <v>518.20316069434</v>
      </c>
      <c r="H40" s="17" t="n">
        <f aca="false">IF(AND((Assumptions!$F$5=1),(H$2&gt;=Assumptions!$F$46)),(H35*Assumptions!$F$47),0)</f>
        <v>551.374677190646</v>
      </c>
      <c r="I40" s="17" t="n">
        <f aca="false">IF(AND((Assumptions!$F$5=1),(I$2&gt;=Assumptions!$F$46)),(I35*Assumptions!$F$47),0)</f>
        <v>584.120096349758</v>
      </c>
      <c r="J40" s="17" t="n">
        <f aca="false">IF(AND((Assumptions!$F$5=1),(J$2&gt;=Assumptions!$F$46)),(J35*Assumptions!$F$47),0)</f>
        <v>616.631439634315</v>
      </c>
      <c r="K40" s="17" t="n">
        <f aca="false">IF(AND((Assumptions!$F$5=1),(K$2&gt;=Assumptions!$F$46)),(K35*Assumptions!$F$47),0)</f>
        <v>649.082762291705</v>
      </c>
      <c r="L40" s="17" t="n">
        <f aca="false">IF(AND((Assumptions!$F$5=1),(L$2&gt;=Assumptions!$F$46)),(L35*Assumptions!$F$47),0)</f>
        <v>681.63313680003</v>
      </c>
      <c r="M40" s="17" t="n">
        <f aca="false">IF(AND((Assumptions!$F$5=1),(M$2&gt;=Assumptions!$F$46)),(M35*Assumptions!$F$47),0)</f>
        <v>714.428678775703</v>
      </c>
      <c r="N40" s="17" t="n">
        <f aca="false">IF(AND((Assumptions!$F$5=1),(N$2&gt;=Assumptions!$F$46)),(N35*Assumptions!$F$47),0)</f>
        <v>747.604335642473</v>
      </c>
      <c r="O40" s="17" t="n">
        <f aca="false">IF(AND((Assumptions!$F$5=1),(O$2&gt;=Assumptions!$F$46)),(O35*Assumptions!$F$47),0)</f>
        <v>781.285471213983</v>
      </c>
      <c r="P40" s="17" t="n">
        <f aca="false">IF(AND((Assumptions!$F$5=1),(P$2&gt;=Assumptions!$F$46)),(P35*Assumptions!$F$47),0)</f>
        <v>815.571329964089</v>
      </c>
      <c r="Q40" s="17" t="n">
        <f aca="false">IF(AND((Assumptions!$F$5=1),(Q$2&gt;=Assumptions!$F$46)),(Q35*Assumptions!$F$47),0)</f>
        <v>850.5880915112</v>
      </c>
      <c r="R40" s="17" t="n">
        <f aca="false">IF(AND((Assumptions!$F$5=1),(R$2&gt;=Assumptions!$F$46)),(R35*Assumptions!$F$47),0)</f>
        <v>886.440488885342</v>
      </c>
      <c r="S40" s="17" t="n">
        <f aca="false">IF(AND((Assumptions!$F$5=1),(S$2&gt;=Assumptions!$F$46)),(S35*Assumptions!$F$47),0)</f>
        <v>923.22744913771</v>
      </c>
      <c r="T40" s="17" t="n">
        <f aca="false">IF(AND((Assumptions!$F$5=1),(T$2&gt;=Assumptions!$F$46)),(T35*Assumptions!$F$47),0)</f>
        <v>961.045313797366</v>
      </c>
      <c r="U40" s="17" t="n">
        <f aca="false">IF(AND((Assumptions!$F$5=1),(U$2&gt;=Assumptions!$F$46)),(U35*Assumptions!$F$47),0)</f>
        <v>999.986612724892</v>
      </c>
      <c r="V40" s="17" t="n">
        <f aca="false">IF(AND((Assumptions!$F$5=1),(V$2&gt;=Assumptions!$F$46)),(V35*Assumptions!$F$47),0)</f>
        <v>1040.14140084628</v>
      </c>
      <c r="W40" s="17" t="n">
        <f aca="false">IF(AND((Assumptions!$F$5=1),(W$2&gt;=Assumptions!$F$46)),(W35*Assumptions!$F$47),0)</f>
        <v>1081.59790426027</v>
      </c>
      <c r="X40" s="17" t="n">
        <f aca="false">IF(AND((Assumptions!$F$5=1),(X$2&gt;=Assumptions!$F$46)),(X35*Assumptions!$F$47),0)</f>
        <v>1124.44309470209</v>
      </c>
      <c r="Y40" s="17" t="n">
        <f aca="false">IF(AND((Assumptions!$F$5=1),(Y$2&gt;=Assumptions!$F$46)),(Y35*Assumptions!$F$47),0)</f>
        <v>1168.7632094944</v>
      </c>
      <c r="Z40" s="17" t="n">
        <f aca="false">IF(AND((Assumptions!$F$5=1),(Z$2&gt;=Assumptions!$F$46)),(Z35*Assumptions!$F$47),0)</f>
        <v>1214.64422415288</v>
      </c>
      <c r="AA40" s="17" t="n">
        <f aca="false">IF(AND((Assumptions!$F$5=1),(AA$2&gt;=Assumptions!$F$46)),(AA35*Assumptions!$F$47),0)</f>
        <v>1262.17228389248</v>
      </c>
      <c r="AB40" s="17" t="n">
        <f aca="false">IF(AND((Assumptions!$F$5=1),(AB$2&gt;=Assumptions!$F$46)),(AB35*Assumptions!$F$47),0)</f>
        <v>1311.42886277655</v>
      </c>
      <c r="AC40" s="17" t="n">
        <f aca="false">IF(AND((Assumptions!$F$5=1),(AC$2&gt;=Assumptions!$F$46)),(AC35*Assumptions!$F$47),0)</f>
        <v>1362.50625162027</v>
      </c>
      <c r="AD40" s="17" t="n">
        <f aca="false">IF(AND((Assumptions!$F$5=1),(AD$2&gt;=Assumptions!$F$46)),(AD35*Assumptions!$F$47),0)</f>
        <v>1415.49344925995</v>
      </c>
      <c r="AE40" s="17" t="n">
        <f aca="false">IF(AND((Assumptions!$F$5=1),(AE$2&gt;=Assumptions!$F$46)),(AE35*Assumptions!$F$47),0)</f>
        <v>1470.48075652284</v>
      </c>
      <c r="AF40" s="17" t="n">
        <f aca="false">IF(AND((Assumptions!$F$5=1),(AF$2&gt;=Assumptions!$F$46)),(AF35*Assumptions!$F$47),0)</f>
        <v>1527.56075612365</v>
      </c>
      <c r="AG40" s="17" t="n">
        <f aca="false">IF(AND((Assumptions!$F$5=1),(AG$2&gt;=Assumptions!$F$46)),(AG35*Assumptions!$F$47),0)</f>
        <v>1586.82800564447</v>
      </c>
      <c r="AH40" s="17" t="n">
        <f aca="false">IF(AND((Assumptions!$F$5=1),(AH$2&gt;=Assumptions!$F$46)),(AH35*Assumptions!$F$47),0)</f>
        <v>1648.37948911112</v>
      </c>
      <c r="AI40" s="17" t="n">
        <f aca="false">IF(AND((Assumptions!$F$5=1),(AI$2&gt;=Assumptions!$F$46)),(AI35*Assumptions!$F$47),0)</f>
        <v>1712.31487679013</v>
      </c>
      <c r="AJ40" s="17" t="n">
        <f aca="false">IF(AND((Assumptions!$F$5=1),(AJ$2&gt;=Assumptions!$F$46)),(AJ35*Assumptions!$F$47),0)</f>
        <v>1778.73677342013</v>
      </c>
      <c r="AK40" s="17" t="n">
        <f aca="false">IF(AND((Assumptions!$F$5=1),(AK$2&gt;=Assumptions!$F$46)),(AK35*Assumptions!$F$47),0)</f>
        <v>1847.75095947524</v>
      </c>
      <c r="AL40" s="17" t="n">
        <f aca="false">IF(AND((Assumptions!$F$5=1),(AL$2&gt;=Assumptions!$F$46)),(AL35*Assumptions!$F$47),0)</f>
        <v>1919.46662722544</v>
      </c>
    </row>
    <row r="41" customFormat="false" ht="15" hidden="false" customHeight="false" outlineLevel="0" collapsed="false">
      <c r="A41" s="6" t="s">
        <v>409</v>
      </c>
      <c r="B41" s="2" t="s">
        <v>142</v>
      </c>
      <c r="C41" s="17" t="n">
        <f aca="false">(C40*Assumptions!$F$48)</f>
        <v>0</v>
      </c>
      <c r="D41" s="17" t="n">
        <f aca="false">(D40*Assumptions!$F$48)</f>
        <v>0</v>
      </c>
      <c r="E41" s="17" t="n">
        <f aca="false">(E40*Assumptions!$F$48)</f>
        <v>0</v>
      </c>
      <c r="F41" s="17" t="n">
        <f aca="false">(F40*Assumptions!$F$48)</f>
        <v>2421.48902298744</v>
      </c>
      <c r="G41" s="17" t="n">
        <f aca="false">(G40*Assumptions!$F$48)</f>
        <v>2591.0158034717</v>
      </c>
      <c r="H41" s="17" t="n">
        <f aca="false">(H40*Assumptions!$F$48)</f>
        <v>2756.87338595323</v>
      </c>
      <c r="I41" s="17" t="n">
        <f aca="false">(I40*Assumptions!$F$48)</f>
        <v>2920.60048174879</v>
      </c>
      <c r="J41" s="17" t="n">
        <f aca="false">(J40*Assumptions!$F$48)</f>
        <v>3083.15719817158</v>
      </c>
      <c r="K41" s="17" t="n">
        <f aca="false">(K40*Assumptions!$F$48)</f>
        <v>3245.41381145853</v>
      </c>
      <c r="L41" s="17" t="n">
        <f aca="false">(L40*Assumptions!$F$48)</f>
        <v>3408.16568400015</v>
      </c>
      <c r="M41" s="17" t="n">
        <f aca="false">(M40*Assumptions!$F$48)</f>
        <v>3572.14339387852</v>
      </c>
      <c r="N41" s="17" t="n">
        <f aca="false">(N40*Assumptions!$F$48)</f>
        <v>3738.02167821237</v>
      </c>
      <c r="O41" s="17" t="n">
        <f aca="false">(O40*Assumptions!$F$48)</f>
        <v>3906.42735606992</v>
      </c>
      <c r="P41" s="17" t="n">
        <f aca="false">(P40*Assumptions!$F$48)</f>
        <v>4077.85664982044</v>
      </c>
      <c r="Q41" s="17" t="n">
        <f aca="false">(Q40*Assumptions!$F$48)</f>
        <v>4252.940457556</v>
      </c>
      <c r="R41" s="17" t="n">
        <f aca="false">(R40*Assumptions!$F$48)</f>
        <v>4432.20244442671</v>
      </c>
      <c r="S41" s="17" t="n">
        <f aca="false">(S40*Assumptions!$F$48)</f>
        <v>4616.13724568855</v>
      </c>
      <c r="T41" s="17" t="n">
        <f aca="false">(T40*Assumptions!$F$48)</f>
        <v>4805.22656898683</v>
      </c>
      <c r="U41" s="17" t="n">
        <f aca="false">(U40*Assumptions!$F$48)</f>
        <v>4999.93306362446</v>
      </c>
      <c r="V41" s="17" t="n">
        <f aca="false">(V40*Assumptions!$F$48)</f>
        <v>5200.70700423139</v>
      </c>
      <c r="W41" s="17" t="n">
        <f aca="false">(W40*Assumptions!$F$48)</f>
        <v>5407.98952130133</v>
      </c>
      <c r="X41" s="17" t="n">
        <f aca="false">(X40*Assumptions!$F$48)</f>
        <v>5622.21547351044</v>
      </c>
      <c r="Y41" s="17" t="n">
        <f aca="false">(Y40*Assumptions!$F$48)</f>
        <v>5843.81604747199</v>
      </c>
      <c r="Z41" s="17" t="n">
        <f aca="false">(Z40*Assumptions!$F$48)</f>
        <v>6073.22112076441</v>
      </c>
      <c r="AA41" s="17" t="n">
        <f aca="false">(AA40*Assumptions!$F$48)</f>
        <v>6310.86141946241</v>
      </c>
      <c r="AB41" s="17" t="n">
        <f aca="false">(AB40*Assumptions!$F$48)</f>
        <v>6557.14431388275</v>
      </c>
      <c r="AC41" s="17" t="n">
        <f aca="false">(AC40*Assumptions!$F$48)</f>
        <v>6812.53125810134</v>
      </c>
      <c r="AD41" s="17" t="n">
        <f aca="false">(AD40*Assumptions!$F$48)</f>
        <v>7077.46724629977</v>
      </c>
      <c r="AE41" s="17" t="n">
        <f aca="false">(AE40*Assumptions!$F$48)</f>
        <v>7352.40378261419</v>
      </c>
      <c r="AF41" s="17" t="n">
        <f aca="false">(AF40*Assumptions!$F$48)</f>
        <v>7637.80378061826</v>
      </c>
      <c r="AG41" s="17" t="n">
        <f aca="false">(AG40*Assumptions!$F$48)</f>
        <v>7934.14002822233</v>
      </c>
      <c r="AH41" s="17" t="n">
        <f aca="false">(AH40*Assumptions!$F$48)</f>
        <v>8241.8974455556</v>
      </c>
      <c r="AI41" s="17" t="n">
        <f aca="false">(AI40*Assumptions!$F$48)</f>
        <v>8561.57438395064</v>
      </c>
      <c r="AJ41" s="17" t="n">
        <f aca="false">(AJ40*Assumptions!$F$48)</f>
        <v>8893.68386710064</v>
      </c>
      <c r="AK41" s="17" t="n">
        <f aca="false">(AK40*Assumptions!$F$48)</f>
        <v>9238.75479737619</v>
      </c>
      <c r="AL41" s="17" t="n">
        <f aca="false">(AL40*Assumptions!$F$48)</f>
        <v>9597.33313612719</v>
      </c>
    </row>
    <row r="42" customFormat="false" ht="15" hidden="false" customHeight="false" outlineLevel="0" collapsed="false">
      <c r="A42" s="6" t="s">
        <v>410</v>
      </c>
      <c r="B42" s="2" t="s">
        <v>145</v>
      </c>
      <c r="C42" s="17" t="n">
        <f aca="false">(C40*Assumptions!$F$49)</f>
        <v>0</v>
      </c>
      <c r="D42" s="17" t="n">
        <f aca="false">(D40*Assumptions!$F$49)</f>
        <v>0</v>
      </c>
      <c r="E42" s="17" t="n">
        <f aca="false">(E40*Assumptions!$F$49)</f>
        <v>0</v>
      </c>
      <c r="F42" s="17" t="n">
        <f aca="false">(F40*Assumptions!$F$49)</f>
        <v>968.595609194975</v>
      </c>
      <c r="G42" s="17" t="n">
        <f aca="false">(G40*Assumptions!$F$49)</f>
        <v>1036.40632138868</v>
      </c>
      <c r="H42" s="17" t="n">
        <f aca="false">(H40*Assumptions!$F$49)</f>
        <v>1102.74935438129</v>
      </c>
      <c r="I42" s="17" t="n">
        <f aca="false">(I40*Assumptions!$F$49)</f>
        <v>1168.24019269952</v>
      </c>
      <c r="J42" s="17" t="n">
        <f aca="false">(J40*Assumptions!$F$49)</f>
        <v>1233.26287926863</v>
      </c>
      <c r="K42" s="17" t="n">
        <f aca="false">(K40*Assumptions!$F$49)</f>
        <v>1298.16552458341</v>
      </c>
      <c r="L42" s="17" t="n">
        <f aca="false">(L40*Assumptions!$F$49)</f>
        <v>1363.26627360006</v>
      </c>
      <c r="M42" s="17" t="n">
        <f aca="false">(M40*Assumptions!$F$49)</f>
        <v>1428.85735755141</v>
      </c>
      <c r="N42" s="17" t="n">
        <f aca="false">(N40*Assumptions!$F$49)</f>
        <v>1495.20867128495</v>
      </c>
      <c r="O42" s="17" t="n">
        <f aca="false">(O40*Assumptions!$F$49)</f>
        <v>1562.57094242797</v>
      </c>
      <c r="P42" s="17" t="n">
        <f aca="false">(P40*Assumptions!$F$49)</f>
        <v>1631.14265992818</v>
      </c>
      <c r="Q42" s="17" t="n">
        <f aca="false">(Q40*Assumptions!$F$49)</f>
        <v>1701.1761830224</v>
      </c>
      <c r="R42" s="17" t="n">
        <f aca="false">(R40*Assumptions!$F$49)</f>
        <v>1772.88097777068</v>
      </c>
      <c r="S42" s="17" t="n">
        <f aca="false">(S40*Assumptions!$F$49)</f>
        <v>1846.45489827542</v>
      </c>
      <c r="T42" s="17" t="n">
        <f aca="false">(T40*Assumptions!$F$49)</f>
        <v>1922.09062759473</v>
      </c>
      <c r="U42" s="17" t="n">
        <f aca="false">(U40*Assumptions!$F$49)</f>
        <v>1999.97322544978</v>
      </c>
      <c r="V42" s="17" t="n">
        <f aca="false">(V40*Assumptions!$F$49)</f>
        <v>2080.28280169256</v>
      </c>
      <c r="W42" s="17" t="n">
        <f aca="false">(W40*Assumptions!$F$49)</f>
        <v>2163.19580852053</v>
      </c>
      <c r="X42" s="17" t="n">
        <f aca="false">(X40*Assumptions!$F$49)</f>
        <v>2248.88618940418</v>
      </c>
      <c r="Y42" s="17" t="n">
        <f aca="false">(Y40*Assumptions!$F$49)</f>
        <v>2337.5264189888</v>
      </c>
      <c r="Z42" s="17" t="n">
        <f aca="false">(Z40*Assumptions!$F$49)</f>
        <v>2429.28844830576</v>
      </c>
      <c r="AA42" s="17" t="n">
        <f aca="false">(AA40*Assumptions!$F$49)</f>
        <v>2524.34456778496</v>
      </c>
      <c r="AB42" s="17" t="n">
        <f aca="false">(AB40*Assumptions!$F$49)</f>
        <v>2622.8577255531</v>
      </c>
      <c r="AC42" s="17" t="n">
        <f aca="false">(AC40*Assumptions!$F$49)</f>
        <v>2725.01250324054</v>
      </c>
      <c r="AD42" s="17" t="n">
        <f aca="false">(AD40*Assumptions!$F$49)</f>
        <v>2830.98689851991</v>
      </c>
      <c r="AE42" s="17" t="n">
        <f aca="false">(AE40*Assumptions!$F$49)</f>
        <v>2940.96151304567</v>
      </c>
      <c r="AF42" s="17" t="n">
        <f aca="false">(AF40*Assumptions!$F$49)</f>
        <v>3055.1215122473</v>
      </c>
      <c r="AG42" s="17" t="n">
        <f aca="false">(AG40*Assumptions!$F$49)</f>
        <v>3173.65601128893</v>
      </c>
      <c r="AH42" s="17" t="n">
        <f aca="false">(AH40*Assumptions!$F$49)</f>
        <v>3296.75897822224</v>
      </c>
      <c r="AI42" s="17" t="n">
        <f aca="false">(AI40*Assumptions!$F$49)</f>
        <v>3424.62975358026</v>
      </c>
      <c r="AJ42" s="17" t="n">
        <f aca="false">(AJ40*Assumptions!$F$49)</f>
        <v>3557.47354684026</v>
      </c>
      <c r="AK42" s="17" t="n">
        <f aca="false">(AK40*Assumptions!$F$49)</f>
        <v>3695.50191895048</v>
      </c>
      <c r="AL42" s="17" t="n">
        <f aca="false">(AL40*Assumptions!$F$49)</f>
        <v>3838.93325445088</v>
      </c>
    </row>
    <row r="43" customFormat="false" ht="15" hidden="false" customHeight="false" outlineLevel="0" collapsed="false">
      <c r="A43" s="6" t="s">
        <v>411</v>
      </c>
      <c r="B43" s="2" t="s">
        <v>147</v>
      </c>
      <c r="C43" s="17" t="n">
        <f aca="false">(C40*Assumptions!$F$50)</f>
        <v>0</v>
      </c>
      <c r="D43" s="17" t="n">
        <f aca="false">(D40*Assumptions!$F$50)</f>
        <v>0</v>
      </c>
      <c r="E43" s="17" t="n">
        <f aca="false">(E40*Assumptions!$F$50)</f>
        <v>0</v>
      </c>
      <c r="F43" s="17" t="n">
        <f aca="false">(F40*Assumptions!$F$50)</f>
        <v>242.148902298744</v>
      </c>
      <c r="G43" s="17" t="n">
        <f aca="false">(G40*Assumptions!$F$50)</f>
        <v>259.10158034717</v>
      </c>
      <c r="H43" s="17" t="n">
        <f aca="false">(H40*Assumptions!$F$50)</f>
        <v>275.687338595323</v>
      </c>
      <c r="I43" s="17" t="n">
        <f aca="false">(I40*Assumptions!$F$50)</f>
        <v>292.060048174879</v>
      </c>
      <c r="J43" s="17" t="n">
        <f aca="false">(J40*Assumptions!$F$50)</f>
        <v>308.315719817158</v>
      </c>
      <c r="K43" s="17" t="n">
        <f aca="false">(K40*Assumptions!$F$50)</f>
        <v>324.541381145853</v>
      </c>
      <c r="L43" s="17" t="n">
        <f aca="false">(L40*Assumptions!$F$50)</f>
        <v>340.816568400015</v>
      </c>
      <c r="M43" s="17" t="n">
        <f aca="false">(M40*Assumptions!$F$50)</f>
        <v>357.214339387852</v>
      </c>
      <c r="N43" s="17" t="n">
        <f aca="false">(N40*Assumptions!$F$50)</f>
        <v>373.802167821237</v>
      </c>
      <c r="O43" s="17" t="n">
        <f aca="false">(O40*Assumptions!$F$50)</f>
        <v>390.642735606992</v>
      </c>
      <c r="P43" s="17" t="n">
        <f aca="false">(P40*Assumptions!$F$50)</f>
        <v>407.785664982044</v>
      </c>
      <c r="Q43" s="17" t="n">
        <f aca="false">(Q40*Assumptions!$F$50)</f>
        <v>425.2940457556</v>
      </c>
      <c r="R43" s="17" t="n">
        <f aca="false">(R40*Assumptions!$F$50)</f>
        <v>443.220244442671</v>
      </c>
      <c r="S43" s="17" t="n">
        <f aca="false">(S40*Assumptions!$F$50)</f>
        <v>461.613724568855</v>
      </c>
      <c r="T43" s="17" t="n">
        <f aca="false">(T40*Assumptions!$F$50)</f>
        <v>480.522656898683</v>
      </c>
      <c r="U43" s="17" t="n">
        <f aca="false">(U40*Assumptions!$F$50)</f>
        <v>499.993306362446</v>
      </c>
      <c r="V43" s="17" t="n">
        <f aca="false">(V40*Assumptions!$F$50)</f>
        <v>520.070700423139</v>
      </c>
      <c r="W43" s="17" t="n">
        <f aca="false">(W40*Assumptions!$F$50)</f>
        <v>540.798952130133</v>
      </c>
      <c r="X43" s="17" t="n">
        <f aca="false">(X40*Assumptions!$F$50)</f>
        <v>562.221547351044</v>
      </c>
      <c r="Y43" s="17" t="n">
        <f aca="false">(Y40*Assumptions!$F$50)</f>
        <v>584.381604747199</v>
      </c>
      <c r="Z43" s="17" t="n">
        <f aca="false">(Z40*Assumptions!$F$50)</f>
        <v>607.322112076441</v>
      </c>
      <c r="AA43" s="17" t="n">
        <f aca="false">(AA40*Assumptions!$F$50)</f>
        <v>631.086141946241</v>
      </c>
      <c r="AB43" s="17" t="n">
        <f aca="false">(AB40*Assumptions!$F$50)</f>
        <v>655.714431388275</v>
      </c>
      <c r="AC43" s="17" t="n">
        <f aca="false">(AC40*Assumptions!$F$50)</f>
        <v>681.253125810134</v>
      </c>
      <c r="AD43" s="17" t="n">
        <f aca="false">(AD40*Assumptions!$F$50)</f>
        <v>707.746724629977</v>
      </c>
      <c r="AE43" s="17" t="n">
        <f aca="false">(AE40*Assumptions!$F$50)</f>
        <v>735.240378261419</v>
      </c>
      <c r="AF43" s="17" t="n">
        <f aca="false">(AF40*Assumptions!$F$50)</f>
        <v>763.780378061826</v>
      </c>
      <c r="AG43" s="17" t="n">
        <f aca="false">(AG40*Assumptions!$F$50)</f>
        <v>793.414002822233</v>
      </c>
      <c r="AH43" s="17" t="n">
        <f aca="false">(AH40*Assumptions!$F$50)</f>
        <v>824.18974455556</v>
      </c>
      <c r="AI43" s="17" t="n">
        <f aca="false">(AI40*Assumptions!$F$50)</f>
        <v>856.157438395064</v>
      </c>
      <c r="AJ43" s="17" t="n">
        <f aca="false">(AJ40*Assumptions!$F$50)</f>
        <v>889.368386710064</v>
      </c>
      <c r="AK43" s="17" t="n">
        <f aca="false">(AK40*Assumptions!$F$50)</f>
        <v>923.875479737619</v>
      </c>
      <c r="AL43" s="17" t="n">
        <f aca="false">(AL40*Assumptions!$F$50)</f>
        <v>959.733313612719</v>
      </c>
    </row>
    <row r="44" customFormat="false" ht="15" hidden="false" customHeight="false" outlineLevel="0" collapsed="false">
      <c r="A44" s="6" t="s">
        <v>412</v>
      </c>
      <c r="B44" s="2" t="s">
        <v>413</v>
      </c>
      <c r="C44" s="17" t="n">
        <f aca="false">IF(AND((Assumptions!$F$6=1),(C$2&gt;=Assumptions!$F$56)),((C36/1000)*Assumptions!$F$57),0)</f>
        <v>0</v>
      </c>
      <c r="D44" s="17" t="n">
        <f aca="false">IF(AND((Assumptions!$F$6=1),(D$2&gt;=Assumptions!$F$56)),((D36/1000)*Assumptions!$F$57),0)</f>
        <v>0</v>
      </c>
      <c r="E44" s="17" t="n">
        <f aca="false">IF(AND((Assumptions!$F$6=1),(E$2&gt;=Assumptions!$F$56)),((E36/1000)*Assumptions!$F$57),0)</f>
        <v>0</v>
      </c>
      <c r="F44" s="17" t="n">
        <f aca="false">IF(AND((Assumptions!$F$6=1),(F$2&gt;=Assumptions!$F$56)),((F36/1000)*Assumptions!$F$57),0)</f>
        <v>0</v>
      </c>
      <c r="G44" s="17" t="n">
        <f aca="false">IF(AND((Assumptions!$F$6=1),(G$2&gt;=Assumptions!$F$56)),((G36/1000)*Assumptions!$F$57),0)</f>
        <v>0</v>
      </c>
      <c r="H44" s="17" t="n">
        <f aca="false">IF(AND((Assumptions!$F$6=1),(H$2&gt;=Assumptions!$F$56)),((H36/1000)*Assumptions!$F$57),0)</f>
        <v>0</v>
      </c>
      <c r="I44" s="17" t="n">
        <f aca="false">IF(AND((Assumptions!$F$6=1),(I$2&gt;=Assumptions!$F$56)),((I36/1000)*Assumptions!$F$57),0)</f>
        <v>3.10354486075385</v>
      </c>
      <c r="J44" s="17" t="n">
        <f aca="false">IF(AND((Assumptions!$F$6=1),(J$2&gt;=Assumptions!$F$56)),((J36/1000)*Assumptions!$F$57),0)</f>
        <v>3.29268823156341</v>
      </c>
      <c r="K44" s="17" t="n">
        <f aca="false">IF(AND((Assumptions!$F$6=1),(K$2&gt;=Assumptions!$F$56)),((K36/1000)*Assumptions!$F$57),0)</f>
        <v>3.48199742965467</v>
      </c>
      <c r="L44" s="17" t="n">
        <f aca="false">IF(AND((Assumptions!$F$6=1),(L$2&gt;=Assumptions!$F$56)),((L36/1000)*Assumptions!$F$57),0)</f>
        <v>3.67238081033807</v>
      </c>
      <c r="M44" s="17" t="n">
        <f aca="false">IF(AND((Assumptions!$F$6=1),(M$2&gt;=Assumptions!$F$56)),((M36/1000)*Assumptions!$F$57),0)</f>
        <v>3.86466962058574</v>
      </c>
      <c r="N44" s="17" t="n">
        <f aca="false">IF(AND((Assumptions!$F$6=1),(N$2&gt;=Assumptions!$F$56)),((N36/1000)*Assumptions!$F$57),0)</f>
        <v>4.05962944607003</v>
      </c>
      <c r="O44" s="17" t="n">
        <f aca="false">IF(AND((Assumptions!$F$6=1),(O$2&gt;=Assumptions!$F$56)),((O36/1000)*Assumptions!$F$57),0)</f>
        <v>4.2465918532385</v>
      </c>
      <c r="P44" s="17" t="n">
        <f aca="false">IF(AND((Assumptions!$F$6=1),(P$2&gt;=Assumptions!$F$56)),((P36/1000)*Assumptions!$F$57),0)</f>
        <v>4.43700207326206</v>
      </c>
      <c r="Q44" s="17" t="n">
        <f aca="false">IF(AND((Assumptions!$F$6=1),(Q$2&gt;=Assumptions!$F$56)),((Q36/1000)*Assumptions!$F$57),0)</f>
        <v>4.63162729360739</v>
      </c>
      <c r="R44" s="17" t="n">
        <f aca="false">IF(AND((Assumptions!$F$6=1),(R$2&gt;=Assumptions!$F$56)),((R36/1000)*Assumptions!$F$57),0)</f>
        <v>4.83058182872473</v>
      </c>
      <c r="S44" s="17" t="n">
        <f aca="false">IF(AND((Assumptions!$F$6=1),(S$2&gt;=Assumptions!$F$56)),((S36/1000)*Assumptions!$F$57),0)</f>
        <v>5.03485377661413</v>
      </c>
      <c r="T44" s="17" t="n">
        <f aca="false">IF(AND((Assumptions!$F$6=1),(T$2&gt;=Assumptions!$F$56)),((T36/1000)*Assumptions!$F$57),0)</f>
        <v>5.24497425911067</v>
      </c>
      <c r="U44" s="17" t="n">
        <f aca="false">IF(AND((Assumptions!$F$6=1),(U$2&gt;=Assumptions!$F$56)),((U36/1000)*Assumptions!$F$57),0)</f>
        <v>5.46145034241154</v>
      </c>
      <c r="V44" s="17" t="n">
        <f aca="false">IF(AND((Assumptions!$F$6=1),(V$2&gt;=Assumptions!$F$56)),((V36/1000)*Assumptions!$F$57),0)</f>
        <v>5.68477550415147</v>
      </c>
      <c r="W44" s="17" t="n">
        <f aca="false">IF(AND((Assumptions!$F$6=1),(W$2&gt;=Assumptions!$F$56)),((W36/1000)*Assumptions!$F$57),0)</f>
        <v>5.9154333631855</v>
      </c>
      <c r="X44" s="17" t="n">
        <f aca="false">IF(AND((Assumptions!$F$6=1),(X$2&gt;=Assumptions!$F$56)),((X36/1000)*Assumptions!$F$57),0)</f>
        <v>6.15390095398426</v>
      </c>
      <c r="Y44" s="17" t="n">
        <f aca="false">IF(AND((Assumptions!$F$6=1),(Y$2&gt;=Assumptions!$F$56)),((Y36/1000)*Assumptions!$F$57),0)</f>
        <v>6.40065166807915</v>
      </c>
      <c r="Z44" s="17" t="n">
        <f aca="false">IF(AND((Assumptions!$F$6=1),(Z$2&gt;=Assumptions!$F$56)),((Z36/1000)*Assumptions!$F$57),0)</f>
        <v>6.65615790969368</v>
      </c>
      <c r="AA44" s="17" t="n">
        <f aca="false">IF(AND((Assumptions!$F$6=1),(AA$2&gt;=Assumptions!$F$56)),((AA36/1000)*Assumptions!$F$57),0)</f>
        <v>6.9175722943635</v>
      </c>
      <c r="AB44" s="17" t="n">
        <f aca="false">IF(AND((Assumptions!$F$6=1),(AB$2&gt;=Assumptions!$F$56)),((AB36/1000)*Assumptions!$F$57),0)</f>
        <v>7.18852004664736</v>
      </c>
      <c r="AC44" s="17" t="n">
        <f aca="false">IF(AND((Assumptions!$F$6=1),(AC$2&gt;=Assumptions!$F$56)),((AC36/1000)*Assumptions!$F$57),0)</f>
        <v>7.46952616865906</v>
      </c>
      <c r="AD44" s="17" t="n">
        <f aca="false">IF(AND((Assumptions!$F$6=1),(AD$2&gt;=Assumptions!$F$56)),((AD36/1000)*Assumptions!$F$57),0)</f>
        <v>7.76094209253771</v>
      </c>
      <c r="AE44" s="17" t="n">
        <f aca="false">IF(AND((Assumptions!$F$6=1),(AE$2&gt;=Assumptions!$F$56)),((AE36/1000)*Assumptions!$F$57),0)</f>
        <v>8.06339133637795</v>
      </c>
      <c r="AF44" s="17" t="n">
        <f aca="false">IF(AND((Assumptions!$F$6=1),(AF$2&gt;=Assumptions!$F$56)),((AF36/1000)*Assumptions!$F$57),0)</f>
        <v>8.37738112765595</v>
      </c>
      <c r="AG44" s="17" t="n">
        <f aca="false">IF(AND((Assumptions!$F$6=1),(AG$2&gt;=Assumptions!$F$56)),((AG36/1000)*Assumptions!$F$57),0)</f>
        <v>8.70342897382767</v>
      </c>
      <c r="AH44" s="17" t="n">
        <f aca="false">IF(AND((Assumptions!$F$6=1),(AH$2&gt;=Assumptions!$F$56)),((AH36/1000)*Assumptions!$F$57),0)</f>
        <v>9.04206597855379</v>
      </c>
      <c r="AI44" s="17" t="n">
        <f aca="false">IF(AND((Assumptions!$F$6=1),(AI$2&gt;=Assumptions!$F$56)),((AI36/1000)*Assumptions!$F$57),0)</f>
        <v>9.39383825984854</v>
      </c>
      <c r="AJ44" s="17" t="n">
        <f aca="false">IF(AND((Assumptions!$F$6=1),(AJ$2&gt;=Assumptions!$F$56)),((AJ36/1000)*Assumptions!$F$57),0)</f>
        <v>9.75930829871096</v>
      </c>
      <c r="AK44" s="17" t="n">
        <f aca="false">IF(AND((Assumptions!$F$6=1),(AK$2&gt;=Assumptions!$F$56)),((AK36/1000)*Assumptions!$F$57),0)</f>
        <v>10.1390562494625</v>
      </c>
      <c r="AL44" s="17" t="n">
        <f aca="false">IF(AND((Assumptions!$F$6=1),(AL$2&gt;=Assumptions!$F$56)),((AL36/1000)*Assumptions!$F$57),0)</f>
        <v>10.5336812218775</v>
      </c>
    </row>
    <row r="45" customFormat="false" ht="15" hidden="false" customHeight="false" outlineLevel="0" collapsed="false">
      <c r="A45" s="6" t="s">
        <v>414</v>
      </c>
      <c r="B45" s="2" t="s">
        <v>415</v>
      </c>
      <c r="C45" s="17" t="n">
        <f aca="false">(C44*Assumptions!$F$58)</f>
        <v>0</v>
      </c>
      <c r="D45" s="17" t="n">
        <f aca="false">(D44*Assumptions!$F$58)</f>
        <v>0</v>
      </c>
      <c r="E45" s="17" t="n">
        <f aca="false">(E44*Assumptions!$F$58)</f>
        <v>0</v>
      </c>
      <c r="F45" s="17" t="n">
        <f aca="false">(F44*Assumptions!$F$58)</f>
        <v>0</v>
      </c>
      <c r="G45" s="17" t="n">
        <f aca="false">(G44*Assumptions!$F$58)</f>
        <v>0</v>
      </c>
      <c r="H45" s="17" t="n">
        <f aca="false">(H44*Assumptions!$F$58)</f>
        <v>0</v>
      </c>
      <c r="I45" s="17" t="n">
        <f aca="false">(I44*Assumptions!$F$58)</f>
        <v>0.0620708972150769</v>
      </c>
      <c r="J45" s="17" t="n">
        <f aca="false">(J44*Assumptions!$F$58)</f>
        <v>0.0658537646312681</v>
      </c>
      <c r="K45" s="17" t="n">
        <f aca="false">(K44*Assumptions!$F$58)</f>
        <v>0.0696399485930934</v>
      </c>
      <c r="L45" s="17" t="n">
        <f aca="false">(L44*Assumptions!$F$58)</f>
        <v>0.0734476162067615</v>
      </c>
      <c r="M45" s="17" t="n">
        <f aca="false">(M44*Assumptions!$F$58)</f>
        <v>0.0772933924117148</v>
      </c>
      <c r="N45" s="17" t="n">
        <f aca="false">(N44*Assumptions!$F$58)</f>
        <v>0.0811925889214006</v>
      </c>
      <c r="O45" s="17" t="n">
        <f aca="false">(O44*Assumptions!$F$58)</f>
        <v>0.0849318370647701</v>
      </c>
      <c r="P45" s="17" t="n">
        <f aca="false">(P44*Assumptions!$F$58)</f>
        <v>0.0887400414652412</v>
      </c>
      <c r="Q45" s="17" t="n">
        <f aca="false">(Q44*Assumptions!$F$58)</f>
        <v>0.0926325458721478</v>
      </c>
      <c r="R45" s="17" t="n">
        <f aca="false">(R44*Assumptions!$F$58)</f>
        <v>0.0966116365744946</v>
      </c>
      <c r="S45" s="17" t="n">
        <f aca="false">(S44*Assumptions!$F$58)</f>
        <v>0.100697075532283</v>
      </c>
      <c r="T45" s="17" t="n">
        <f aca="false">(T44*Assumptions!$F$58)</f>
        <v>0.104899485182213</v>
      </c>
      <c r="U45" s="17" t="n">
        <f aca="false">(U44*Assumptions!$F$58)</f>
        <v>0.109229006848231</v>
      </c>
      <c r="V45" s="17" t="n">
        <f aca="false">(V44*Assumptions!$F$58)</f>
        <v>0.113695510083029</v>
      </c>
      <c r="W45" s="17" t="n">
        <f aca="false">(W44*Assumptions!$F$58)</f>
        <v>0.11830866726371</v>
      </c>
      <c r="X45" s="17" t="n">
        <f aca="false">(X44*Assumptions!$F$58)</f>
        <v>0.123078019079685</v>
      </c>
      <c r="Y45" s="17" t="n">
        <f aca="false">(Y44*Assumptions!$F$58)</f>
        <v>0.128013033361583</v>
      </c>
      <c r="Z45" s="17" t="n">
        <f aca="false">(Z44*Assumptions!$F$58)</f>
        <v>0.133123158193874</v>
      </c>
      <c r="AA45" s="17" t="n">
        <f aca="false">(AA44*Assumptions!$F$58)</f>
        <v>0.13835144588727</v>
      </c>
      <c r="AB45" s="17" t="n">
        <f aca="false">(AB44*Assumptions!$F$58)</f>
        <v>0.143770400932947</v>
      </c>
      <c r="AC45" s="17" t="n">
        <f aca="false">(AC44*Assumptions!$F$58)</f>
        <v>0.149390523373181</v>
      </c>
      <c r="AD45" s="17" t="n">
        <f aca="false">(AD44*Assumptions!$F$58)</f>
        <v>0.155218841850754</v>
      </c>
      <c r="AE45" s="17" t="n">
        <f aca="false">(AE44*Assumptions!$F$58)</f>
        <v>0.161267826727559</v>
      </c>
      <c r="AF45" s="17" t="n">
        <f aca="false">(AF44*Assumptions!$F$58)</f>
        <v>0.167547622553119</v>
      </c>
      <c r="AG45" s="17" t="n">
        <f aca="false">(AG44*Assumptions!$F$58)</f>
        <v>0.174068579476553</v>
      </c>
      <c r="AH45" s="17" t="n">
        <f aca="false">(AH44*Assumptions!$F$58)</f>
        <v>0.180841319571076</v>
      </c>
      <c r="AI45" s="17" t="n">
        <f aca="false">(AI44*Assumptions!$F$58)</f>
        <v>0.187876765196971</v>
      </c>
      <c r="AJ45" s="17" t="n">
        <f aca="false">(AJ44*Assumptions!$F$58)</f>
        <v>0.195186165974219</v>
      </c>
      <c r="AK45" s="17" t="n">
        <f aca="false">(AK44*Assumptions!$F$58)</f>
        <v>0.20278112498925</v>
      </c>
      <c r="AL45" s="17" t="n">
        <f aca="false">(AL44*Assumptions!$F$58)</f>
        <v>0.21067362443755</v>
      </c>
    </row>
    <row r="46" customFormat="false" ht="15" hidden="false" customHeight="false" outlineLevel="0" collapsed="false">
      <c r="A46" s="6" t="s">
        <v>416</v>
      </c>
      <c r="B46" s="2" t="s">
        <v>417</v>
      </c>
      <c r="C46" s="17" t="n">
        <f aca="false">IF(AND((Assumptions!$F$7=1),(C$2&gt;=Assumptions!$F$61)),(Assumptions!$F$62+(Assumptions!$F$63*(C$2-Assumptions!$F$61))),0)</f>
        <v>0</v>
      </c>
      <c r="D46" s="17" t="n">
        <f aca="false">IF(AND((Assumptions!$F$7=1),(D$2&gt;=Assumptions!$F$61)),(Assumptions!$F$62+(Assumptions!$F$63*(D$2-Assumptions!$F$61))),0)</f>
        <v>0</v>
      </c>
      <c r="E46" s="17" t="n">
        <f aca="false">IF(AND((Assumptions!$F$7=1),(E$2&gt;=Assumptions!$F$61)),(Assumptions!$F$62+(Assumptions!$F$63*(E$2-Assumptions!$F$61))),0)</f>
        <v>0</v>
      </c>
      <c r="F46" s="17" t="n">
        <f aca="false">IF(AND((Assumptions!$F$7=1),(F$2&gt;=Assumptions!$F$61)),(Assumptions!$F$62+(Assumptions!$F$63*(F$2-Assumptions!$F$61))),0)</f>
        <v>0</v>
      </c>
      <c r="G46" s="17" t="n">
        <f aca="false">IF(AND((Assumptions!$F$7=1),(G$2&gt;=Assumptions!$F$61)),(Assumptions!$F$62+(Assumptions!$F$63*(G$2-Assumptions!$F$61))),0)</f>
        <v>0</v>
      </c>
      <c r="H46" s="17" t="n">
        <f aca="false">IF(AND((Assumptions!$F$7=1),(H$2&gt;=Assumptions!$F$61)),(Assumptions!$F$62+(Assumptions!$F$63*(H$2-Assumptions!$F$61))),0)</f>
        <v>0</v>
      </c>
      <c r="I46" s="17" t="n">
        <f aca="false">IF(AND((Assumptions!$F$7=1),(I$2&gt;=Assumptions!$F$61)),(Assumptions!$F$62+(Assumptions!$F$63*(I$2-Assumptions!$F$61))),0)</f>
        <v>0</v>
      </c>
      <c r="J46" s="17" t="n">
        <f aca="false">IF(AND((Assumptions!$F$7=1),(J$2&gt;=Assumptions!$F$61)),(Assumptions!$F$62+(Assumptions!$F$63*(J$2-Assumptions!$F$61))),0)</f>
        <v>0</v>
      </c>
      <c r="K46" s="17" t="n">
        <f aca="false">IF(AND((Assumptions!$F$7=1),(K$2&gt;=Assumptions!$F$61)),(Assumptions!$F$62+(Assumptions!$F$63*(K$2-Assumptions!$F$61))),0)</f>
        <v>0</v>
      </c>
      <c r="L46" s="17" t="n">
        <f aca="false">IF(AND((Assumptions!$F$7=1),(L$2&gt;=Assumptions!$F$61)),(Assumptions!$F$62+(Assumptions!$F$63*(L$2-Assumptions!$F$61))),0)</f>
        <v>0</v>
      </c>
      <c r="M46" s="17" t="n">
        <f aca="false">IF(AND((Assumptions!$F$7=1),(M$2&gt;=Assumptions!$F$61)),(Assumptions!$F$62+(Assumptions!$F$63*(M$2-Assumptions!$F$61))),0)</f>
        <v>0</v>
      </c>
      <c r="N46" s="17" t="n">
        <f aca="false">IF(AND((Assumptions!$F$7=1),(N$2&gt;=Assumptions!$F$61)),(Assumptions!$F$62+(Assumptions!$F$63*(N$2-Assumptions!$F$61))),0)</f>
        <v>0</v>
      </c>
      <c r="O46" s="17" t="n">
        <f aca="false">IF(AND((Assumptions!$F$7=1),(O$2&gt;=Assumptions!$F$61)),(Assumptions!$F$62+(Assumptions!$F$63*(O$2-Assumptions!$F$61))),0)</f>
        <v>0</v>
      </c>
      <c r="P46" s="17" t="n">
        <f aca="false">IF(AND((Assumptions!$F$7=1),(P$2&gt;=Assumptions!$F$61)),(Assumptions!$F$62+(Assumptions!$F$63*(P$2-Assumptions!$F$61))),0)</f>
        <v>0</v>
      </c>
      <c r="Q46" s="17" t="n">
        <f aca="false">IF(AND((Assumptions!$F$7=1),(Q$2&gt;=Assumptions!$F$61)),(Assumptions!$F$62+(Assumptions!$F$63*(Q$2-Assumptions!$F$61))),0)</f>
        <v>0</v>
      </c>
      <c r="R46" s="17" t="n">
        <f aca="false">IF(AND((Assumptions!$F$7=1),(R$2&gt;=Assumptions!$F$61)),(Assumptions!$F$62+(Assumptions!$F$63*(R$2-Assumptions!$F$61))),0)</f>
        <v>0</v>
      </c>
      <c r="S46" s="17" t="n">
        <f aca="false">IF(AND((Assumptions!$F$7=1),(S$2&gt;=Assumptions!$F$61)),(Assumptions!$F$62+(Assumptions!$F$63*(S$2-Assumptions!$F$61))),0)</f>
        <v>0</v>
      </c>
      <c r="T46" s="17" t="n">
        <f aca="false">IF(AND((Assumptions!$F$7=1),(T$2&gt;=Assumptions!$F$61)),(Assumptions!$F$62+(Assumptions!$F$63*(T$2-Assumptions!$F$61))),0)</f>
        <v>0</v>
      </c>
      <c r="U46" s="17" t="n">
        <f aca="false">IF(AND((Assumptions!$F$7=1),(U$2&gt;=Assumptions!$F$61)),(Assumptions!$F$62+(Assumptions!$F$63*(U$2-Assumptions!$F$61))),0)</f>
        <v>0</v>
      </c>
      <c r="V46" s="17" t="n">
        <f aca="false">IF(AND((Assumptions!$F$7=1),(V$2&gt;=Assumptions!$F$61)),(Assumptions!$F$62+(Assumptions!$F$63*(V$2-Assumptions!$F$61))),0)</f>
        <v>0</v>
      </c>
      <c r="W46" s="17" t="n">
        <f aca="false">IF(AND((Assumptions!$F$7=1),(W$2&gt;=Assumptions!$F$61)),(Assumptions!$F$62+(Assumptions!$F$63*(W$2-Assumptions!$F$61))),0)</f>
        <v>0</v>
      </c>
      <c r="X46" s="17" t="n">
        <f aca="false">IF(AND((Assumptions!$F$7=1),(X$2&gt;=Assumptions!$F$61)),(Assumptions!$F$62+(Assumptions!$F$63*(X$2-Assumptions!$F$61))),0)</f>
        <v>0</v>
      </c>
      <c r="Y46" s="17" t="n">
        <f aca="false">IF(AND((Assumptions!$F$7=1),(Y$2&gt;=Assumptions!$F$61)),(Assumptions!$F$62+(Assumptions!$F$63*(Y$2-Assumptions!$F$61))),0)</f>
        <v>0</v>
      </c>
      <c r="Z46" s="17" t="n">
        <f aca="false">IF(AND((Assumptions!$F$7=1),(Z$2&gt;=Assumptions!$F$61)),(Assumptions!$F$62+(Assumptions!$F$63*(Z$2-Assumptions!$F$61))),0)</f>
        <v>0</v>
      </c>
      <c r="AA46" s="17" t="n">
        <f aca="false">IF(AND((Assumptions!$F$7=1),(AA$2&gt;=Assumptions!$F$61)),(Assumptions!$F$62+(Assumptions!$F$63*(AA$2-Assumptions!$F$61))),0)</f>
        <v>0</v>
      </c>
      <c r="AB46" s="17" t="n">
        <f aca="false">IF(AND((Assumptions!$F$7=1),(AB$2&gt;=Assumptions!$F$61)),(Assumptions!$F$62+(Assumptions!$F$63*(AB$2-Assumptions!$F$61))),0)</f>
        <v>0</v>
      </c>
      <c r="AC46" s="17" t="n">
        <f aca="false">IF(AND((Assumptions!$F$7=1),(AC$2&gt;=Assumptions!$F$61)),(Assumptions!$F$62+(Assumptions!$F$63*(AC$2-Assumptions!$F$61))),0)</f>
        <v>0</v>
      </c>
      <c r="AD46" s="17" t="n">
        <f aca="false">IF(AND((Assumptions!$F$7=1),(AD$2&gt;=Assumptions!$F$61)),(Assumptions!$F$62+(Assumptions!$F$63*(AD$2-Assumptions!$F$61))),0)</f>
        <v>0</v>
      </c>
      <c r="AE46" s="17" t="n">
        <f aca="false">IF(AND((Assumptions!$F$7=1),(AE$2&gt;=Assumptions!$F$61)),(Assumptions!$F$62+(Assumptions!$F$63*(AE$2-Assumptions!$F$61))),0)</f>
        <v>0</v>
      </c>
      <c r="AF46" s="17" t="n">
        <f aca="false">IF(AND((Assumptions!$F$7=1),(AF$2&gt;=Assumptions!$F$61)),(Assumptions!$F$62+(Assumptions!$F$63*(AF$2-Assumptions!$F$61))),0)</f>
        <v>0</v>
      </c>
      <c r="AG46" s="17" t="n">
        <f aca="false">IF(AND((Assumptions!$F$7=1),(AG$2&gt;=Assumptions!$F$61)),(Assumptions!$F$62+(Assumptions!$F$63*(AG$2-Assumptions!$F$61))),0)</f>
        <v>0</v>
      </c>
      <c r="AH46" s="17" t="n">
        <f aca="false">IF(AND((Assumptions!$F$7=1),(AH$2&gt;=Assumptions!$F$61)),(Assumptions!$F$62+(Assumptions!$F$63*(AH$2-Assumptions!$F$61))),0)</f>
        <v>0</v>
      </c>
      <c r="AI46" s="17" t="n">
        <f aca="false">IF(AND((Assumptions!$F$7=1),(AI$2&gt;=Assumptions!$F$61)),(Assumptions!$F$62+(Assumptions!$F$63*(AI$2-Assumptions!$F$61))),0)</f>
        <v>0</v>
      </c>
      <c r="AJ46" s="17" t="n">
        <f aca="false">IF(AND((Assumptions!$F$7=1),(AJ$2&gt;=Assumptions!$F$61)),(Assumptions!$F$62+(Assumptions!$F$63*(AJ$2-Assumptions!$F$61))),0)</f>
        <v>0</v>
      </c>
      <c r="AK46" s="17" t="n">
        <f aca="false">IF(AND((Assumptions!$F$7=1),(AK$2&gt;=Assumptions!$F$61)),(Assumptions!$F$62+(Assumptions!$F$63*(AK$2-Assumptions!$F$61))),0)</f>
        <v>0</v>
      </c>
      <c r="AL46" s="17" t="n">
        <f aca="false">IF(AND((Assumptions!$F$7=1),(AL$2&gt;=Assumptions!$F$61)),(Assumptions!$F$62+(Assumptions!$F$63*(AL$2-Assumptions!$F$61))),0)</f>
        <v>0</v>
      </c>
    </row>
    <row r="47" customFormat="false" ht="15" hidden="false" customHeight="false" outlineLevel="0" collapsed="false">
      <c r="A47" s="6" t="s">
        <v>418</v>
      </c>
      <c r="B47" s="2" t="s">
        <v>419</v>
      </c>
      <c r="C47" s="17" t="n">
        <f aca="false">IF(AND((Assumptions!$F$7=1),(C$2&gt;=Assumptions!$F$61)),(Assumptions!$F$65+(Assumptions!$F$66*(C$2-Assumptions!$F$61))),0)</f>
        <v>0</v>
      </c>
      <c r="D47" s="17" t="n">
        <f aca="false">IF(AND((Assumptions!$F$7=1),(D$2&gt;=Assumptions!$F$61)),(Assumptions!$F$65+(Assumptions!$F$66*(D$2-Assumptions!$F$61))),0)</f>
        <v>0</v>
      </c>
      <c r="E47" s="17" t="n">
        <f aca="false">IF(AND((Assumptions!$F$7=1),(E$2&gt;=Assumptions!$F$61)),(Assumptions!$F$65+(Assumptions!$F$66*(E$2-Assumptions!$F$61))),0)</f>
        <v>0</v>
      </c>
      <c r="F47" s="17" t="n">
        <f aca="false">IF(AND((Assumptions!$F$7=1),(F$2&gt;=Assumptions!$F$61)),(Assumptions!$F$65+(Assumptions!$F$66*(F$2-Assumptions!$F$61))),0)</f>
        <v>0</v>
      </c>
      <c r="G47" s="17" t="n">
        <f aca="false">IF(AND((Assumptions!$F$7=1),(G$2&gt;=Assumptions!$F$61)),(Assumptions!$F$65+(Assumptions!$F$66*(G$2-Assumptions!$F$61))),0)</f>
        <v>0</v>
      </c>
      <c r="H47" s="17" t="n">
        <f aca="false">IF(AND((Assumptions!$F$7=1),(H$2&gt;=Assumptions!$F$61)),(Assumptions!$F$65+(Assumptions!$F$66*(H$2-Assumptions!$F$61))),0)</f>
        <v>0</v>
      </c>
      <c r="I47" s="17" t="n">
        <f aca="false">IF(AND((Assumptions!$F$7=1),(I$2&gt;=Assumptions!$F$61)),(Assumptions!$F$65+(Assumptions!$F$66*(I$2-Assumptions!$F$61))),0)</f>
        <v>0</v>
      </c>
      <c r="J47" s="17" t="n">
        <f aca="false">IF(AND((Assumptions!$F$7=1),(J$2&gt;=Assumptions!$F$61)),(Assumptions!$F$65+(Assumptions!$F$66*(J$2-Assumptions!$F$61))),0)</f>
        <v>0</v>
      </c>
      <c r="K47" s="17" t="n">
        <f aca="false">IF(AND((Assumptions!$F$7=1),(K$2&gt;=Assumptions!$F$61)),(Assumptions!$F$65+(Assumptions!$F$66*(K$2-Assumptions!$F$61))),0)</f>
        <v>0</v>
      </c>
      <c r="L47" s="17" t="n">
        <f aca="false">IF(AND((Assumptions!$F$7=1),(L$2&gt;=Assumptions!$F$61)),(Assumptions!$F$65+(Assumptions!$F$66*(L$2-Assumptions!$F$61))),0)</f>
        <v>0</v>
      </c>
      <c r="M47" s="17" t="n">
        <f aca="false">IF(AND((Assumptions!$F$7=1),(M$2&gt;=Assumptions!$F$61)),(Assumptions!$F$65+(Assumptions!$F$66*(M$2-Assumptions!$F$61))),0)</f>
        <v>0</v>
      </c>
      <c r="N47" s="17" t="n">
        <f aca="false">IF(AND((Assumptions!$F$7=1),(N$2&gt;=Assumptions!$F$61)),(Assumptions!$F$65+(Assumptions!$F$66*(N$2-Assumptions!$F$61))),0)</f>
        <v>0</v>
      </c>
      <c r="O47" s="17" t="n">
        <f aca="false">IF(AND((Assumptions!$F$7=1),(O$2&gt;=Assumptions!$F$61)),(Assumptions!$F$65+(Assumptions!$F$66*(O$2-Assumptions!$F$61))),0)</f>
        <v>0</v>
      </c>
      <c r="P47" s="17" t="n">
        <f aca="false">IF(AND((Assumptions!$F$7=1),(P$2&gt;=Assumptions!$F$61)),(Assumptions!$F$65+(Assumptions!$F$66*(P$2-Assumptions!$F$61))),0)</f>
        <v>0</v>
      </c>
      <c r="Q47" s="17" t="n">
        <f aca="false">IF(AND((Assumptions!$F$7=1),(Q$2&gt;=Assumptions!$F$61)),(Assumptions!$F$65+(Assumptions!$F$66*(Q$2-Assumptions!$F$61))),0)</f>
        <v>0</v>
      </c>
      <c r="R47" s="17" t="n">
        <f aca="false">IF(AND((Assumptions!$F$7=1),(R$2&gt;=Assumptions!$F$61)),(Assumptions!$F$65+(Assumptions!$F$66*(R$2-Assumptions!$F$61))),0)</f>
        <v>0</v>
      </c>
      <c r="S47" s="17" t="n">
        <f aca="false">IF(AND((Assumptions!$F$7=1),(S$2&gt;=Assumptions!$F$61)),(Assumptions!$F$65+(Assumptions!$F$66*(S$2-Assumptions!$F$61))),0)</f>
        <v>0</v>
      </c>
      <c r="T47" s="17" t="n">
        <f aca="false">IF(AND((Assumptions!$F$7=1),(T$2&gt;=Assumptions!$F$61)),(Assumptions!$F$65+(Assumptions!$F$66*(T$2-Assumptions!$F$61))),0)</f>
        <v>0</v>
      </c>
      <c r="U47" s="17" t="n">
        <f aca="false">IF(AND((Assumptions!$F$7=1),(U$2&gt;=Assumptions!$F$61)),(Assumptions!$F$65+(Assumptions!$F$66*(U$2-Assumptions!$F$61))),0)</f>
        <v>0</v>
      </c>
      <c r="V47" s="17" t="n">
        <f aca="false">IF(AND((Assumptions!$F$7=1),(V$2&gt;=Assumptions!$F$61)),(Assumptions!$F$65+(Assumptions!$F$66*(V$2-Assumptions!$F$61))),0)</f>
        <v>0</v>
      </c>
      <c r="W47" s="17" t="n">
        <f aca="false">IF(AND((Assumptions!$F$7=1),(W$2&gt;=Assumptions!$F$61)),(Assumptions!$F$65+(Assumptions!$F$66*(W$2-Assumptions!$F$61))),0)</f>
        <v>0</v>
      </c>
      <c r="X47" s="17" t="n">
        <f aca="false">IF(AND((Assumptions!$F$7=1),(X$2&gt;=Assumptions!$F$61)),(Assumptions!$F$65+(Assumptions!$F$66*(X$2-Assumptions!$F$61))),0)</f>
        <v>0</v>
      </c>
      <c r="Y47" s="17" t="n">
        <f aca="false">IF(AND((Assumptions!$F$7=1),(Y$2&gt;=Assumptions!$F$61)),(Assumptions!$F$65+(Assumptions!$F$66*(Y$2-Assumptions!$F$61))),0)</f>
        <v>0</v>
      </c>
      <c r="Z47" s="17" t="n">
        <f aca="false">IF(AND((Assumptions!$F$7=1),(Z$2&gt;=Assumptions!$F$61)),(Assumptions!$F$65+(Assumptions!$F$66*(Z$2-Assumptions!$F$61))),0)</f>
        <v>0</v>
      </c>
      <c r="AA47" s="17" t="n">
        <f aca="false">IF(AND((Assumptions!$F$7=1),(AA$2&gt;=Assumptions!$F$61)),(Assumptions!$F$65+(Assumptions!$F$66*(AA$2-Assumptions!$F$61))),0)</f>
        <v>0</v>
      </c>
      <c r="AB47" s="17" t="n">
        <f aca="false">IF(AND((Assumptions!$F$7=1),(AB$2&gt;=Assumptions!$F$61)),(Assumptions!$F$65+(Assumptions!$F$66*(AB$2-Assumptions!$F$61))),0)</f>
        <v>0</v>
      </c>
      <c r="AC47" s="17" t="n">
        <f aca="false">IF(AND((Assumptions!$F$7=1),(AC$2&gt;=Assumptions!$F$61)),(Assumptions!$F$65+(Assumptions!$F$66*(AC$2-Assumptions!$F$61))),0)</f>
        <v>0</v>
      </c>
      <c r="AD47" s="17" t="n">
        <f aca="false">IF(AND((Assumptions!$F$7=1),(AD$2&gt;=Assumptions!$F$61)),(Assumptions!$F$65+(Assumptions!$F$66*(AD$2-Assumptions!$F$61))),0)</f>
        <v>0</v>
      </c>
      <c r="AE47" s="17" t="n">
        <f aca="false">IF(AND((Assumptions!$F$7=1),(AE$2&gt;=Assumptions!$F$61)),(Assumptions!$F$65+(Assumptions!$F$66*(AE$2-Assumptions!$F$61))),0)</f>
        <v>0</v>
      </c>
      <c r="AF47" s="17" t="n">
        <f aca="false">IF(AND((Assumptions!$F$7=1),(AF$2&gt;=Assumptions!$F$61)),(Assumptions!$F$65+(Assumptions!$F$66*(AF$2-Assumptions!$F$61))),0)</f>
        <v>0</v>
      </c>
      <c r="AG47" s="17" t="n">
        <f aca="false">IF(AND((Assumptions!$F$7=1),(AG$2&gt;=Assumptions!$F$61)),(Assumptions!$F$65+(Assumptions!$F$66*(AG$2-Assumptions!$F$61))),0)</f>
        <v>0</v>
      </c>
      <c r="AH47" s="17" t="n">
        <f aca="false">IF(AND((Assumptions!$F$7=1),(AH$2&gt;=Assumptions!$F$61)),(Assumptions!$F$65+(Assumptions!$F$66*(AH$2-Assumptions!$F$61))),0)</f>
        <v>0</v>
      </c>
      <c r="AI47" s="17" t="n">
        <f aca="false">IF(AND((Assumptions!$F$7=1),(AI$2&gt;=Assumptions!$F$61)),(Assumptions!$F$65+(Assumptions!$F$66*(AI$2-Assumptions!$F$61))),0)</f>
        <v>0</v>
      </c>
      <c r="AJ47" s="17" t="n">
        <f aca="false">IF(AND((Assumptions!$F$7=1),(AJ$2&gt;=Assumptions!$F$61)),(Assumptions!$F$65+(Assumptions!$F$66*(AJ$2-Assumptions!$F$61))),0)</f>
        <v>0</v>
      </c>
      <c r="AK47" s="17" t="n">
        <f aca="false">IF(AND((Assumptions!$F$7=1),(AK$2&gt;=Assumptions!$F$61)),(Assumptions!$F$65+(Assumptions!$F$66*(AK$2-Assumptions!$F$61))),0)</f>
        <v>0</v>
      </c>
      <c r="AL47" s="17" t="n">
        <f aca="false">IF(AND((Assumptions!$F$7=1),(AL$2&gt;=Assumptions!$F$61)),(Assumptions!$F$65+(Assumptions!$F$66*(AL$2-Assumptions!$F$61))),0)</f>
        <v>0</v>
      </c>
    </row>
    <row r="48" customFormat="false" ht="15" hidden="false" customHeight="false" outlineLevel="0" collapsed="false">
      <c r="A48" s="6" t="s">
        <v>420</v>
      </c>
      <c r="B48" s="2" t="s">
        <v>421</v>
      </c>
      <c r="C48" s="8" t="n">
        <f aca="false">IF(AND((Assumptions!$F$9=1),(C$2&gt;=Assumptions!$F$73)),1,0)</f>
        <v>0</v>
      </c>
      <c r="D48" s="8" t="n">
        <f aca="false">IF(AND((Assumptions!$F$9=1),(D$2&gt;=Assumptions!$F$73)),1,0)</f>
        <v>0</v>
      </c>
      <c r="E48" s="8" t="n">
        <f aca="false">IF(AND((Assumptions!$F$9=1),(E$2&gt;=Assumptions!$F$73)),1,0)</f>
        <v>0</v>
      </c>
      <c r="F48" s="8" t="n">
        <f aca="false">IF(AND((Assumptions!$F$9=1),(F$2&gt;=Assumptions!$F$73)),1,0)</f>
        <v>0</v>
      </c>
      <c r="G48" s="8" t="n">
        <f aca="false">IF(AND((Assumptions!$F$9=1),(G$2&gt;=Assumptions!$F$73)),1,0)</f>
        <v>0</v>
      </c>
      <c r="H48" s="8" t="n">
        <f aca="false">IF(AND((Assumptions!$F$9=1),(H$2&gt;=Assumptions!$F$73)),1,0)</f>
        <v>0</v>
      </c>
      <c r="I48" s="8" t="n">
        <f aca="false">IF(AND((Assumptions!$F$9=1),(I$2&gt;=Assumptions!$F$73)),1,0)</f>
        <v>0</v>
      </c>
      <c r="J48" s="8" t="n">
        <f aca="false">IF(AND((Assumptions!$F$9=1),(J$2&gt;=Assumptions!$F$73)),1,0)</f>
        <v>0</v>
      </c>
      <c r="K48" s="8" t="n">
        <f aca="false">IF(AND((Assumptions!$F$9=1),(K$2&gt;=Assumptions!$F$73)),1,0)</f>
        <v>0</v>
      </c>
      <c r="L48" s="8" t="n">
        <f aca="false">IF(AND((Assumptions!$F$9=1),(L$2&gt;=Assumptions!$F$73)),1,0)</f>
        <v>0</v>
      </c>
      <c r="M48" s="8" t="n">
        <f aca="false">IF(AND((Assumptions!$F$9=1),(M$2&gt;=Assumptions!$F$73)),1,0)</f>
        <v>0</v>
      </c>
      <c r="N48" s="8" t="n">
        <f aca="false">IF(AND((Assumptions!$F$9=1),(N$2&gt;=Assumptions!$F$73)),1,0)</f>
        <v>0</v>
      </c>
      <c r="O48" s="8" t="n">
        <f aca="false">IF(AND((Assumptions!$F$9=1),(O$2&gt;=Assumptions!$F$73)),1,0)</f>
        <v>1</v>
      </c>
      <c r="P48" s="8" t="n">
        <f aca="false">IF(AND((Assumptions!$F$9=1),(P$2&gt;=Assumptions!$F$73)),1,0)</f>
        <v>1</v>
      </c>
      <c r="Q48" s="8" t="n">
        <f aca="false">IF(AND((Assumptions!$F$9=1),(Q$2&gt;=Assumptions!$F$73)),1,0)</f>
        <v>1</v>
      </c>
      <c r="R48" s="8" t="n">
        <f aca="false">IF(AND((Assumptions!$F$9=1),(R$2&gt;=Assumptions!$F$73)),1,0)</f>
        <v>1</v>
      </c>
      <c r="S48" s="8" t="n">
        <f aca="false">IF(AND((Assumptions!$F$9=1),(S$2&gt;=Assumptions!$F$73)),1,0)</f>
        <v>1</v>
      </c>
      <c r="T48" s="8" t="n">
        <f aca="false">IF(AND((Assumptions!$F$9=1),(T$2&gt;=Assumptions!$F$73)),1,0)</f>
        <v>1</v>
      </c>
      <c r="U48" s="8" t="n">
        <f aca="false">IF(AND((Assumptions!$F$9=1),(U$2&gt;=Assumptions!$F$73)),1,0)</f>
        <v>1</v>
      </c>
      <c r="V48" s="8" t="n">
        <f aca="false">IF(AND((Assumptions!$F$9=1),(V$2&gt;=Assumptions!$F$73)),1,0)</f>
        <v>1</v>
      </c>
      <c r="W48" s="8" t="n">
        <f aca="false">IF(AND((Assumptions!$F$9=1),(W$2&gt;=Assumptions!$F$73)),1,0)</f>
        <v>1</v>
      </c>
      <c r="X48" s="8" t="n">
        <f aca="false">IF(AND((Assumptions!$F$9=1),(X$2&gt;=Assumptions!$F$73)),1,0)</f>
        <v>1</v>
      </c>
      <c r="Y48" s="8" t="n">
        <f aca="false">IF(AND((Assumptions!$F$9=1),(Y$2&gt;=Assumptions!$F$73)),1,0)</f>
        <v>1</v>
      </c>
      <c r="Z48" s="8" t="n">
        <f aca="false">IF(AND((Assumptions!$F$9=1),(Z$2&gt;=Assumptions!$F$73)),1,0)</f>
        <v>1</v>
      </c>
      <c r="AA48" s="8" t="n">
        <f aca="false">IF(AND((Assumptions!$F$9=1),(AA$2&gt;=Assumptions!$F$73)),1,0)</f>
        <v>1</v>
      </c>
      <c r="AB48" s="8" t="n">
        <f aca="false">IF(AND((Assumptions!$F$9=1),(AB$2&gt;=Assumptions!$F$73)),1,0)</f>
        <v>1</v>
      </c>
      <c r="AC48" s="8" t="n">
        <f aca="false">IF(AND((Assumptions!$F$9=1),(AC$2&gt;=Assumptions!$F$73)),1,0)</f>
        <v>1</v>
      </c>
      <c r="AD48" s="8" t="n">
        <f aca="false">IF(AND((Assumptions!$F$9=1),(AD$2&gt;=Assumptions!$F$73)),1,0)</f>
        <v>1</v>
      </c>
      <c r="AE48" s="8" t="n">
        <f aca="false">IF(AND((Assumptions!$F$9=1),(AE$2&gt;=Assumptions!$F$73)),1,0)</f>
        <v>1</v>
      </c>
      <c r="AF48" s="8" t="n">
        <f aca="false">IF(AND((Assumptions!$F$9=1),(AF$2&gt;=Assumptions!$F$73)),1,0)</f>
        <v>1</v>
      </c>
      <c r="AG48" s="8" t="n">
        <f aca="false">IF(AND((Assumptions!$F$9=1),(AG$2&gt;=Assumptions!$F$73)),1,0)</f>
        <v>1</v>
      </c>
      <c r="AH48" s="8" t="n">
        <f aca="false">IF(AND((Assumptions!$F$9=1),(AH$2&gt;=Assumptions!$F$73)),1,0)</f>
        <v>1</v>
      </c>
      <c r="AI48" s="8" t="n">
        <f aca="false">IF(AND((Assumptions!$F$9=1),(AI$2&gt;=Assumptions!$F$73)),1,0)</f>
        <v>1</v>
      </c>
      <c r="AJ48" s="8" t="n">
        <f aca="false">IF(AND((Assumptions!$F$9=1),(AJ$2&gt;=Assumptions!$F$73)),1,0)</f>
        <v>1</v>
      </c>
      <c r="AK48" s="8" t="n">
        <f aca="false">IF(AND((Assumptions!$F$9=1),(AK$2&gt;=Assumptions!$F$73)),1,0)</f>
        <v>1</v>
      </c>
      <c r="AL48" s="8" t="n">
        <f aca="false">IF(AND((Assumptions!$F$9=1),(AL$2&gt;=Assumptions!$F$73)),1,0)</f>
        <v>1</v>
      </c>
    </row>
    <row r="49" customFormat="false" ht="15" hidden="false" customHeight="false" outlineLevel="0" collapsed="false">
      <c r="A49" s="6" t="s">
        <v>422</v>
      </c>
      <c r="B49" s="2" t="s">
        <v>423</v>
      </c>
      <c r="C49" s="17" t="n">
        <f aca="false">((C48*C35)*Assumptions!$F$74)</f>
        <v>0</v>
      </c>
      <c r="D49" s="17" t="n">
        <f aca="false">((D48*D35)*Assumptions!$F$74)</f>
        <v>0</v>
      </c>
      <c r="E49" s="17" t="n">
        <f aca="false">((E48*E35)*Assumptions!$F$74)</f>
        <v>0</v>
      </c>
      <c r="F49" s="17" t="n">
        <f aca="false">((F48*F35)*Assumptions!$F$74)</f>
        <v>0</v>
      </c>
      <c r="G49" s="17" t="n">
        <f aca="false">((G48*G35)*Assumptions!$F$74)</f>
        <v>0</v>
      </c>
      <c r="H49" s="17" t="n">
        <f aca="false">((H48*H35)*Assumptions!$F$74)</f>
        <v>0</v>
      </c>
      <c r="I49" s="17" t="n">
        <f aca="false">((I48*I35)*Assumptions!$F$74)</f>
        <v>0</v>
      </c>
      <c r="J49" s="17" t="n">
        <f aca="false">((J48*J35)*Assumptions!$F$74)</f>
        <v>0</v>
      </c>
      <c r="K49" s="17" t="n">
        <f aca="false">((K48*K35)*Assumptions!$F$74)</f>
        <v>0</v>
      </c>
      <c r="L49" s="17" t="n">
        <f aca="false">((L48*L35)*Assumptions!$F$74)</f>
        <v>0</v>
      </c>
      <c r="M49" s="17" t="n">
        <f aca="false">((M48*M35)*Assumptions!$F$74)</f>
        <v>0</v>
      </c>
      <c r="N49" s="17" t="n">
        <f aca="false">((N48*N35)*Assumptions!$F$74)</f>
        <v>0</v>
      </c>
      <c r="O49" s="17" t="n">
        <f aca="false">((O48*O35)*Assumptions!$F$74)</f>
        <v>156.257094242797</v>
      </c>
      <c r="P49" s="17" t="n">
        <f aca="false">((P48*P35)*Assumptions!$F$74)</f>
        <v>163.114265992818</v>
      </c>
      <c r="Q49" s="17" t="n">
        <f aca="false">((Q48*Q35)*Assumptions!$F$74)</f>
        <v>170.11761830224</v>
      </c>
      <c r="R49" s="17" t="n">
        <f aca="false">((R48*R35)*Assumptions!$F$74)</f>
        <v>177.288097777068</v>
      </c>
      <c r="S49" s="17" t="n">
        <f aca="false">((S48*S35)*Assumptions!$F$74)</f>
        <v>184.645489827542</v>
      </c>
      <c r="T49" s="17" t="n">
        <f aca="false">((T48*T35)*Assumptions!$F$74)</f>
        <v>192.209062759473</v>
      </c>
      <c r="U49" s="17" t="n">
        <f aca="false">((U48*U35)*Assumptions!$F$74)</f>
        <v>199.997322544978</v>
      </c>
      <c r="V49" s="17" t="n">
        <f aca="false">((V48*V35)*Assumptions!$F$74)</f>
        <v>208.028280169256</v>
      </c>
      <c r="W49" s="17" t="n">
        <f aca="false">((W48*W35)*Assumptions!$F$74)</f>
        <v>216.319580852053</v>
      </c>
      <c r="X49" s="17" t="n">
        <f aca="false">((X48*X35)*Assumptions!$F$74)</f>
        <v>224.888618940418</v>
      </c>
      <c r="Y49" s="17" t="n">
        <f aca="false">((Y48*Y35)*Assumptions!$F$74)</f>
        <v>233.75264189888</v>
      </c>
      <c r="Z49" s="17" t="n">
        <f aca="false">((Z48*Z35)*Assumptions!$F$74)</f>
        <v>242.928844830576</v>
      </c>
      <c r="AA49" s="17" t="n">
        <f aca="false">((AA48*AA35)*Assumptions!$F$74)</f>
        <v>252.434456778496</v>
      </c>
      <c r="AB49" s="17" t="n">
        <f aca="false">((AB48*AB35)*Assumptions!$F$74)</f>
        <v>262.28577255531</v>
      </c>
      <c r="AC49" s="17" t="n">
        <f aca="false">((AC48*AC35)*Assumptions!$F$74)</f>
        <v>272.501250324054</v>
      </c>
      <c r="AD49" s="17" t="n">
        <f aca="false">((AD48*AD35)*Assumptions!$F$74)</f>
        <v>283.098689851991</v>
      </c>
      <c r="AE49" s="17" t="n">
        <f aca="false">((AE48*AE35)*Assumptions!$F$74)</f>
        <v>294.096151304567</v>
      </c>
      <c r="AF49" s="17" t="n">
        <f aca="false">((AF48*AF35)*Assumptions!$F$74)</f>
        <v>305.51215122473</v>
      </c>
      <c r="AG49" s="17" t="n">
        <f aca="false">((AG48*AG35)*Assumptions!$F$74)</f>
        <v>317.365601128893</v>
      </c>
      <c r="AH49" s="17" t="n">
        <f aca="false">((AH48*AH35)*Assumptions!$F$74)</f>
        <v>329.675897822224</v>
      </c>
      <c r="AI49" s="17" t="n">
        <f aca="false">((AI48*AI35)*Assumptions!$F$74)</f>
        <v>342.462975358026</v>
      </c>
      <c r="AJ49" s="17" t="n">
        <f aca="false">((AJ48*AJ35)*Assumptions!$F$74)</f>
        <v>355.747354684026</v>
      </c>
      <c r="AK49" s="17" t="n">
        <f aca="false">((AK48*AK35)*Assumptions!$F$74)</f>
        <v>369.550191895048</v>
      </c>
      <c r="AL49" s="17" t="n">
        <f aca="false">((AL48*AL35)*Assumptions!$F$74)</f>
        <v>383.893325445088</v>
      </c>
    </row>
    <row r="50" customFormat="false" ht="15" hidden="false" customHeight="false" outlineLevel="0" collapsed="false">
      <c r="A50" s="6" t="s">
        <v>424</v>
      </c>
      <c r="B50" s="2" t="s">
        <v>425</v>
      </c>
      <c r="C50" s="17" t="n">
        <f aca="false">(((C48*C29)*Assumptions!$F$76)*Assumptions!$F$77)</f>
        <v>0</v>
      </c>
      <c r="D50" s="17" t="n">
        <f aca="false">(((D48*D29)*Assumptions!$F$76)*Assumptions!$F$77)</f>
        <v>0</v>
      </c>
      <c r="E50" s="17" t="n">
        <f aca="false">(((E48*E29)*Assumptions!$F$76)*Assumptions!$F$77)</f>
        <v>0</v>
      </c>
      <c r="F50" s="17" t="n">
        <f aca="false">(((F48*F29)*Assumptions!$F$76)*Assumptions!$F$77)</f>
        <v>0</v>
      </c>
      <c r="G50" s="17" t="n">
        <f aca="false">(((G48*G29)*Assumptions!$F$76)*Assumptions!$F$77)</f>
        <v>0</v>
      </c>
      <c r="H50" s="17" t="n">
        <f aca="false">(((H48*H29)*Assumptions!$F$76)*Assumptions!$F$77)</f>
        <v>0</v>
      </c>
      <c r="I50" s="17" t="n">
        <f aca="false">(((I48*I29)*Assumptions!$F$76)*Assumptions!$F$77)</f>
        <v>0</v>
      </c>
      <c r="J50" s="17" t="n">
        <f aca="false">(((J48*J29)*Assumptions!$F$76)*Assumptions!$F$77)</f>
        <v>0</v>
      </c>
      <c r="K50" s="17" t="n">
        <f aca="false">(((K48*K29)*Assumptions!$F$76)*Assumptions!$F$77)</f>
        <v>0</v>
      </c>
      <c r="L50" s="17" t="n">
        <f aca="false">(((L48*L29)*Assumptions!$F$76)*Assumptions!$F$77)</f>
        <v>0</v>
      </c>
      <c r="M50" s="17" t="n">
        <f aca="false">(((M48*M29)*Assumptions!$F$76)*Assumptions!$F$77)</f>
        <v>0</v>
      </c>
      <c r="N50" s="17" t="n">
        <f aca="false">(((N48*N29)*Assumptions!$F$76)*Assumptions!$F$77)</f>
        <v>0</v>
      </c>
      <c r="O50" s="17" t="n">
        <f aca="false">(((O48*O29)*Assumptions!$F$76)*Assumptions!$F$77)</f>
        <v>99.2146450075045</v>
      </c>
      <c r="P50" s="17" t="n">
        <f aca="false">(((P48*P29)*Assumptions!$F$76)*Assumptions!$F$77)</f>
        <v>104.750748503804</v>
      </c>
      <c r="Q50" s="17" t="n">
        <f aca="false">(((Q48*Q29)*Assumptions!$F$76)*Assumptions!$F$77)</f>
        <v>110.450327181656</v>
      </c>
      <c r="R50" s="17" t="n">
        <f aca="false">(((R48*R29)*Assumptions!$F$76)*Assumptions!$F$77)</f>
        <v>116.193987086922</v>
      </c>
      <c r="S50" s="17" t="n">
        <f aca="false">(((S48*S29)*Assumptions!$F$76)*Assumptions!$F$77)</f>
        <v>122.125654853295</v>
      </c>
      <c r="T50" s="17" t="n">
        <f aca="false">(((T48*T29)*Assumptions!$F$76)*Assumptions!$F$77)</f>
        <v>128.259742952788</v>
      </c>
      <c r="U50" s="17" t="n">
        <f aca="false">(((U48*U29)*Assumptions!$F$76)*Assumptions!$F$77)</f>
        <v>134.609206312898</v>
      </c>
      <c r="V50" s="17" t="n">
        <f aca="false">(((V48*V29)*Assumptions!$F$76)*Assumptions!$F$77)</f>
        <v>141.186645810021</v>
      </c>
      <c r="W50" s="17" t="n">
        <f aca="false">(((W48*W29)*Assumptions!$F$76)*Assumptions!$F$77)</f>
        <v>148.004453882884</v>
      </c>
      <c r="X50" s="17" t="n">
        <f aca="false">(((X48*X29)*Assumptions!$F$76)*Assumptions!$F$77)</f>
        <v>155.074931804864</v>
      </c>
      <c r="Y50" s="17" t="n">
        <f aca="false">(((Y48*Y29)*Assumptions!$F$76)*Assumptions!$F$77)</f>
        <v>162.410389343755</v>
      </c>
      <c r="Z50" s="17" t="n">
        <f aca="false">(((Z48*Z29)*Assumptions!$F$76)*Assumptions!$F$77)</f>
        <v>170.023230104371</v>
      </c>
      <c r="AA50" s="17" t="n">
        <f aca="false">(((AA48*AA29)*Assumptions!$F$76)*Assumptions!$F$77)</f>
        <v>176.957338512819</v>
      </c>
      <c r="AB50" s="17" t="n">
        <f aca="false">(((AB48*AB29)*Assumptions!$F$76)*Assumptions!$F$77)</f>
        <v>184.15125538968</v>
      </c>
      <c r="AC50" s="17" t="n">
        <f aca="false">(((AC48*AC29)*Assumptions!$F$76)*Assumptions!$F$77)</f>
        <v>191.623515579335</v>
      </c>
      <c r="AD50" s="17" t="n">
        <f aca="false">(((AD48*AD29)*Assumptions!$F$76)*Assumptions!$F$77)</f>
        <v>199.346830152732</v>
      </c>
      <c r="AE50" s="17" t="n">
        <f aca="false">(((AE48*AE29)*Assumptions!$F$76)*Assumptions!$F$77)</f>
        <v>207.371369847764</v>
      </c>
      <c r="AF50" s="17" t="n">
        <f aca="false">(((AF48*AF29)*Assumptions!$F$76)*Assumptions!$F$77)</f>
        <v>215.71005955266</v>
      </c>
      <c r="AG50" s="17" t="n">
        <f aca="false">(((AG48*AG29)*Assumptions!$F$76)*Assumptions!$F$77)</f>
        <v>224.375942468225</v>
      </c>
      <c r="AH50" s="17" t="n">
        <f aca="false">(((AH48*AH29)*Assumptions!$F$76)*Assumptions!$F$77)</f>
        <v>233.382488791136</v>
      </c>
      <c r="AI50" s="17" t="n">
        <f aca="false">(((AI48*AI29)*Assumptions!$F$76)*Assumptions!$F$77)</f>
        <v>242.74363047022</v>
      </c>
      <c r="AJ50" s="17" t="n">
        <f aca="false">(((AJ48*AJ29)*Assumptions!$F$76)*Assumptions!$F$77)</f>
        <v>252.473792553009</v>
      </c>
      <c r="AK50" s="17" t="n">
        <f aca="false">(((AK48*AK29)*Assumptions!$F$76)*Assumptions!$F$77)</f>
        <v>262.587923525172</v>
      </c>
      <c r="AL50" s="17" t="n">
        <f aca="false">(((AL48*AL29)*Assumptions!$F$76)*Assumptions!$F$77)</f>
        <v>273.101525010506</v>
      </c>
    </row>
    <row r="52" customFormat="false" ht="15" hidden="false" customHeight="false" outlineLevel="0" collapsed="false">
      <c r="A52" s="4" t="s">
        <v>426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customFormat="false" ht="15" hidden="false" customHeight="false" outlineLevel="0" collapsed="false">
      <c r="A53" s="6" t="s">
        <v>427</v>
      </c>
      <c r="B53" s="2" t="s">
        <v>428</v>
      </c>
      <c r="C53" s="14" t="n">
        <f aca="false">(C24*Assumptions!$F$35)</f>
        <v>35.7157152</v>
      </c>
      <c r="D53" s="14" t="n">
        <f aca="false">(D24*Assumptions!$F$35)</f>
        <v>66.6552915610525</v>
      </c>
      <c r="E53" s="14" t="n">
        <f aca="false">(E24*Assumptions!$F$35)</f>
        <v>93.4691308923495</v>
      </c>
      <c r="F53" s="14" t="n">
        <f aca="false">(F24*Assumptions!$F$35)</f>
        <v>118.393758123331</v>
      </c>
      <c r="G53" s="14" t="n">
        <f aca="false">(G24*Assumptions!$F$35)</f>
        <v>140.425604657678</v>
      </c>
      <c r="H53" s="14" t="n">
        <f aca="false">(H24*Assumptions!$F$35)</f>
        <v>160.128753009088</v>
      </c>
      <c r="I53" s="14" t="n">
        <f aca="false">(I24*Assumptions!$F$35)</f>
        <v>177.979580705527</v>
      </c>
      <c r="J53" s="14" t="n">
        <f aca="false">(J24*Assumptions!$F$35)</f>
        <v>194.372352183942</v>
      </c>
      <c r="K53" s="14" t="n">
        <f aca="false">(K24*Assumptions!$F$35)</f>
        <v>209.633849850832</v>
      </c>
      <c r="L53" s="14" t="n">
        <f aca="false">(L24*Assumptions!$F$35)</f>
        <v>224.035479344895</v>
      </c>
      <c r="M53" s="14" t="n">
        <f aca="false">(M24*Assumptions!$F$35)</f>
        <v>237.803225615508</v>
      </c>
      <c r="N53" s="14" t="n">
        <f aca="false">(N24*Assumptions!$F$35)</f>
        <v>251.125841944918</v>
      </c>
      <c r="O53" s="14" t="n">
        <f aca="false">(O24*Assumptions!$F$35)</f>
        <v>264.16158656026</v>
      </c>
      <c r="P53" s="14" t="n">
        <f aca="false">(P24*Assumptions!$F$35)</f>
        <v>277.042004968155</v>
      </c>
      <c r="Q53" s="14" t="n">
        <f aca="false">(Q24*Assumptions!$F$35)</f>
        <v>289.880234040542</v>
      </c>
      <c r="R53" s="14" t="n">
        <f aca="false">(R24*Assumptions!$F$35)</f>
        <v>302.772758273836</v>
      </c>
      <c r="S53" s="14" t="n">
        <f aca="false">(S24*Assumptions!$F$35)</f>
        <v>315.802409541952</v>
      </c>
      <c r="T53" s="14" t="n">
        <f aca="false">(T24*Assumptions!$F$35)</f>
        <v>329.041074129115</v>
      </c>
      <c r="U53" s="14" t="n">
        <f aca="false">(U24*Assumptions!$F$35)</f>
        <v>342.551717281128</v>
      </c>
      <c r="V53" s="14" t="n">
        <f aca="false">(V24*Assumptions!$F$35)</f>
        <v>356.39011994492</v>
      </c>
      <c r="W53" s="14" t="n">
        <f aca="false">(W24*Assumptions!$F$35)</f>
        <v>370.606313828142</v>
      </c>
      <c r="X53" s="14" t="n">
        <f aca="false">(X24*Assumptions!$F$35)</f>
        <v>385.245767711733</v>
      </c>
      <c r="Y53" s="14" t="n">
        <f aca="false">(Y24*Assumptions!$F$35)</f>
        <v>400.350369501747</v>
      </c>
      <c r="Z53" s="14" t="n">
        <f aca="false">(Z24*Assumptions!$F$35)</f>
        <v>415.959240611966</v>
      </c>
      <c r="AA53" s="14" t="n">
        <f aca="false">(AA24*Assumptions!$F$35)</f>
        <v>432.109412768973</v>
      </c>
      <c r="AB53" s="14" t="n">
        <f aca="false">(AB24*Assumptions!$F$35)</f>
        <v>448.835878113774</v>
      </c>
      <c r="AC53" s="14" t="n">
        <f aca="false">(AC24*Assumptions!$F$35)</f>
        <v>466.173153151341</v>
      </c>
      <c r="AD53" s="14" t="n">
        <f aca="false">(AD24*Assumptions!$F$35)</f>
        <v>484.155090924591</v>
      </c>
      <c r="AE53" s="14" t="n">
        <f aca="false">(AE24*Assumptions!$F$35)</f>
        <v>502.815187734196</v>
      </c>
      <c r="AF53" s="14" t="n">
        <f aca="false">(AF24*Assumptions!$F$35)</f>
        <v>522.186912774949</v>
      </c>
      <c r="AG53" s="14" t="n">
        <f aca="false">(AG24*Assumptions!$F$35)</f>
        <v>542.303927904198</v>
      </c>
      <c r="AH53" s="14" t="n">
        <f aca="false">(AH24*Assumptions!$F$35)</f>
        <v>563.200297143716</v>
      </c>
      <c r="AI53" s="14" t="n">
        <f aca="false">(AI24*Assumptions!$F$35)</f>
        <v>584.910669044172</v>
      </c>
      <c r="AJ53" s="14" t="n">
        <f aca="false">(AJ24*Assumptions!$F$35)</f>
        <v>607.470436838033</v>
      </c>
      <c r="AK53" s="14" t="n">
        <f aca="false">(AK24*Assumptions!$F$35)</f>
        <v>630.915880727688</v>
      </c>
      <c r="AL53" s="14" t="n">
        <f aca="false">(AL24*Assumptions!$F$35)</f>
        <v>655.284295902226</v>
      </c>
    </row>
    <row r="54" customFormat="false" ht="15" hidden="false" customHeight="false" outlineLevel="0" collapsed="false">
      <c r="A54" s="6" t="s">
        <v>429</v>
      </c>
      <c r="B54" s="2" t="s">
        <v>430</v>
      </c>
      <c r="C54" s="14" t="n">
        <f aca="false">((C26*Assumptions!$F$36)/12)</f>
        <v>20.1068483</v>
      </c>
      <c r="D54" s="14" t="n">
        <f aca="false">((D26*Assumptions!$F$36)/12)</f>
        <v>41.1062374184</v>
      </c>
      <c r="E54" s="14" t="n">
        <f aca="false">((E26*Assumptions!$F$36)/12)</f>
        <v>62.8854006943101</v>
      </c>
      <c r="F54" s="14" t="n">
        <f aca="false">((F26*Assumptions!$F$36)/12)</f>
        <v>86.289728395159</v>
      </c>
      <c r="G54" s="14" t="n">
        <f aca="false">((G26*Assumptions!$F$36)/12)</f>
        <v>110.564803313632</v>
      </c>
      <c r="H54" s="14" t="n">
        <f aca="false">((H26*Assumptions!$F$36)/12)</f>
        <v>135.738115660493</v>
      </c>
      <c r="I54" s="14" t="n">
        <f aca="false">((I26*Assumptions!$F$36)/12)</f>
        <v>161.844343286193</v>
      </c>
      <c r="J54" s="14" t="n">
        <f aca="false">((J26*Assumptions!$F$36)/12)</f>
        <v>188.919705209965</v>
      </c>
      <c r="K54" s="14" t="n">
        <f aca="false">((K26*Assumptions!$F$36)/12)</f>
        <v>217.001964643093</v>
      </c>
      <c r="L54" s="14" t="n">
        <f aca="false">((L26*Assumptions!$F$36)/12)</f>
        <v>246.130477181618</v>
      </c>
      <c r="M54" s="14" t="n">
        <f aca="false">((M26*Assumptions!$F$36)/12)</f>
        <v>276.346242918416</v>
      </c>
      <c r="N54" s="14" t="n">
        <f aca="false">((N26*Assumptions!$F$36)/12)</f>
        <v>307.691962093442</v>
      </c>
      <c r="O54" s="14" t="n">
        <f aca="false">((O26*Assumptions!$F$36)/12)</f>
        <v>326.278048356405</v>
      </c>
      <c r="P54" s="14" t="n">
        <f aca="false">((P26*Assumptions!$F$36)/12)</f>
        <v>345.465307070113</v>
      </c>
      <c r="Q54" s="14" t="n">
        <f aca="false">((Q26*Assumptions!$F$36)/12)</f>
        <v>365.380002916697</v>
      </c>
      <c r="R54" s="14" t="n">
        <f aca="false">((R26*Assumptions!$F$36)/12)</f>
        <v>385.486367746244</v>
      </c>
      <c r="S54" s="14" t="n">
        <f aca="false">((S26*Assumptions!$F$36)/12)</f>
        <v>406.359288875336</v>
      </c>
      <c r="T54" s="14" t="n">
        <f aca="false">((T26*Assumptions!$F$36)/12)</f>
        <v>428.033935638512</v>
      </c>
      <c r="U54" s="14" t="n">
        <f aca="false">((U26*Assumptions!$F$36)/12)</f>
        <v>450.542682395959</v>
      </c>
      <c r="V54" s="14" t="n">
        <f aca="false">((V26*Assumptions!$F$36)/12)</f>
        <v>473.919104719958</v>
      </c>
      <c r="W54" s="14" t="n">
        <f aca="false">((W26*Assumptions!$F$36)/12)</f>
        <v>498.198064795293</v>
      </c>
      <c r="X54" s="14" t="n">
        <f aca="false">((X26*Assumptions!$F$36)/12)</f>
        <v>523.415769379558</v>
      </c>
      <c r="Y54" s="14" t="n">
        <f aca="false">((Y26*Assumptions!$F$36)/12)</f>
        <v>549.609829011228</v>
      </c>
      <c r="Z54" s="14" t="n">
        <f aca="false">((Z26*Assumptions!$F$36)/12)</f>
        <v>576.819318847501</v>
      </c>
      <c r="AA54" s="14" t="n">
        <f aca="false">((AA26*Assumptions!$F$36)/12)</f>
        <v>600.80708921436</v>
      </c>
      <c r="AB54" s="14" t="n">
        <f aca="false">((AB26*Assumptions!$F$36)/12)</f>
        <v>625.703595035142</v>
      </c>
      <c r="AC54" s="14" t="n">
        <f aca="false">((AC26*Assumptions!$F$36)/12)</f>
        <v>651.576701171939</v>
      </c>
      <c r="AD54" s="14" t="n">
        <f aca="false">((AD26*Assumptions!$F$36)/12)</f>
        <v>678.292146089698</v>
      </c>
      <c r="AE54" s="14" t="n">
        <f aca="false">((AE26*Assumptions!$F$36)/12)</f>
        <v>706.057844342425</v>
      </c>
      <c r="AF54" s="14" t="n">
        <f aca="false">((AF26*Assumptions!$F$36)/12)</f>
        <v>734.917216755433</v>
      </c>
      <c r="AG54" s="14" t="n">
        <f aca="false">((AG26*Assumptions!$F$36)/12)</f>
        <v>764.914104592282</v>
      </c>
      <c r="AH54" s="14" t="n">
        <f aca="false">((AH26*Assumptions!$F$36)/12)</f>
        <v>796.094050464069</v>
      </c>
      <c r="AI54" s="14" t="n">
        <f aca="false">((AI26*Assumptions!$F$36)/12)</f>
        <v>828.504380044074</v>
      </c>
      <c r="AJ54" s="14" t="n">
        <f aca="false">((AJ26*Assumptions!$F$36)/12)</f>
        <v>862.194277277952</v>
      </c>
      <c r="AK54" s="14" t="n">
        <f aca="false">((AK26*Assumptions!$F$36)/12)</f>
        <v>897.214862014986</v>
      </c>
      <c r="AL54" s="14" t="n">
        <f aca="false">((AL26*Assumptions!$F$36)/12)</f>
        <v>933.619270291424</v>
      </c>
    </row>
    <row r="55" customFormat="false" ht="15" hidden="false" customHeight="false" outlineLevel="0" collapsed="false">
      <c r="A55" s="6" t="s">
        <v>431</v>
      </c>
      <c r="B55" s="2" t="s">
        <v>432</v>
      </c>
      <c r="C55" s="14" t="n">
        <f aca="false">((C28*Assumptions!$F$37)/12)</f>
        <v>4.4678161</v>
      </c>
      <c r="D55" s="14" t="n">
        <f aca="false">((D28*Assumptions!$F$37)/12)</f>
        <v>9.1339580728</v>
      </c>
      <c r="E55" s="14" t="n">
        <f aca="false">((E28*Assumptions!$F$37)/12)</f>
        <v>13.9733687490441</v>
      </c>
      <c r="F55" s="14" t="n">
        <f aca="false">((F28*Assumptions!$F$37)/12)</f>
        <v>19.1738969746203</v>
      </c>
      <c r="G55" s="14" t="n">
        <f aca="false">((G28*Assumptions!$F$37)/12)</f>
        <v>24.5679084542542</v>
      </c>
      <c r="H55" s="14" t="n">
        <f aca="false">((H28*Assumptions!$F$37)/12)</f>
        <v>30.1615116145086</v>
      </c>
      <c r="I55" s="14" t="n">
        <f aca="false">((I28*Assumptions!$F$37)/12)</f>
        <v>35.9624120020828</v>
      </c>
      <c r="J55" s="14" t="n">
        <f aca="false">((J28*Assumptions!$F$37)/12)</f>
        <v>41.9786576170834</v>
      </c>
      <c r="K55" s="14" t="n">
        <f aca="false">((K28*Assumptions!$F$37)/12)</f>
        <v>48.2186395848046</v>
      </c>
      <c r="L55" s="14" t="n">
        <f aca="false">((L28*Assumptions!$F$37)/12)</f>
        <v>54.6911028643269</v>
      </c>
      <c r="M55" s="14" t="n">
        <f aca="false">((M28*Assumptions!$F$37)/12)</f>
        <v>61.4051578280127</v>
      </c>
      <c r="N55" s="14" t="n">
        <f aca="false">((N28*Assumptions!$F$37)/12)</f>
        <v>68.3702926271974</v>
      </c>
      <c r="O55" s="14" t="n">
        <f aca="false">((O28*Assumptions!$F$37)/12)</f>
        <v>72.2455242571105</v>
      </c>
      <c r="P55" s="14" t="n">
        <f aca="false">((P28*Assumptions!$F$37)/12)</f>
        <v>76.2430340555381</v>
      </c>
      <c r="Q55" s="14" t="n">
        <f aca="false">((Q28*Assumptions!$F$37)/12)</f>
        <v>80.3923067607606</v>
      </c>
      <c r="R55" s="14" t="n">
        <f aca="false">((R28*Assumptions!$F$37)/12)</f>
        <v>84.5635853229789</v>
      </c>
      <c r="S55" s="14" t="n">
        <f aca="false">((S28*Assumptions!$F$37)/12)</f>
        <v>88.894166986206</v>
      </c>
      <c r="T55" s="14" t="n">
        <f aca="false">((T28*Assumptions!$F$37)/12)</f>
        <v>93.3915183264106</v>
      </c>
      <c r="U55" s="14" t="n">
        <f aca="false">((U28*Assumptions!$F$37)/12)</f>
        <v>98.0623938300691</v>
      </c>
      <c r="V55" s="14" t="n">
        <f aca="false">((V28*Assumptions!$F$37)/12)</f>
        <v>102.913795377587</v>
      </c>
      <c r="W55" s="14" t="n">
        <f aca="false">((W28*Assumptions!$F$37)/12)</f>
        <v>107.952991181293</v>
      </c>
      <c r="X55" s="14" t="n">
        <f aca="false">((X28*Assumptions!$F$37)/12)</f>
        <v>113.187528054045</v>
      </c>
      <c r="Y55" s="14" t="n">
        <f aca="false">((Y28*Assumptions!$F$37)/12)</f>
        <v>118.625243905448</v>
      </c>
      <c r="Z55" s="14" t="n">
        <f aca="false">((Z28*Assumptions!$F$37)/12)</f>
        <v>124.274280555409</v>
      </c>
      <c r="AA55" s="14" t="n">
        <f aca="false">((AA28*Assumptions!$F$37)/12)</f>
        <v>129.305381383631</v>
      </c>
      <c r="AB55" s="14" t="n">
        <f aca="false">((AB28*Assumptions!$F$37)/12)</f>
        <v>134.527966232543</v>
      </c>
      <c r="AC55" s="14" t="n">
        <f aca="false">((AC28*Assumptions!$F$37)/12)</f>
        <v>139.955872770969</v>
      </c>
      <c r="AD55" s="14" t="n">
        <f aca="false">((AD28*Assumptions!$F$37)/12)</f>
        <v>145.563376573853</v>
      </c>
      <c r="AE55" s="14" t="n">
        <f aca="false">((AE28*Assumptions!$F$37)/12)</f>
        <v>151.391784514131</v>
      </c>
      <c r="AF55" s="14" t="n">
        <f aca="false">((AF28*Assumptions!$F$37)/12)</f>
        <v>157.450212373686</v>
      </c>
      <c r="AG55" s="14" t="n">
        <f aca="false">((AG28*Assumptions!$F$37)/12)</f>
        <v>163.747881998429</v>
      </c>
      <c r="AH55" s="14" t="n">
        <f aca="false">((AH28*Assumptions!$F$37)/12)</f>
        <v>170.294373185946</v>
      </c>
      <c r="AI55" s="14" t="n">
        <f aca="false">((AI28*Assumptions!$F$37)/12)</f>
        <v>177.099640751567</v>
      </c>
      <c r="AJ55" s="14" t="n">
        <f aca="false">((AJ28*Assumptions!$F$37)/12)</f>
        <v>184.174030353659</v>
      </c>
      <c r="AK55" s="14" t="n">
        <f aca="false">((AK28*Assumptions!$F$37)/12)</f>
        <v>191.528294828651</v>
      </c>
      <c r="AL55" s="14" t="n">
        <f aca="false">((AL28*Assumptions!$F$37)/12)</f>
        <v>199.173611083541</v>
      </c>
    </row>
    <row r="56" customFormat="false" ht="15" hidden="false" customHeight="false" outlineLevel="0" collapsed="false">
      <c r="A56" s="6" t="s">
        <v>433</v>
      </c>
      <c r="B56" s="2" t="s">
        <v>434</v>
      </c>
      <c r="C56" s="14" t="n">
        <f aca="false">(C21*Assumptions!$F$38)</f>
        <v>33.1784444444445</v>
      </c>
      <c r="D56" s="14" t="n">
        <f aca="false">(D21*Assumptions!$F$38)</f>
        <v>34.651232</v>
      </c>
      <c r="E56" s="14" t="n">
        <f aca="false">(E21*Assumptions!$F$38)</f>
        <v>35.9379425365371</v>
      </c>
      <c r="F56" s="14" t="n">
        <f aca="false">(F21*Assumptions!$F$38)</f>
        <v>38.6196371900904</v>
      </c>
      <c r="G56" s="14" t="n">
        <f aca="false">(G21*Assumptions!$F$38)</f>
        <v>40.056462979694</v>
      </c>
      <c r="H56" s="14" t="n">
        <f aca="false">(H21*Assumptions!$F$38)</f>
        <v>41.5386505493744</v>
      </c>
      <c r="I56" s="14" t="n">
        <f aca="false">(I21*Assumptions!$F$38)</f>
        <v>43.0780602713006</v>
      </c>
      <c r="J56" s="14" t="n">
        <f aca="false">(J21*Assumptions!$F$38)</f>
        <v>44.6772352383597</v>
      </c>
      <c r="K56" s="14" t="n">
        <f aca="false">(K21*Assumptions!$F$38)</f>
        <v>46.3387235321465</v>
      </c>
      <c r="L56" s="14" t="n">
        <f aca="false">(L21*Assumptions!$F$38)</f>
        <v>48.0651527573697</v>
      </c>
      <c r="M56" s="14" t="n">
        <f aca="false">(M21*Assumptions!$F$38)</f>
        <v>49.859236509219</v>
      </c>
      <c r="N56" s="14" t="n">
        <f aca="false">(N21*Assumptions!$F$38)</f>
        <v>51.7237802117274</v>
      </c>
      <c r="O56" s="14" t="n">
        <f aca="false">(O21*Assumptions!$F$38)</f>
        <v>53.6616868672831</v>
      </c>
      <c r="P56" s="14" t="n">
        <f aca="false">(P21*Assumptions!$F$38)</f>
        <v>55.6743273126396</v>
      </c>
      <c r="Q56" s="14" t="n">
        <f aca="false">(Q21*Assumptions!$F$38)</f>
        <v>57.7663665776856</v>
      </c>
      <c r="R56" s="14" t="n">
        <f aca="false">(R21*Assumptions!$F$38)</f>
        <v>59.9410552393583</v>
      </c>
      <c r="S56" s="14" t="n">
        <f aca="false">(S21*Assumptions!$F$38)</f>
        <v>62.2016751725321</v>
      </c>
      <c r="T56" s="14" t="n">
        <f aca="false">(T21*Assumptions!$F$38)</f>
        <v>64.5517639727162</v>
      </c>
      <c r="U56" s="14" t="n">
        <f aca="false">(U21*Assumptions!$F$38)</f>
        <v>66.9949288720091</v>
      </c>
      <c r="V56" s="14" t="n">
        <f aca="false">(V21*Assumptions!$F$38)</f>
        <v>69.5349143618724</v>
      </c>
      <c r="W56" s="14" t="n">
        <f aca="false">(W21*Assumptions!$F$38)</f>
        <v>72.1756093107148</v>
      </c>
      <c r="X56" s="14" t="n">
        <f aca="false">(X21*Assumptions!$F$38)</f>
        <v>74.9210533371607</v>
      </c>
      <c r="Y56" s="14" t="n">
        <f aca="false">(Y21*Assumptions!$F$38)</f>
        <v>77.7754433508706</v>
      </c>
      <c r="Z56" s="14" t="n">
        <f aca="false">(Z21*Assumptions!$F$38)</f>
        <v>80.7431402878169</v>
      </c>
      <c r="AA56" s="14" t="n">
        <f aca="false">(AA21*Assumptions!$F$38)</f>
        <v>83.828676056469</v>
      </c>
      <c r="AB56" s="14" t="n">
        <f aca="false">(AB21*Assumptions!$F$38)</f>
        <v>87.0362833419439</v>
      </c>
      <c r="AC56" s="14" t="n">
        <f aca="false">(AC21*Assumptions!$F$38)</f>
        <v>90.3713101990267</v>
      </c>
      <c r="AD56" s="14" t="n">
        <f aca="false">(AD21*Assumptions!$F$38)</f>
        <v>93.8388514996548</v>
      </c>
      <c r="AE56" s="14" t="n">
        <f aca="false">(AE21*Assumptions!$F$38)</f>
        <v>97.4441772676185</v>
      </c>
      <c r="AF56" s="14" t="n">
        <f aca="false">(AF21*Assumptions!$F$38)</f>
        <v>101.192804717854</v>
      </c>
      <c r="AG56" s="14" t="n">
        <f aca="false">(AG21*Assumptions!$F$38)</f>
        <v>105.090450736203</v>
      </c>
      <c r="AH56" s="14" t="n">
        <f aca="false">(AH21*Assumptions!$F$38)</f>
        <v>109.143058705717</v>
      </c>
      <c r="AI56" s="14" t="n">
        <f aca="false">(AI21*Assumptions!$F$38)</f>
        <v>113.356807961903</v>
      </c>
      <c r="AJ56" s="14" t="n">
        <f aca="false">(AJ21*Assumptions!$F$38)</f>
        <v>117.73812333364</v>
      </c>
      <c r="AK56" s="14" t="n">
        <f aca="false">(AK21*Assumptions!$F$38)</f>
        <v>122.293685046892</v>
      </c>
      <c r="AL56" s="14" t="n">
        <f aca="false">(AL21*Assumptions!$F$38)</f>
        <v>127.030439010613</v>
      </c>
    </row>
    <row r="57" customFormat="false" ht="15" hidden="false" customHeight="false" outlineLevel="0" collapsed="false">
      <c r="A57" s="21" t="s">
        <v>435</v>
      </c>
      <c r="B57" s="2" t="s">
        <v>436</v>
      </c>
      <c r="C57" s="23" t="n">
        <f aca="false">(((C53+C54)+C55)+C56)</f>
        <v>93.4688240444445</v>
      </c>
      <c r="D57" s="23" t="n">
        <f aca="false">(((D53+D54)+D55)+D56)</f>
        <v>151.546719052252</v>
      </c>
      <c r="E57" s="23" t="n">
        <f aca="false">(((E53+E54)+E55)+E56)</f>
        <v>206.265842872241</v>
      </c>
      <c r="F57" s="23" t="n">
        <f aca="false">(((F53+F54)+F55)+F56)</f>
        <v>262.4770206832</v>
      </c>
      <c r="G57" s="23" t="n">
        <f aca="false">(((G53+G54)+G55)+G56)</f>
        <v>315.614779405258</v>
      </c>
      <c r="H57" s="23" t="n">
        <f aca="false">(((H53+H54)+H55)+H56)</f>
        <v>367.567030833464</v>
      </c>
      <c r="I57" s="23" t="n">
        <f aca="false">(((I53+I54)+I55)+I56)</f>
        <v>418.864396265103</v>
      </c>
      <c r="J57" s="23" t="n">
        <f aca="false">(((J53+J54)+J55)+J56)</f>
        <v>469.94795024935</v>
      </c>
      <c r="K57" s="23" t="n">
        <f aca="false">(((K53+K54)+K55)+K56)</f>
        <v>521.193177610876</v>
      </c>
      <c r="L57" s="23" t="n">
        <f aca="false">(((L53+L54)+L55)+L56)</f>
        <v>572.92221214821</v>
      </c>
      <c r="M57" s="23" t="n">
        <f aca="false">(((M53+M54)+M55)+M56)</f>
        <v>625.413862871156</v>
      </c>
      <c r="N57" s="23" t="n">
        <f aca="false">(((N53+N54)+N55)+N56)</f>
        <v>678.911876877284</v>
      </c>
      <c r="O57" s="23" t="n">
        <f aca="false">(((O53+O54)+O55)+O56)</f>
        <v>716.346846041059</v>
      </c>
      <c r="P57" s="23" t="n">
        <f aca="false">(((P53+P54)+P55)+P56)</f>
        <v>754.424673406445</v>
      </c>
      <c r="Q57" s="23" t="n">
        <f aca="false">(((Q53+Q54)+Q55)+Q56)</f>
        <v>793.418910295685</v>
      </c>
      <c r="R57" s="23" t="n">
        <f aca="false">(((R53+R54)+R55)+R56)</f>
        <v>832.763766582417</v>
      </c>
      <c r="S57" s="23" t="n">
        <f aca="false">(((S53+S54)+S55)+S56)</f>
        <v>873.257540576026</v>
      </c>
      <c r="T57" s="23" t="n">
        <f aca="false">(((T53+T54)+T55)+T56)</f>
        <v>915.018292066754</v>
      </c>
      <c r="U57" s="23" t="n">
        <f aca="false">(((U53+U54)+U55)+U56)</f>
        <v>958.151722379165</v>
      </c>
      <c r="V57" s="23" t="n">
        <f aca="false">(((V53+V54)+V55)+V56)</f>
        <v>1002.75793440434</v>
      </c>
      <c r="W57" s="23" t="n">
        <f aca="false">(((W53+W54)+W55)+W56)</f>
        <v>1048.93297911544</v>
      </c>
      <c r="X57" s="23" t="n">
        <f aca="false">(((X53+X54)+X55)+X56)</f>
        <v>1096.7701184825</v>
      </c>
      <c r="Y57" s="23" t="n">
        <f aca="false">(((Y53+Y54)+Y55)+Y56)</f>
        <v>1146.36088576929</v>
      </c>
      <c r="Z57" s="23" t="n">
        <f aca="false">(((Z53+Z54)+Z55)+Z56)</f>
        <v>1197.79598030269</v>
      </c>
      <c r="AA57" s="23" t="n">
        <f aca="false">(((AA53+AA54)+AA55)+AA56)</f>
        <v>1246.05055942343</v>
      </c>
      <c r="AB57" s="23" t="n">
        <f aca="false">(((AB53+AB54)+AB55)+AB56)</f>
        <v>1296.1037227234</v>
      </c>
      <c r="AC57" s="23" t="n">
        <f aca="false">(((AC53+AC54)+AC55)+AC56)</f>
        <v>1348.07703729328</v>
      </c>
      <c r="AD57" s="23" t="n">
        <f aca="false">(((AD53+AD54)+AD55)+AD56)</f>
        <v>1401.8494650878</v>
      </c>
      <c r="AE57" s="23" t="n">
        <f aca="false">(((AE53+AE54)+AE55)+AE56)</f>
        <v>1457.70899385837</v>
      </c>
      <c r="AF57" s="23" t="n">
        <f aca="false">(((AF53+AF54)+AF55)+AF56)</f>
        <v>1515.74714662192</v>
      </c>
      <c r="AG57" s="23" t="n">
        <f aca="false">(((AG53+AG54)+AG55)+AG56)</f>
        <v>1576.05636523111</v>
      </c>
      <c r="AH57" s="23" t="n">
        <f aca="false">(((AH53+AH54)+AH55)+AH56)</f>
        <v>1638.73177949945</v>
      </c>
      <c r="AI57" s="23" t="n">
        <f aca="false">(((AI53+AI54)+AI55)+AI56)</f>
        <v>1703.87149780172</v>
      </c>
      <c r="AJ57" s="23" t="n">
        <f aca="false">(((AJ53+AJ54)+AJ55)+AJ56)</f>
        <v>1771.57686780328</v>
      </c>
      <c r="AK57" s="23" t="n">
        <f aca="false">(((AK53+AK54)+AK55)+AK56)</f>
        <v>1841.95272261822</v>
      </c>
      <c r="AL57" s="23" t="n">
        <f aca="false">(((AL53+AL54)+AL55)+AL56)</f>
        <v>1915.1076162878</v>
      </c>
    </row>
    <row r="58" customFormat="false" ht="15" hidden="false" customHeight="false" outlineLevel="0" collapsed="false">
      <c r="A58" s="6" t="s">
        <v>437</v>
      </c>
      <c r="B58" s="2" t="s">
        <v>438</v>
      </c>
      <c r="C58" s="14" t="n">
        <f aca="false">((-C57)*Assumptions!$F$40)</f>
        <v>-2.80406472133333</v>
      </c>
      <c r="D58" s="14" t="n">
        <f aca="false">((-D57)*Assumptions!$F$40)</f>
        <v>-4.54640157156757</v>
      </c>
      <c r="E58" s="14" t="n">
        <f aca="false">((-E57)*Assumptions!$F$40)</f>
        <v>-6.18797528616722</v>
      </c>
      <c r="F58" s="14" t="n">
        <f aca="false">((-F57)*Assumptions!$F$40)</f>
        <v>-7.87431062049601</v>
      </c>
      <c r="G58" s="14" t="n">
        <f aca="false">((-G57)*Assumptions!$F$40)</f>
        <v>-9.46844338215775</v>
      </c>
      <c r="H58" s="14" t="n">
        <f aca="false">((-H57)*Assumptions!$F$40)</f>
        <v>-11.0270109250039</v>
      </c>
      <c r="I58" s="14" t="n">
        <f aca="false">((-I57)*Assumptions!$F$40)</f>
        <v>-12.5659318879531</v>
      </c>
      <c r="J58" s="14" t="n">
        <f aca="false">((-J57)*Assumptions!$F$40)</f>
        <v>-14.0984385074805</v>
      </c>
      <c r="K58" s="14" t="n">
        <f aca="false">((-K57)*Assumptions!$F$40)</f>
        <v>-15.6357953283263</v>
      </c>
      <c r="L58" s="14" t="n">
        <f aca="false">((-L57)*Assumptions!$F$40)</f>
        <v>-17.1876663644463</v>
      </c>
      <c r="M58" s="14" t="n">
        <f aca="false">((-M57)*Assumptions!$F$40)</f>
        <v>-18.7624158861347</v>
      </c>
      <c r="N58" s="14" t="n">
        <f aca="false">((-N57)*Assumptions!$F$40)</f>
        <v>-20.3673563063185</v>
      </c>
      <c r="O58" s="14" t="n">
        <f aca="false">((-O57)*Assumptions!$F$40)</f>
        <v>-21.4904053812318</v>
      </c>
      <c r="P58" s="14" t="n">
        <f aca="false">((-P57)*Assumptions!$F$40)</f>
        <v>-22.6327402021934</v>
      </c>
      <c r="Q58" s="14" t="n">
        <f aca="false">((-Q57)*Assumptions!$F$40)</f>
        <v>-23.8025673088705</v>
      </c>
      <c r="R58" s="14" t="n">
        <f aca="false">((-R57)*Assumptions!$F$40)</f>
        <v>-24.9829129974725</v>
      </c>
      <c r="S58" s="14" t="n">
        <f aca="false">((-S57)*Assumptions!$F$40)</f>
        <v>-26.1977262172808</v>
      </c>
      <c r="T58" s="14" t="n">
        <f aca="false">((-T57)*Assumptions!$F$40)</f>
        <v>-27.4505487620026</v>
      </c>
      <c r="U58" s="14" t="n">
        <f aca="false">((-U57)*Assumptions!$F$40)</f>
        <v>-28.7445516713749</v>
      </c>
      <c r="V58" s="14" t="n">
        <f aca="false">((-V57)*Assumptions!$F$40)</f>
        <v>-30.0827380321301</v>
      </c>
      <c r="W58" s="14" t="n">
        <f aca="false">((-W57)*Assumptions!$F$40)</f>
        <v>-31.4679893734633</v>
      </c>
      <c r="X58" s="14" t="n">
        <f aca="false">((-X57)*Assumptions!$F$40)</f>
        <v>-32.9031035544749</v>
      </c>
      <c r="Y58" s="14" t="n">
        <f aca="false">((-Y57)*Assumptions!$F$40)</f>
        <v>-34.3908265730788</v>
      </c>
      <c r="Z58" s="14" t="n">
        <f aca="false">((-Z57)*Assumptions!$F$40)</f>
        <v>-35.9338794090808</v>
      </c>
      <c r="AA58" s="14" t="n">
        <f aca="false">((-AA57)*Assumptions!$F$40)</f>
        <v>-37.381516782703</v>
      </c>
      <c r="AB58" s="14" t="n">
        <f aca="false">((-AB57)*Assumptions!$F$40)</f>
        <v>-38.8831116817021</v>
      </c>
      <c r="AC58" s="14" t="n">
        <f aca="false">((-AC57)*Assumptions!$F$40)</f>
        <v>-40.4423111187983</v>
      </c>
      <c r="AD58" s="14" t="n">
        <f aca="false">((-AD57)*Assumptions!$F$40)</f>
        <v>-42.0554839526339</v>
      </c>
      <c r="AE58" s="14" t="n">
        <f aca="false">((-AE57)*Assumptions!$F$40)</f>
        <v>-43.7312698157511</v>
      </c>
      <c r="AF58" s="14" t="n">
        <f aca="false">((-AF57)*Assumptions!$F$40)</f>
        <v>-45.4724143986576</v>
      </c>
      <c r="AG58" s="14" t="n">
        <f aca="false">((-AG57)*Assumptions!$F$40)</f>
        <v>-47.2816909569334</v>
      </c>
      <c r="AH58" s="14" t="n">
        <f aca="false">((-AH57)*Assumptions!$F$40)</f>
        <v>-49.1619533849834</v>
      </c>
      <c r="AI58" s="14" t="n">
        <f aca="false">((-AI57)*Assumptions!$F$40)</f>
        <v>-51.1161449340515</v>
      </c>
      <c r="AJ58" s="14" t="n">
        <f aca="false">((-AJ57)*Assumptions!$F$40)</f>
        <v>-53.1473060340985</v>
      </c>
      <c r="AK58" s="14" t="n">
        <f aca="false">((-AK57)*Assumptions!$F$40)</f>
        <v>-55.2585816785465</v>
      </c>
      <c r="AL58" s="14" t="n">
        <f aca="false">((-AL57)*Assumptions!$F$40)</f>
        <v>-57.4532284886341</v>
      </c>
    </row>
    <row r="59" customFormat="false" ht="15" hidden="false" customHeight="false" outlineLevel="0" collapsed="false">
      <c r="A59" s="6" t="s">
        <v>439</v>
      </c>
      <c r="B59" s="2" t="s">
        <v>117</v>
      </c>
      <c r="C59" s="14" t="n">
        <f aca="false">((-(C57+C58))*Assumptions!$F$39)</f>
        <v>-13.5997138984667</v>
      </c>
      <c r="D59" s="14" t="n">
        <f aca="false">((-(D57+D58))*Assumptions!$F$39)</f>
        <v>-22.0500476221027</v>
      </c>
      <c r="E59" s="14" t="n">
        <f aca="false">((-(E57+E58))*Assumptions!$F$39)</f>
        <v>-30.011680137911</v>
      </c>
      <c r="F59" s="14" t="n">
        <f aca="false">((-(F57+F58))*Assumptions!$F$39)</f>
        <v>-38.1904065094056</v>
      </c>
      <c r="G59" s="14" t="n">
        <f aca="false">((-(G57+G58))*Assumptions!$F$39)</f>
        <v>-45.9219504034651</v>
      </c>
      <c r="H59" s="14" t="n">
        <f aca="false">((-(H57+H58))*Assumptions!$F$39)</f>
        <v>-53.481002986269</v>
      </c>
      <c r="I59" s="14" t="n">
        <f aca="false">((-(I57+I58))*Assumptions!$F$39)</f>
        <v>-60.9447696565724</v>
      </c>
      <c r="J59" s="14" t="n">
        <f aca="false">((-(J57+J58))*Assumptions!$F$39)</f>
        <v>-68.3774267612805</v>
      </c>
      <c r="K59" s="14" t="n">
        <f aca="false">((-(K57+K58))*Assumptions!$F$39)</f>
        <v>-75.8336073423824</v>
      </c>
      <c r="L59" s="14" t="n">
        <f aca="false">((-(L57+L58))*Assumptions!$F$39)</f>
        <v>-83.3601818675646</v>
      </c>
      <c r="M59" s="14" t="n">
        <f aca="false">((-(M57+M58))*Assumptions!$F$39)</f>
        <v>-90.9977170477532</v>
      </c>
      <c r="N59" s="14" t="n">
        <f aca="false">((-(N57+N58))*Assumptions!$F$39)</f>
        <v>-98.7816780856448</v>
      </c>
      <c r="O59" s="14" t="n">
        <f aca="false">((-(O57+O58))*Assumptions!$F$39)</f>
        <v>-104.228466098974</v>
      </c>
      <c r="P59" s="14" t="n">
        <f aca="false">((-(P57+P58))*Assumptions!$F$39)</f>
        <v>-109.768789980638</v>
      </c>
      <c r="Q59" s="14" t="n">
        <f aca="false">((-(Q57+Q58))*Assumptions!$F$39)</f>
        <v>-115.442451448022</v>
      </c>
      <c r="R59" s="14" t="n">
        <f aca="false">((-(R57+R58))*Assumptions!$F$39)</f>
        <v>-121.167128037742</v>
      </c>
      <c r="S59" s="14" t="n">
        <f aca="false">((-(S57+S58))*Assumptions!$F$39)</f>
        <v>-127.058972153812</v>
      </c>
      <c r="T59" s="14" t="n">
        <f aca="false">((-(T57+T58))*Assumptions!$F$39)</f>
        <v>-133.135161495713</v>
      </c>
      <c r="U59" s="14" t="n">
        <f aca="false">((-(U57+U58))*Assumptions!$F$39)</f>
        <v>-139.411075606168</v>
      </c>
      <c r="V59" s="14" t="n">
        <f aca="false">((-(V57+V58))*Assumptions!$F$39)</f>
        <v>-145.901279455831</v>
      </c>
      <c r="W59" s="14" t="n">
        <f aca="false">((-(W57+W58))*Assumptions!$F$39)</f>
        <v>-152.619748461297</v>
      </c>
      <c r="X59" s="14" t="n">
        <f aca="false">((-(X57+X58))*Assumptions!$F$39)</f>
        <v>-159.580052239203</v>
      </c>
      <c r="Y59" s="14" t="n">
        <f aca="false">((-(Y57+Y58))*Assumptions!$F$39)</f>
        <v>-166.795508879432</v>
      </c>
      <c r="Z59" s="14" t="n">
        <f aca="false">((-(Z57+Z58))*Assumptions!$F$39)</f>
        <v>-174.279315134042</v>
      </c>
      <c r="AA59" s="14" t="n">
        <f aca="false">((-(AA57+AA58))*Assumptions!$F$39)</f>
        <v>-181.30035639611</v>
      </c>
      <c r="AB59" s="14" t="n">
        <f aca="false">((-(AB57+AB58))*Assumptions!$F$39)</f>
        <v>-188.583091656255</v>
      </c>
      <c r="AC59" s="14" t="n">
        <f aca="false">((-(AC57+AC58))*Assumptions!$F$39)</f>
        <v>-196.145208926172</v>
      </c>
      <c r="AD59" s="14" t="n">
        <f aca="false">((-(AD57+AD58))*Assumptions!$F$39)</f>
        <v>-203.969097170274</v>
      </c>
      <c r="AE59" s="14" t="n">
        <f aca="false">((-(AE57+AE58))*Assumptions!$F$39)</f>
        <v>-212.096658606393</v>
      </c>
      <c r="AF59" s="14" t="n">
        <f aca="false">((-(AF57+AF58))*Assumptions!$F$39)</f>
        <v>-220.54120983349</v>
      </c>
      <c r="AG59" s="14" t="n">
        <f aca="false">((-(AG57+AG58))*Assumptions!$F$39)</f>
        <v>-229.316201141127</v>
      </c>
      <c r="AH59" s="14" t="n">
        <f aca="false">((-(AH57+AH58))*Assumptions!$F$39)</f>
        <v>-238.43547391717</v>
      </c>
      <c r="AI59" s="14" t="n">
        <f aca="false">((-(AI57+AI58))*Assumptions!$F$39)</f>
        <v>-247.91330293015</v>
      </c>
      <c r="AJ59" s="14" t="n">
        <f aca="false">((-(AJ57+AJ58))*Assumptions!$F$39)</f>
        <v>-257.764434265378</v>
      </c>
      <c r="AK59" s="14" t="n">
        <f aca="false">((-(AK57+AK58))*Assumptions!$F$39)</f>
        <v>-268.004121140951</v>
      </c>
      <c r="AL59" s="14" t="n">
        <f aca="false">((-(AL57+AL58))*Assumptions!$F$39)</f>
        <v>-278.648158169875</v>
      </c>
    </row>
    <row r="60" customFormat="false" ht="15" hidden="false" customHeight="false" outlineLevel="0" collapsed="false">
      <c r="A60" s="21" t="s">
        <v>440</v>
      </c>
      <c r="B60" s="2" t="s">
        <v>441</v>
      </c>
      <c r="C60" s="23" t="n">
        <f aca="false">((C57+C58)+C59)</f>
        <v>77.0650454246445</v>
      </c>
      <c r="D60" s="23" t="n">
        <f aca="false">((D57+D58)+D59)</f>
        <v>124.950269858582</v>
      </c>
      <c r="E60" s="23" t="n">
        <f aca="false">((E57+E58)+E59)</f>
        <v>170.066187448163</v>
      </c>
      <c r="F60" s="23" t="n">
        <f aca="false">((F57+F58)+F59)</f>
        <v>216.412303553299</v>
      </c>
      <c r="G60" s="23" t="n">
        <f aca="false">((G57+G58)+G59)</f>
        <v>260.224385619635</v>
      </c>
      <c r="H60" s="23" t="n">
        <f aca="false">((H57+H58)+H59)</f>
        <v>303.059016922191</v>
      </c>
      <c r="I60" s="23" t="n">
        <f aca="false">((I57+I58)+I59)</f>
        <v>345.353694720577</v>
      </c>
      <c r="J60" s="23" t="n">
        <f aca="false">((J57+J58)+J59)</f>
        <v>387.472084980589</v>
      </c>
      <c r="K60" s="23" t="n">
        <f aca="false">((K57+K58)+K59)</f>
        <v>429.723774940167</v>
      </c>
      <c r="L60" s="23" t="n">
        <f aca="false">((L57+L58)+L59)</f>
        <v>472.374363916199</v>
      </c>
      <c r="M60" s="23" t="n">
        <f aca="false">((M57+M58)+M59)</f>
        <v>515.653729937268</v>
      </c>
      <c r="N60" s="23" t="n">
        <f aca="false">((N57+N58)+N59)</f>
        <v>559.762842485321</v>
      </c>
      <c r="O60" s="23" t="n">
        <f aca="false">((O57+O58)+O59)</f>
        <v>590.627974560853</v>
      </c>
      <c r="P60" s="23" t="n">
        <f aca="false">((P57+P58)+P59)</f>
        <v>622.023143223614</v>
      </c>
      <c r="Q60" s="23" t="n">
        <f aca="false">((Q57+Q58)+Q59)</f>
        <v>654.173891538792</v>
      </c>
      <c r="R60" s="23" t="n">
        <f aca="false">((R57+R58)+R59)</f>
        <v>686.613725547203</v>
      </c>
      <c r="S60" s="23" t="n">
        <f aca="false">((S57+S58)+S59)</f>
        <v>720.000842204933</v>
      </c>
      <c r="T60" s="23" t="n">
        <f aca="false">((T57+T58)+T59)</f>
        <v>754.432581809038</v>
      </c>
      <c r="U60" s="23" t="n">
        <f aca="false">((U57+U58)+U59)</f>
        <v>789.996095101621</v>
      </c>
      <c r="V60" s="23" t="n">
        <f aca="false">((V57+V58)+V59)</f>
        <v>826.773916916376</v>
      </c>
      <c r="W60" s="23" t="n">
        <f aca="false">((W57+W58)+W59)</f>
        <v>864.845241280683</v>
      </c>
      <c r="X60" s="23" t="n">
        <f aca="false">((X57+X58)+X59)</f>
        <v>904.286962688818</v>
      </c>
      <c r="Y60" s="23" t="n">
        <f aca="false">((Y57+Y58)+Y59)</f>
        <v>945.174550316782</v>
      </c>
      <c r="Z60" s="23" t="n">
        <f aca="false">((Z57+Z58)+Z59)</f>
        <v>987.582785759569</v>
      </c>
      <c r="AA60" s="23" t="n">
        <f aca="false">((AA57+AA58)+AA59)</f>
        <v>1027.36868624462</v>
      </c>
      <c r="AB60" s="23" t="n">
        <f aca="false">((AB57+AB58)+AB59)</f>
        <v>1068.63751938545</v>
      </c>
      <c r="AC60" s="23" t="n">
        <f aca="false">((AC57+AC58)+AC59)</f>
        <v>1111.48951724831</v>
      </c>
      <c r="AD60" s="23" t="n">
        <f aca="false">((AD57+AD58)+AD59)</f>
        <v>1155.82488396489</v>
      </c>
      <c r="AE60" s="23" t="n">
        <f aca="false">((AE57+AE58)+AE59)</f>
        <v>1201.88106543623</v>
      </c>
      <c r="AF60" s="23" t="n">
        <f aca="false">((AF57+AF58)+AF59)</f>
        <v>1249.73352238977</v>
      </c>
      <c r="AG60" s="23" t="n">
        <f aca="false">((AG57+AG58)+AG59)</f>
        <v>1299.45847313305</v>
      </c>
      <c r="AH60" s="23" t="n">
        <f aca="false">((AH57+AH58)+AH59)</f>
        <v>1351.13435219729</v>
      </c>
      <c r="AI60" s="23" t="n">
        <f aca="false">((AI57+AI58)+AI59)</f>
        <v>1404.84204993752</v>
      </c>
      <c r="AJ60" s="23" t="n">
        <f aca="false">((AJ57+AJ58)+AJ59)</f>
        <v>1460.66512750381</v>
      </c>
      <c r="AK60" s="23" t="n">
        <f aca="false">((AK57+AK58)+AK59)</f>
        <v>1518.69001979872</v>
      </c>
      <c r="AL60" s="23" t="n">
        <f aca="false">((AL57+AL58)+AL59)</f>
        <v>1579.00622962929</v>
      </c>
    </row>
    <row r="61" customFormat="false" ht="15" hidden="false" customHeight="false" outlineLevel="0" collapsed="false">
      <c r="A61" s="6" t="s">
        <v>442</v>
      </c>
      <c r="B61" s="2" t="s">
        <v>443</v>
      </c>
      <c r="C61" s="14" t="n">
        <f aca="false">(((C41/1000)*Assumptions!$F$51)*Assumptions!$F$54)</f>
        <v>0</v>
      </c>
      <c r="D61" s="14" t="n">
        <f aca="false">(((D41/1000)*Assumptions!$F$51)*Assumptions!$F$54)</f>
        <v>0</v>
      </c>
      <c r="E61" s="14" t="n">
        <f aca="false">(((E41/1000)*Assumptions!$F$51)*Assumptions!$F$54)</f>
        <v>0</v>
      </c>
      <c r="F61" s="14" t="n">
        <f aca="false">(((F41/1000)*Assumptions!$F$51)*Assumptions!$F$54)</f>
        <v>2.54256347413681</v>
      </c>
      <c r="G61" s="14" t="n">
        <f aca="false">(((G41/1000)*Assumptions!$F$51)*Assumptions!$F$54)</f>
        <v>2.72056659364528</v>
      </c>
      <c r="H61" s="14" t="n">
        <f aca="false">(((H41/1000)*Assumptions!$F$51)*Assumptions!$F$54)</f>
        <v>2.89471705525089</v>
      </c>
      <c r="I61" s="14" t="n">
        <f aca="false">(((I41/1000)*Assumptions!$F$51)*Assumptions!$F$54)</f>
        <v>3.06663050583623</v>
      </c>
      <c r="J61" s="14" t="n">
        <f aca="false">(((J41/1000)*Assumptions!$F$51)*Assumptions!$F$54)</f>
        <v>3.23731505808016</v>
      </c>
      <c r="K61" s="14" t="n">
        <f aca="false">(((K41/1000)*Assumptions!$F$51)*Assumptions!$F$54)</f>
        <v>3.40768450203145</v>
      </c>
      <c r="L61" s="14" t="n">
        <f aca="false">(((L41/1000)*Assumptions!$F$51)*Assumptions!$F$54)</f>
        <v>3.57857396820016</v>
      </c>
      <c r="M61" s="14" t="n">
        <f aca="false">(((M41/1000)*Assumptions!$F$51)*Assumptions!$F$54)</f>
        <v>3.75075056357244</v>
      </c>
      <c r="N61" s="14" t="n">
        <f aca="false">(((N41/1000)*Assumptions!$F$51)*Assumptions!$F$54)</f>
        <v>3.92492276212298</v>
      </c>
      <c r="O61" s="14" t="n">
        <f aca="false">(((O41/1000)*Assumptions!$F$51)*Assumptions!$F$54)</f>
        <v>4.10174872387341</v>
      </c>
      <c r="P61" s="14" t="n">
        <f aca="false">(((P41/1000)*Assumptions!$F$51)*Assumptions!$F$54)</f>
        <v>4.28174948231147</v>
      </c>
      <c r="Q61" s="14" t="n">
        <f aca="false">(((Q41/1000)*Assumptions!$F$51)*Assumptions!$F$54)</f>
        <v>4.4655874804338</v>
      </c>
      <c r="R61" s="14" t="n">
        <f aca="false">(((R41/1000)*Assumptions!$F$51)*Assumptions!$F$54)</f>
        <v>4.65381256664805</v>
      </c>
      <c r="S61" s="14" t="n">
        <f aca="false">(((S41/1000)*Assumptions!$F$51)*Assumptions!$F$54)</f>
        <v>4.84694410797297</v>
      </c>
      <c r="T61" s="14" t="n">
        <f aca="false">(((T41/1000)*Assumptions!$F$51)*Assumptions!$F$54)</f>
        <v>5.04548789743617</v>
      </c>
      <c r="U61" s="14" t="n">
        <f aca="false">(((U41/1000)*Assumptions!$F$51)*Assumptions!$F$54)</f>
        <v>5.24992971680568</v>
      </c>
      <c r="V61" s="14" t="n">
        <f aca="false">(((V41/1000)*Assumptions!$F$51)*Assumptions!$F$54)</f>
        <v>5.46074235444296</v>
      </c>
      <c r="W61" s="14" t="n">
        <f aca="false">(((W41/1000)*Assumptions!$F$51)*Assumptions!$F$54)</f>
        <v>5.67838899736639</v>
      </c>
      <c r="X61" s="14" t="n">
        <f aca="false">(((X41/1000)*Assumptions!$F$51)*Assumptions!$F$54)</f>
        <v>5.90332624718596</v>
      </c>
      <c r="Y61" s="14" t="n">
        <f aca="false">(((Y41/1000)*Assumptions!$F$51)*Assumptions!$F$54)</f>
        <v>6.13600684984559</v>
      </c>
      <c r="Z61" s="14" t="n">
        <f aca="false">(((Z41/1000)*Assumptions!$F$51)*Assumptions!$F$54)</f>
        <v>6.37688217680263</v>
      </c>
      <c r="AA61" s="14" t="n">
        <f aca="false">(((AA41/1000)*Assumptions!$F$51)*Assumptions!$F$54)</f>
        <v>6.62640449043553</v>
      </c>
      <c r="AB61" s="14" t="n">
        <f aca="false">(((AB41/1000)*Assumptions!$F$51)*Assumptions!$F$54)</f>
        <v>6.88500152957688</v>
      </c>
      <c r="AC61" s="14" t="n">
        <f aca="false">(((AC41/1000)*Assumptions!$F$51)*Assumptions!$F$54)</f>
        <v>7.15315782100641</v>
      </c>
      <c r="AD61" s="14" t="n">
        <f aca="false">(((AD41/1000)*Assumptions!$F$51)*Assumptions!$F$54)</f>
        <v>7.43134060861476</v>
      </c>
      <c r="AE61" s="14" t="n">
        <f aca="false">(((AE41/1000)*Assumptions!$F$51)*Assumptions!$F$54)</f>
        <v>7.72002397174489</v>
      </c>
      <c r="AF61" s="14" t="n">
        <f aca="false">(((AF41/1000)*Assumptions!$F$51)*Assumptions!$F$54)</f>
        <v>8.01969396964917</v>
      </c>
      <c r="AG61" s="14" t="n">
        <f aca="false">(((AG41/1000)*Assumptions!$F$51)*Assumptions!$F$54)</f>
        <v>8.33084702963344</v>
      </c>
      <c r="AH61" s="14" t="n">
        <f aca="false">(((AH41/1000)*Assumptions!$F$51)*Assumptions!$F$54)</f>
        <v>8.65399231783338</v>
      </c>
      <c r="AI61" s="14" t="n">
        <f aca="false">(((AI41/1000)*Assumptions!$F$51)*Assumptions!$F$54)</f>
        <v>8.98965310314817</v>
      </c>
      <c r="AJ61" s="14" t="n">
        <f aca="false">(((AJ41/1000)*Assumptions!$F$51)*Assumptions!$F$54)</f>
        <v>9.33836806045568</v>
      </c>
      <c r="AK61" s="14" t="n">
        <f aca="false">(((AK41/1000)*Assumptions!$F$51)*Assumptions!$F$54)</f>
        <v>9.700692537245</v>
      </c>
      <c r="AL61" s="14" t="n">
        <f aca="false">(((AL41/1000)*Assumptions!$F$51)*Assumptions!$F$54)</f>
        <v>10.0771997929336</v>
      </c>
    </row>
    <row r="62" customFormat="false" ht="15" hidden="false" customHeight="false" outlineLevel="0" collapsed="false">
      <c r="A62" s="6" t="s">
        <v>444</v>
      </c>
      <c r="B62" s="2" t="s">
        <v>445</v>
      </c>
      <c r="C62" s="14" t="n">
        <f aca="false">(((C42/1000)*Assumptions!$F$52)*Assumptions!$F$54)</f>
        <v>0</v>
      </c>
      <c r="D62" s="14" t="n">
        <f aca="false">(((D42/1000)*Assumptions!$F$52)*Assumptions!$F$54)</f>
        <v>0</v>
      </c>
      <c r="E62" s="14" t="n">
        <f aca="false">(((E42/1000)*Assumptions!$F$52)*Assumptions!$F$54)</f>
        <v>0</v>
      </c>
      <c r="F62" s="14" t="n">
        <f aca="false">(((F42/1000)*Assumptions!$F$52)*Assumptions!$F$54)</f>
        <v>1.35603385287296</v>
      </c>
      <c r="G62" s="14" t="n">
        <f aca="false">(((G42/1000)*Assumptions!$F$52)*Assumptions!$F$54)</f>
        <v>1.45096884994415</v>
      </c>
      <c r="H62" s="14" t="n">
        <f aca="false">(((H42/1000)*Assumptions!$F$52)*Assumptions!$F$54)</f>
        <v>1.54384909613381</v>
      </c>
      <c r="I62" s="14" t="n">
        <f aca="false">(((I42/1000)*Assumptions!$F$52)*Assumptions!$F$54)</f>
        <v>1.63553626977932</v>
      </c>
      <c r="J62" s="14" t="n">
        <f aca="false">(((J42/1000)*Assumptions!$F$52)*Assumptions!$F$54)</f>
        <v>1.72656803097608</v>
      </c>
      <c r="K62" s="14" t="n">
        <f aca="false">(((K42/1000)*Assumptions!$F$52)*Assumptions!$F$54)</f>
        <v>1.81743173441678</v>
      </c>
      <c r="L62" s="14" t="n">
        <f aca="false">(((L42/1000)*Assumptions!$F$52)*Assumptions!$F$54)</f>
        <v>1.90857278304008</v>
      </c>
      <c r="M62" s="14" t="n">
        <f aca="false">(((M42/1000)*Assumptions!$F$52)*Assumptions!$F$54)</f>
        <v>2.00040030057197</v>
      </c>
      <c r="N62" s="14" t="n">
        <f aca="false">(((N42/1000)*Assumptions!$F$52)*Assumptions!$F$54)</f>
        <v>2.09329213979893</v>
      </c>
      <c r="O62" s="14" t="n">
        <f aca="false">(((O42/1000)*Assumptions!$F$52)*Assumptions!$F$54)</f>
        <v>2.18759931939915</v>
      </c>
      <c r="P62" s="14" t="n">
        <f aca="false">(((P42/1000)*Assumptions!$F$52)*Assumptions!$F$54)</f>
        <v>2.28359972389945</v>
      </c>
      <c r="Q62" s="14" t="n">
        <f aca="false">(((Q42/1000)*Assumptions!$F$52)*Assumptions!$F$54)</f>
        <v>2.38164665623136</v>
      </c>
      <c r="R62" s="14" t="n">
        <f aca="false">(((R42/1000)*Assumptions!$F$52)*Assumptions!$F$54)</f>
        <v>2.48203336887896</v>
      </c>
      <c r="S62" s="14" t="n">
        <f aca="false">(((S42/1000)*Assumptions!$F$52)*Assumptions!$F$54)</f>
        <v>2.58503685758559</v>
      </c>
      <c r="T62" s="14" t="n">
        <f aca="false">(((T42/1000)*Assumptions!$F$52)*Assumptions!$F$54)</f>
        <v>2.69092687863262</v>
      </c>
      <c r="U62" s="14" t="n">
        <f aca="false">(((U42/1000)*Assumptions!$F$52)*Assumptions!$F$54)</f>
        <v>2.7999625156297</v>
      </c>
      <c r="V62" s="14" t="n">
        <f aca="false">(((V42/1000)*Assumptions!$F$52)*Assumptions!$F$54)</f>
        <v>2.91239592236958</v>
      </c>
      <c r="W62" s="14" t="n">
        <f aca="false">(((W42/1000)*Assumptions!$F$52)*Assumptions!$F$54)</f>
        <v>3.02847413192874</v>
      </c>
      <c r="X62" s="14" t="n">
        <f aca="false">(((X42/1000)*Assumptions!$F$52)*Assumptions!$F$54)</f>
        <v>3.14844066516585</v>
      </c>
      <c r="Y62" s="14" t="n">
        <f aca="false">(((Y42/1000)*Assumptions!$F$52)*Assumptions!$F$54)</f>
        <v>3.27253698658431</v>
      </c>
      <c r="Z62" s="14" t="n">
        <f aca="false">(((Z42/1000)*Assumptions!$F$52)*Assumptions!$F$54)</f>
        <v>3.40100382762807</v>
      </c>
      <c r="AA62" s="14" t="n">
        <f aca="false">(((AA42/1000)*Assumptions!$F$52)*Assumptions!$F$54)</f>
        <v>3.53408239489895</v>
      </c>
      <c r="AB62" s="14" t="n">
        <f aca="false">(((AB42/1000)*Assumptions!$F$52)*Assumptions!$F$54)</f>
        <v>3.67200081577434</v>
      </c>
      <c r="AC62" s="14" t="n">
        <f aca="false">(((AC42/1000)*Assumptions!$F$52)*Assumptions!$F$54)</f>
        <v>3.81501750453675</v>
      </c>
      <c r="AD62" s="14" t="n">
        <f aca="false">(((AD42/1000)*Assumptions!$F$52)*Assumptions!$F$54)</f>
        <v>3.96338165792787</v>
      </c>
      <c r="AE62" s="14" t="n">
        <f aca="false">(((AE42/1000)*Assumptions!$F$52)*Assumptions!$F$54)</f>
        <v>4.11734611826394</v>
      </c>
      <c r="AF62" s="14" t="n">
        <f aca="false">(((AF42/1000)*Assumptions!$F$52)*Assumptions!$F$54)</f>
        <v>4.27717011714623</v>
      </c>
      <c r="AG62" s="14" t="n">
        <f aca="false">(((AG42/1000)*Assumptions!$F$52)*Assumptions!$F$54)</f>
        <v>4.4431184158045</v>
      </c>
      <c r="AH62" s="14" t="n">
        <f aca="false">(((AH42/1000)*Assumptions!$F$52)*Assumptions!$F$54)</f>
        <v>4.61546256951114</v>
      </c>
      <c r="AI62" s="14" t="n">
        <f aca="false">(((AI42/1000)*Assumptions!$F$52)*Assumptions!$F$54)</f>
        <v>4.79448165501236</v>
      </c>
      <c r="AJ62" s="14" t="n">
        <f aca="false">(((AJ42/1000)*Assumptions!$F$52)*Assumptions!$F$54)</f>
        <v>4.98046296557636</v>
      </c>
      <c r="AK62" s="14" t="n">
        <f aca="false">(((AK42/1000)*Assumptions!$F$52)*Assumptions!$F$54)</f>
        <v>5.17370268653067</v>
      </c>
      <c r="AL62" s="14" t="n">
        <f aca="false">(((AL42/1000)*Assumptions!$F$52)*Assumptions!$F$54)</f>
        <v>5.37450655623123</v>
      </c>
    </row>
    <row r="63" customFormat="false" ht="15" hidden="false" customHeight="false" outlineLevel="0" collapsed="false">
      <c r="A63" s="6" t="s">
        <v>446</v>
      </c>
      <c r="B63" s="2" t="s">
        <v>447</v>
      </c>
      <c r="C63" s="14" t="n">
        <f aca="false">(((C43/1000)*Assumptions!$F$53)*Assumptions!$F$54)</f>
        <v>0</v>
      </c>
      <c r="D63" s="14" t="n">
        <f aca="false">(((D43/1000)*Assumptions!$F$53)*Assumptions!$F$54)</f>
        <v>0</v>
      </c>
      <c r="E63" s="14" t="n">
        <f aca="false">(((E43/1000)*Assumptions!$F$53)*Assumptions!$F$54)</f>
        <v>0</v>
      </c>
      <c r="F63" s="14" t="n">
        <f aca="false">(((F43/1000)*Assumptions!$F$53)*Assumptions!$F$54)</f>
        <v>1.35603385287296</v>
      </c>
      <c r="G63" s="14" t="n">
        <f aca="false">(((G43/1000)*Assumptions!$F$53)*Assumptions!$F$54)</f>
        <v>1.45096884994415</v>
      </c>
      <c r="H63" s="14" t="n">
        <f aca="false">(((H43/1000)*Assumptions!$F$53)*Assumptions!$F$54)</f>
        <v>1.54384909613381</v>
      </c>
      <c r="I63" s="14" t="n">
        <f aca="false">(((I43/1000)*Assumptions!$F$53)*Assumptions!$F$54)</f>
        <v>1.63553626977932</v>
      </c>
      <c r="J63" s="14" t="n">
        <f aca="false">(((J43/1000)*Assumptions!$F$53)*Assumptions!$F$54)</f>
        <v>1.72656803097608</v>
      </c>
      <c r="K63" s="14" t="n">
        <f aca="false">(((K43/1000)*Assumptions!$F$53)*Assumptions!$F$54)</f>
        <v>1.81743173441678</v>
      </c>
      <c r="L63" s="14" t="n">
        <f aca="false">(((L43/1000)*Assumptions!$F$53)*Assumptions!$F$54)</f>
        <v>1.90857278304008</v>
      </c>
      <c r="M63" s="14" t="n">
        <f aca="false">(((M43/1000)*Assumptions!$F$53)*Assumptions!$F$54)</f>
        <v>2.00040030057197</v>
      </c>
      <c r="N63" s="14" t="n">
        <f aca="false">(((N43/1000)*Assumptions!$F$53)*Assumptions!$F$54)</f>
        <v>2.09329213979893</v>
      </c>
      <c r="O63" s="14" t="n">
        <f aca="false">(((O43/1000)*Assumptions!$F$53)*Assumptions!$F$54)</f>
        <v>2.18759931939915</v>
      </c>
      <c r="P63" s="14" t="n">
        <f aca="false">(((P43/1000)*Assumptions!$F$53)*Assumptions!$F$54)</f>
        <v>2.28359972389945</v>
      </c>
      <c r="Q63" s="14" t="n">
        <f aca="false">(((Q43/1000)*Assumptions!$F$53)*Assumptions!$F$54)</f>
        <v>2.38164665623136</v>
      </c>
      <c r="R63" s="14" t="n">
        <f aca="false">(((R43/1000)*Assumptions!$F$53)*Assumptions!$F$54)</f>
        <v>2.48203336887896</v>
      </c>
      <c r="S63" s="14" t="n">
        <f aca="false">(((S43/1000)*Assumptions!$F$53)*Assumptions!$F$54)</f>
        <v>2.58503685758559</v>
      </c>
      <c r="T63" s="14" t="n">
        <f aca="false">(((T43/1000)*Assumptions!$F$53)*Assumptions!$F$54)</f>
        <v>2.69092687863262</v>
      </c>
      <c r="U63" s="14" t="n">
        <f aca="false">(((U43/1000)*Assumptions!$F$53)*Assumptions!$F$54)</f>
        <v>2.7999625156297</v>
      </c>
      <c r="V63" s="14" t="n">
        <f aca="false">(((V43/1000)*Assumptions!$F$53)*Assumptions!$F$54)</f>
        <v>2.91239592236958</v>
      </c>
      <c r="W63" s="14" t="n">
        <f aca="false">(((W43/1000)*Assumptions!$F$53)*Assumptions!$F$54)</f>
        <v>3.02847413192874</v>
      </c>
      <c r="X63" s="14" t="n">
        <f aca="false">(((X43/1000)*Assumptions!$F$53)*Assumptions!$F$54)</f>
        <v>3.14844066516585</v>
      </c>
      <c r="Y63" s="14" t="n">
        <f aca="false">(((Y43/1000)*Assumptions!$F$53)*Assumptions!$F$54)</f>
        <v>3.27253698658431</v>
      </c>
      <c r="Z63" s="14" t="n">
        <f aca="false">(((Z43/1000)*Assumptions!$F$53)*Assumptions!$F$54)</f>
        <v>3.40100382762807</v>
      </c>
      <c r="AA63" s="14" t="n">
        <f aca="false">(((AA43/1000)*Assumptions!$F$53)*Assumptions!$F$54)</f>
        <v>3.53408239489895</v>
      </c>
      <c r="AB63" s="14" t="n">
        <f aca="false">(((AB43/1000)*Assumptions!$F$53)*Assumptions!$F$54)</f>
        <v>3.67200081577434</v>
      </c>
      <c r="AC63" s="14" t="n">
        <f aca="false">(((AC43/1000)*Assumptions!$F$53)*Assumptions!$F$54)</f>
        <v>3.81501750453675</v>
      </c>
      <c r="AD63" s="14" t="n">
        <f aca="false">(((AD43/1000)*Assumptions!$F$53)*Assumptions!$F$54)</f>
        <v>3.96338165792787</v>
      </c>
      <c r="AE63" s="14" t="n">
        <f aca="false">(((AE43/1000)*Assumptions!$F$53)*Assumptions!$F$54)</f>
        <v>4.11734611826394</v>
      </c>
      <c r="AF63" s="14" t="n">
        <f aca="false">(((AF43/1000)*Assumptions!$F$53)*Assumptions!$F$54)</f>
        <v>4.27717011714623</v>
      </c>
      <c r="AG63" s="14" t="n">
        <f aca="false">(((AG43/1000)*Assumptions!$F$53)*Assumptions!$F$54)</f>
        <v>4.4431184158045</v>
      </c>
      <c r="AH63" s="14" t="n">
        <f aca="false">(((AH43/1000)*Assumptions!$F$53)*Assumptions!$F$54)</f>
        <v>4.61546256951114</v>
      </c>
      <c r="AI63" s="14" t="n">
        <f aca="false">(((AI43/1000)*Assumptions!$F$53)*Assumptions!$F$54)</f>
        <v>4.79448165501236</v>
      </c>
      <c r="AJ63" s="14" t="n">
        <f aca="false">(((AJ43/1000)*Assumptions!$F$53)*Assumptions!$F$54)</f>
        <v>4.98046296557636</v>
      </c>
      <c r="AK63" s="14" t="n">
        <f aca="false">(((AK43/1000)*Assumptions!$F$53)*Assumptions!$F$54)</f>
        <v>5.17370268653067</v>
      </c>
      <c r="AL63" s="14" t="n">
        <f aca="false">(((AL43/1000)*Assumptions!$F$53)*Assumptions!$F$54)</f>
        <v>5.37450655623123</v>
      </c>
    </row>
    <row r="64" customFormat="false" ht="15" hidden="false" customHeight="false" outlineLevel="0" collapsed="false">
      <c r="A64" s="21" t="s">
        <v>448</v>
      </c>
      <c r="B64" s="2" t="s">
        <v>449</v>
      </c>
      <c r="C64" s="23" t="n">
        <f aca="false">((C61+C62)+C63)</f>
        <v>0</v>
      </c>
      <c r="D64" s="23" t="n">
        <f aca="false">((D61+D62)+D63)</f>
        <v>0</v>
      </c>
      <c r="E64" s="23" t="n">
        <f aca="false">((E61+E62)+E63)</f>
        <v>0</v>
      </c>
      <c r="F64" s="23" t="n">
        <f aca="false">((F61+F62)+F63)</f>
        <v>5.25463117988274</v>
      </c>
      <c r="G64" s="23" t="n">
        <f aca="false">((G61+G62)+G63)</f>
        <v>5.62250429353359</v>
      </c>
      <c r="H64" s="23" t="n">
        <f aca="false">((H61+H62)+H63)</f>
        <v>5.98241524751851</v>
      </c>
      <c r="I64" s="23" t="n">
        <f aca="false">((I61+I62)+I63)</f>
        <v>6.33770304539487</v>
      </c>
      <c r="J64" s="23" t="n">
        <f aca="false">((J61+J62)+J63)</f>
        <v>6.69045112003232</v>
      </c>
      <c r="K64" s="23" t="n">
        <f aca="false">((K61+K62)+K63)</f>
        <v>7.042547970865</v>
      </c>
      <c r="L64" s="23" t="n">
        <f aca="false">((L61+L62)+L63)</f>
        <v>7.39571953428032</v>
      </c>
      <c r="M64" s="23" t="n">
        <f aca="false">((M61+M62)+M63)</f>
        <v>7.75155116471638</v>
      </c>
      <c r="N64" s="23" t="n">
        <f aca="false">((N61+N62)+N63)</f>
        <v>8.11150704172083</v>
      </c>
      <c r="O64" s="23" t="n">
        <f aca="false">((O61+O62)+O63)</f>
        <v>8.47694736267172</v>
      </c>
      <c r="P64" s="23" t="n">
        <f aca="false">((P61+P62)+P63)</f>
        <v>8.84894893011037</v>
      </c>
      <c r="Q64" s="23" t="n">
        <f aca="false">((Q61+Q62)+Q63)</f>
        <v>9.22888079289652</v>
      </c>
      <c r="R64" s="23" t="n">
        <f aca="false">((R61+R62)+R63)</f>
        <v>9.61787930440596</v>
      </c>
      <c r="S64" s="23" t="n">
        <f aca="false">((S61+S62)+S63)</f>
        <v>10.0170178231441</v>
      </c>
      <c r="T64" s="23" t="n">
        <f aca="false">((T61+T62)+T63)</f>
        <v>10.4273416547014</v>
      </c>
      <c r="U64" s="23" t="n">
        <f aca="false">((U61+U62)+U63)</f>
        <v>10.8498547480651</v>
      </c>
      <c r="V64" s="23" t="n">
        <f aca="false">((V61+V62)+V63)</f>
        <v>11.2855341991821</v>
      </c>
      <c r="W64" s="23" t="n">
        <f aca="false">((W61+W62)+W63)</f>
        <v>11.7353372612239</v>
      </c>
      <c r="X64" s="23" t="n">
        <f aca="false">((X61+X62)+X63)</f>
        <v>12.2002075775177</v>
      </c>
      <c r="Y64" s="23" t="n">
        <f aca="false">((Y61+Y62)+Y63)</f>
        <v>12.6810808230142</v>
      </c>
      <c r="Z64" s="23" t="n">
        <f aca="false">((Z61+Z62)+Z63)</f>
        <v>13.1788898320588</v>
      </c>
      <c r="AA64" s="23" t="n">
        <f aca="false">((AA61+AA62)+AA63)</f>
        <v>13.6945692802334</v>
      </c>
      <c r="AB64" s="23" t="n">
        <f aca="false">((AB61+AB62)+AB63)</f>
        <v>14.2290031611256</v>
      </c>
      <c r="AC64" s="23" t="n">
        <f aca="false">((AC61+AC62)+AC63)</f>
        <v>14.7831928300799</v>
      </c>
      <c r="AD64" s="23" t="n">
        <f aca="false">((AD61+AD62)+AD63)</f>
        <v>15.3581039244705</v>
      </c>
      <c r="AE64" s="23" t="n">
        <f aca="false">((AE61+AE62)+AE63)</f>
        <v>15.9547162082728</v>
      </c>
      <c r="AF64" s="23" t="n">
        <f aca="false">((AF61+AF62)+AF63)</f>
        <v>16.5740342039416</v>
      </c>
      <c r="AG64" s="23" t="n">
        <f aca="false">((AG61+AG62)+AG63)</f>
        <v>17.2170838612424</v>
      </c>
      <c r="AH64" s="23" t="n">
        <f aca="false">((AH61+AH62)+AH63)</f>
        <v>17.8849174568557</v>
      </c>
      <c r="AI64" s="23" t="n">
        <f aca="false">((AI61+AI62)+AI63)</f>
        <v>18.5786164131729</v>
      </c>
      <c r="AJ64" s="23" t="n">
        <f aca="false">((AJ61+AJ62)+AJ63)</f>
        <v>19.2992939916084</v>
      </c>
      <c r="AK64" s="23" t="n">
        <f aca="false">((AK61+AK62)+AK63)</f>
        <v>20.0480979103063</v>
      </c>
      <c r="AL64" s="23" t="n">
        <f aca="false">((AL61+AL62)+AL63)</f>
        <v>20.826212905396</v>
      </c>
    </row>
    <row r="65" customFormat="false" ht="15" hidden="false" customHeight="false" outlineLevel="0" collapsed="false">
      <c r="A65" s="6" t="s">
        <v>450</v>
      </c>
      <c r="B65" s="2" t="s">
        <v>451</v>
      </c>
      <c r="C65" s="14" t="n">
        <f aca="false">(C45*Assumptions!$F$59)</f>
        <v>0</v>
      </c>
      <c r="D65" s="14" t="n">
        <f aca="false">(D45*Assumptions!$F$59)</f>
        <v>0</v>
      </c>
      <c r="E65" s="14" t="n">
        <f aca="false">(E45*Assumptions!$F$59)</f>
        <v>0</v>
      </c>
      <c r="F65" s="14" t="n">
        <f aca="false">(F45*Assumptions!$F$59)</f>
        <v>0</v>
      </c>
      <c r="G65" s="14" t="n">
        <f aca="false">(G45*Assumptions!$F$59)</f>
        <v>0</v>
      </c>
      <c r="H65" s="14" t="n">
        <f aca="false">(H45*Assumptions!$F$59)</f>
        <v>0</v>
      </c>
      <c r="I65" s="14" t="n">
        <f aca="false">(I45*Assumptions!$F$59)</f>
        <v>1.86212691645231</v>
      </c>
      <c r="J65" s="14" t="n">
        <f aca="false">(J45*Assumptions!$F$59)</f>
        <v>1.97561293893804</v>
      </c>
      <c r="K65" s="14" t="n">
        <f aca="false">(K45*Assumptions!$F$59)</f>
        <v>2.0891984577928</v>
      </c>
      <c r="L65" s="14" t="n">
        <f aca="false">(L45*Assumptions!$F$59)</f>
        <v>2.20342848620284</v>
      </c>
      <c r="M65" s="14" t="n">
        <f aca="false">(M45*Assumptions!$F$59)</f>
        <v>2.31880177235144</v>
      </c>
      <c r="N65" s="14" t="n">
        <f aca="false">(N45*Assumptions!$F$59)</f>
        <v>2.43577766764202</v>
      </c>
      <c r="O65" s="14" t="n">
        <f aca="false">(O45*Assumptions!$F$59)</f>
        <v>2.5479551119431</v>
      </c>
      <c r="P65" s="14" t="n">
        <f aca="false">(P45*Assumptions!$F$59)</f>
        <v>2.66220124395724</v>
      </c>
      <c r="Q65" s="14" t="n">
        <f aca="false">(Q45*Assumptions!$F$59)</f>
        <v>2.77897637616443</v>
      </c>
      <c r="R65" s="14" t="n">
        <f aca="false">(R45*Assumptions!$F$59)</f>
        <v>2.89834909723484</v>
      </c>
      <c r="S65" s="14" t="n">
        <f aca="false">(S45*Assumptions!$F$59)</f>
        <v>3.02091226596848</v>
      </c>
      <c r="T65" s="14" t="n">
        <f aca="false">(T45*Assumptions!$F$59)</f>
        <v>3.1469845554664</v>
      </c>
      <c r="U65" s="14" t="n">
        <f aca="false">(U45*Assumptions!$F$59)</f>
        <v>3.27687020544692</v>
      </c>
      <c r="V65" s="14" t="n">
        <f aca="false">(V45*Assumptions!$F$59)</f>
        <v>3.41086530249088</v>
      </c>
      <c r="W65" s="14" t="n">
        <f aca="false">(W45*Assumptions!$F$59)</f>
        <v>3.5492600179113</v>
      </c>
      <c r="X65" s="14" t="n">
        <f aca="false">(X45*Assumptions!$F$59)</f>
        <v>3.69234057239056</v>
      </c>
      <c r="Y65" s="14" t="n">
        <f aca="false">(Y45*Assumptions!$F$59)</f>
        <v>3.84039100084749</v>
      </c>
      <c r="Z65" s="14" t="n">
        <f aca="false">(Z45*Assumptions!$F$59)</f>
        <v>3.99369474581621</v>
      </c>
      <c r="AA65" s="14" t="n">
        <f aca="false">(AA45*Assumptions!$F$59)</f>
        <v>4.1505433766181</v>
      </c>
      <c r="AB65" s="14" t="n">
        <f aca="false">(AB45*Assumptions!$F$59)</f>
        <v>4.31311202798842</v>
      </c>
      <c r="AC65" s="14" t="n">
        <f aca="false">(AC45*Assumptions!$F$59)</f>
        <v>4.48171570119544</v>
      </c>
      <c r="AD65" s="14" t="n">
        <f aca="false">(AD45*Assumptions!$F$59)</f>
        <v>4.65656525552263</v>
      </c>
      <c r="AE65" s="14" t="n">
        <f aca="false">(AE45*Assumptions!$F$59)</f>
        <v>4.83803480182677</v>
      </c>
      <c r="AF65" s="14" t="n">
        <f aca="false">(AF45*Assumptions!$F$59)</f>
        <v>5.02642867659357</v>
      </c>
      <c r="AG65" s="14" t="n">
        <f aca="false">(AG45*Assumptions!$F$59)</f>
        <v>5.2220573842966</v>
      </c>
      <c r="AH65" s="14" t="n">
        <f aca="false">(AH45*Assumptions!$F$59)</f>
        <v>5.42523958713227</v>
      </c>
      <c r="AI65" s="14" t="n">
        <f aca="false">(AI45*Assumptions!$F$59)</f>
        <v>5.63630295590912</v>
      </c>
      <c r="AJ65" s="14" t="n">
        <f aca="false">(AJ45*Assumptions!$F$59)</f>
        <v>5.85558497922658</v>
      </c>
      <c r="AK65" s="14" t="n">
        <f aca="false">(AK45*Assumptions!$F$59)</f>
        <v>6.0834337496775</v>
      </c>
      <c r="AL65" s="14" t="n">
        <f aca="false">(AL45*Assumptions!$F$59)</f>
        <v>6.3202087331265</v>
      </c>
    </row>
    <row r="66" customFormat="false" ht="15" hidden="false" customHeight="false" outlineLevel="0" collapsed="false">
      <c r="A66" s="6" t="s">
        <v>452</v>
      </c>
      <c r="B66" s="2" t="s">
        <v>453</v>
      </c>
      <c r="C66" s="14" t="n">
        <f aca="false">(((C46*Assumptions!$F$64)/12)+((C47*Assumptions!$F$67)/12))</f>
        <v>0</v>
      </c>
      <c r="D66" s="14" t="n">
        <f aca="false">(((D46*Assumptions!$F$64)/12)+((D47*Assumptions!$F$67)/12))</f>
        <v>0</v>
      </c>
      <c r="E66" s="14" t="n">
        <f aca="false">(((E46*Assumptions!$F$64)/12)+((E47*Assumptions!$F$67)/12))</f>
        <v>0</v>
      </c>
      <c r="F66" s="14" t="n">
        <f aca="false">(((F46*Assumptions!$F$64)/12)+((F47*Assumptions!$F$67)/12))</f>
        <v>0</v>
      </c>
      <c r="G66" s="14" t="n">
        <f aca="false">(((G46*Assumptions!$F$64)/12)+((G47*Assumptions!$F$67)/12))</f>
        <v>0</v>
      </c>
      <c r="H66" s="14" t="n">
        <f aca="false">(((H46*Assumptions!$F$64)/12)+((H47*Assumptions!$F$67)/12))</f>
        <v>0</v>
      </c>
      <c r="I66" s="14" t="n">
        <f aca="false">(((I46*Assumptions!$F$64)/12)+((I47*Assumptions!$F$67)/12))</f>
        <v>0</v>
      </c>
      <c r="J66" s="14" t="n">
        <f aca="false">(((J46*Assumptions!$F$64)/12)+((J47*Assumptions!$F$67)/12))</f>
        <v>0</v>
      </c>
      <c r="K66" s="14" t="n">
        <f aca="false">(((K46*Assumptions!$F$64)/12)+((K47*Assumptions!$F$67)/12))</f>
        <v>0</v>
      </c>
      <c r="L66" s="14" t="n">
        <f aca="false">(((L46*Assumptions!$F$64)/12)+((L47*Assumptions!$F$67)/12))</f>
        <v>0</v>
      </c>
      <c r="M66" s="14" t="n">
        <f aca="false">(((M46*Assumptions!$F$64)/12)+((M47*Assumptions!$F$67)/12))</f>
        <v>0</v>
      </c>
      <c r="N66" s="14" t="n">
        <f aca="false">(((N46*Assumptions!$F$64)/12)+((N47*Assumptions!$F$67)/12))</f>
        <v>0</v>
      </c>
      <c r="O66" s="14" t="n">
        <f aca="false">(((O46*Assumptions!$F$64)/12)+((O47*Assumptions!$F$67)/12))</f>
        <v>0</v>
      </c>
      <c r="P66" s="14" t="n">
        <f aca="false">(((P46*Assumptions!$F$64)/12)+((P47*Assumptions!$F$67)/12))</f>
        <v>0</v>
      </c>
      <c r="Q66" s="14" t="n">
        <f aca="false">(((Q46*Assumptions!$F$64)/12)+((Q47*Assumptions!$F$67)/12))</f>
        <v>0</v>
      </c>
      <c r="R66" s="14" t="n">
        <f aca="false">(((R46*Assumptions!$F$64)/12)+((R47*Assumptions!$F$67)/12))</f>
        <v>0</v>
      </c>
      <c r="S66" s="14" t="n">
        <f aca="false">(((S46*Assumptions!$F$64)/12)+((S47*Assumptions!$F$67)/12))</f>
        <v>0</v>
      </c>
      <c r="T66" s="14" t="n">
        <f aca="false">(((T46*Assumptions!$F$64)/12)+((T47*Assumptions!$F$67)/12))</f>
        <v>0</v>
      </c>
      <c r="U66" s="14" t="n">
        <f aca="false">(((U46*Assumptions!$F$64)/12)+((U47*Assumptions!$F$67)/12))</f>
        <v>0</v>
      </c>
      <c r="V66" s="14" t="n">
        <f aca="false">(((V46*Assumptions!$F$64)/12)+((V47*Assumptions!$F$67)/12))</f>
        <v>0</v>
      </c>
      <c r="W66" s="14" t="n">
        <f aca="false">(((W46*Assumptions!$F$64)/12)+((W47*Assumptions!$F$67)/12))</f>
        <v>0</v>
      </c>
      <c r="X66" s="14" t="n">
        <f aca="false">(((X46*Assumptions!$F$64)/12)+((X47*Assumptions!$F$67)/12))</f>
        <v>0</v>
      </c>
      <c r="Y66" s="14" t="n">
        <f aca="false">(((Y46*Assumptions!$F$64)/12)+((Y47*Assumptions!$F$67)/12))</f>
        <v>0</v>
      </c>
      <c r="Z66" s="14" t="n">
        <f aca="false">(((Z46*Assumptions!$F$64)/12)+((Z47*Assumptions!$F$67)/12))</f>
        <v>0</v>
      </c>
      <c r="AA66" s="14" t="n">
        <f aca="false">(((AA46*Assumptions!$F$64)/12)+((AA47*Assumptions!$F$67)/12))</f>
        <v>0</v>
      </c>
      <c r="AB66" s="14" t="n">
        <f aca="false">(((AB46*Assumptions!$F$64)/12)+((AB47*Assumptions!$F$67)/12))</f>
        <v>0</v>
      </c>
      <c r="AC66" s="14" t="n">
        <f aca="false">(((AC46*Assumptions!$F$64)/12)+((AC47*Assumptions!$F$67)/12))</f>
        <v>0</v>
      </c>
      <c r="AD66" s="14" t="n">
        <f aca="false">(((AD46*Assumptions!$F$64)/12)+((AD47*Assumptions!$F$67)/12))</f>
        <v>0</v>
      </c>
      <c r="AE66" s="14" t="n">
        <f aca="false">(((AE46*Assumptions!$F$64)/12)+((AE47*Assumptions!$F$67)/12))</f>
        <v>0</v>
      </c>
      <c r="AF66" s="14" t="n">
        <f aca="false">(((AF46*Assumptions!$F$64)/12)+((AF47*Assumptions!$F$67)/12))</f>
        <v>0</v>
      </c>
      <c r="AG66" s="14" t="n">
        <f aca="false">(((AG46*Assumptions!$F$64)/12)+((AG47*Assumptions!$F$67)/12))</f>
        <v>0</v>
      </c>
      <c r="AH66" s="14" t="n">
        <f aca="false">(((AH46*Assumptions!$F$64)/12)+((AH47*Assumptions!$F$67)/12))</f>
        <v>0</v>
      </c>
      <c r="AI66" s="14" t="n">
        <f aca="false">(((AI46*Assumptions!$F$64)/12)+((AI47*Assumptions!$F$67)/12))</f>
        <v>0</v>
      </c>
      <c r="AJ66" s="14" t="n">
        <f aca="false">(((AJ46*Assumptions!$F$64)/12)+((AJ47*Assumptions!$F$67)/12))</f>
        <v>0</v>
      </c>
      <c r="AK66" s="14" t="n">
        <f aca="false">(((AK46*Assumptions!$F$64)/12)+((AK47*Assumptions!$F$67)/12))</f>
        <v>0</v>
      </c>
      <c r="AL66" s="14" t="n">
        <f aca="false">(((AL46*Assumptions!$F$64)/12)+((AL47*Assumptions!$F$67)/12))</f>
        <v>0</v>
      </c>
    </row>
    <row r="67" customFormat="false" ht="15" hidden="false" customHeight="false" outlineLevel="0" collapsed="false">
      <c r="A67" s="21" t="s">
        <v>454</v>
      </c>
      <c r="B67" s="2" t="s">
        <v>455</v>
      </c>
      <c r="C67" s="23" t="n">
        <f aca="false">(((C60+C64)+C65)+C66)</f>
        <v>77.0650454246445</v>
      </c>
      <c r="D67" s="23" t="n">
        <f aca="false">(((D60+D64)+D65)+D66)</f>
        <v>124.950269858582</v>
      </c>
      <c r="E67" s="23" t="n">
        <f aca="false">(((E60+E64)+E65)+E66)</f>
        <v>170.066187448163</v>
      </c>
      <c r="F67" s="23" t="n">
        <f aca="false">(((F60+F64)+F65)+F66)</f>
        <v>221.666934733181</v>
      </c>
      <c r="G67" s="23" t="n">
        <f aca="false">(((G60+G64)+G65)+G66)</f>
        <v>265.846889913169</v>
      </c>
      <c r="H67" s="23" t="n">
        <f aca="false">(((H60+H64)+H65)+H66)</f>
        <v>309.041432169709</v>
      </c>
      <c r="I67" s="23" t="n">
        <f aca="false">(((I60+I64)+I65)+I66)</f>
        <v>353.553524682424</v>
      </c>
      <c r="J67" s="23" t="n">
        <f aca="false">(((J60+J64)+J65)+J66)</f>
        <v>396.13814903956</v>
      </c>
      <c r="K67" s="23" t="n">
        <f aca="false">(((K60+K64)+K65)+K66)</f>
        <v>438.855521368825</v>
      </c>
      <c r="L67" s="23" t="n">
        <f aca="false">(((L60+L64)+L65)+L66)</f>
        <v>481.973511936682</v>
      </c>
      <c r="M67" s="23" t="n">
        <f aca="false">(((M60+M64)+M65)+M66)</f>
        <v>525.724082874336</v>
      </c>
      <c r="N67" s="23" t="n">
        <f aca="false">(((N60+N64)+N65)+N66)</f>
        <v>570.310127194684</v>
      </c>
      <c r="O67" s="23" t="n">
        <f aca="false">(((O60+O64)+O65)+O66)</f>
        <v>601.652877035468</v>
      </c>
      <c r="P67" s="23" t="n">
        <f aca="false">(((P60+P64)+P65)+P66)</f>
        <v>633.534293397682</v>
      </c>
      <c r="Q67" s="23" t="n">
        <f aca="false">(((Q60+Q64)+Q65)+Q66)</f>
        <v>666.181748707853</v>
      </c>
      <c r="R67" s="23" t="n">
        <f aca="false">(((R60+R64)+R65)+R66)</f>
        <v>699.129953948844</v>
      </c>
      <c r="S67" s="23" t="n">
        <f aca="false">(((S60+S64)+S65)+S66)</f>
        <v>733.038772294046</v>
      </c>
      <c r="T67" s="23" t="n">
        <f aca="false">(((T60+T64)+T65)+T66)</f>
        <v>768.006908019206</v>
      </c>
      <c r="U67" s="23" t="n">
        <f aca="false">(((U60+U64)+U65)+U66)</f>
        <v>804.122820055133</v>
      </c>
      <c r="V67" s="23" t="n">
        <f aca="false">(((V60+V64)+V65)+V66)</f>
        <v>841.470316418049</v>
      </c>
      <c r="W67" s="23" t="n">
        <f aca="false">(((W60+W64)+W65)+W66)</f>
        <v>880.129838559818</v>
      </c>
      <c r="X67" s="23" t="n">
        <f aca="false">(((X60+X64)+X65)+X66)</f>
        <v>920.179510838726</v>
      </c>
      <c r="Y67" s="23" t="n">
        <f aca="false">(((Y60+Y64)+Y65)+Y66)</f>
        <v>961.696022140644</v>
      </c>
      <c r="Z67" s="23" t="n">
        <f aca="false">(((Z60+Z64)+Z65)+Z66)</f>
        <v>1004.75537033744</v>
      </c>
      <c r="AA67" s="23" t="n">
        <f aca="false">(((AA60+AA64)+AA65)+AA66)</f>
        <v>1045.21379890147</v>
      </c>
      <c r="AB67" s="23" t="n">
        <f aca="false">(((AB60+AB64)+AB65)+AB66)</f>
        <v>1087.17963457456</v>
      </c>
      <c r="AC67" s="23" t="n">
        <f aca="false">(((AC60+AC64)+AC65)+AC66)</f>
        <v>1130.75442577958</v>
      </c>
      <c r="AD67" s="23" t="n">
        <f aca="false">(((AD60+AD64)+AD65)+AD66)</f>
        <v>1175.83955314488</v>
      </c>
      <c r="AE67" s="23" t="n">
        <f aca="false">(((AE60+AE64)+AE65)+AE66)</f>
        <v>1222.67381644633</v>
      </c>
      <c r="AF67" s="23" t="n">
        <f aca="false">(((AF60+AF64)+AF65)+AF66)</f>
        <v>1271.33398527031</v>
      </c>
      <c r="AG67" s="23" t="n">
        <f aca="false">(((AG60+AG64)+AG65)+AG66)</f>
        <v>1321.89761437859</v>
      </c>
      <c r="AH67" s="23" t="n">
        <f aca="false">(((AH60+AH64)+AH65)+AH66)</f>
        <v>1374.44450924128</v>
      </c>
      <c r="AI67" s="23" t="n">
        <f aca="false">(((AI60+AI64)+AI65)+AI66)</f>
        <v>1429.0569693066</v>
      </c>
      <c r="AJ67" s="23" t="n">
        <f aca="false">(((AJ60+AJ64)+AJ65)+AJ66)</f>
        <v>1485.82000647464</v>
      </c>
      <c r="AK67" s="23" t="n">
        <f aca="false">(((AK60+AK64)+AK65)+AK66)</f>
        <v>1544.8215514587</v>
      </c>
      <c r="AL67" s="23" t="n">
        <f aca="false">(((AL60+AL64)+AL65)+AL66)</f>
        <v>1606.15265126782</v>
      </c>
    </row>
    <row r="69" customFormat="false" ht="15" hidden="false" customHeight="false" outlineLevel="0" collapsed="false">
      <c r="A69" s="4" t="s">
        <v>456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</row>
    <row r="70" customFormat="false" ht="15" hidden="false" customHeight="false" outlineLevel="0" collapsed="false">
      <c r="A70" s="6" t="s">
        <v>457</v>
      </c>
      <c r="B70" s="2" t="s">
        <v>458</v>
      </c>
      <c r="C70" s="14" t="n">
        <f aca="false">IF((C36&gt;=Assumptions!$F$72),Assumptions!$F$71,Assumptions!$F$70)</f>
        <v>450</v>
      </c>
      <c r="D70" s="14" t="n">
        <f aca="false">IF((D36&gt;=Assumptions!$F$72),Assumptions!$F$71,Assumptions!$F$70)</f>
        <v>450</v>
      </c>
      <c r="E70" s="14" t="n">
        <f aca="false">IF((E36&gt;=Assumptions!$F$72),Assumptions!$F$71,Assumptions!$F$70)</f>
        <v>450</v>
      </c>
      <c r="F70" s="14" t="n">
        <f aca="false">IF((F36&gt;=Assumptions!$F$72),Assumptions!$F$71,Assumptions!$F$70)</f>
        <v>450</v>
      </c>
      <c r="G70" s="14" t="n">
        <f aca="false">IF((G36&gt;=Assumptions!$F$72),Assumptions!$F$71,Assumptions!$F$70)</f>
        <v>450</v>
      </c>
      <c r="H70" s="14" t="n">
        <f aca="false">IF((H36&gt;=Assumptions!$F$72),Assumptions!$F$71,Assumptions!$F$70)</f>
        <v>450</v>
      </c>
      <c r="I70" s="14" t="n">
        <f aca="false">IF((I36&gt;=Assumptions!$F$72),Assumptions!$F$71,Assumptions!$F$70)</f>
        <v>450</v>
      </c>
      <c r="J70" s="14" t="n">
        <f aca="false">IF((J36&gt;=Assumptions!$F$72),Assumptions!$F$71,Assumptions!$F$70)</f>
        <v>450</v>
      </c>
      <c r="K70" s="14" t="n">
        <f aca="false">IF((K36&gt;=Assumptions!$F$72),Assumptions!$F$71,Assumptions!$F$70)</f>
        <v>450</v>
      </c>
      <c r="L70" s="14" t="n">
        <f aca="false">IF((L36&gt;=Assumptions!$F$72),Assumptions!$F$71,Assumptions!$F$70)</f>
        <v>450</v>
      </c>
      <c r="M70" s="14" t="n">
        <f aca="false">IF((M36&gt;=Assumptions!$F$72),Assumptions!$F$71,Assumptions!$F$70)</f>
        <v>450</v>
      </c>
      <c r="N70" s="14" t="n">
        <f aca="false">IF((N36&gt;=Assumptions!$F$72),Assumptions!$F$71,Assumptions!$F$70)</f>
        <v>450</v>
      </c>
      <c r="O70" s="14" t="n">
        <f aca="false">IF((O36&gt;=Assumptions!$F$72),Assumptions!$F$71,Assumptions!$F$70)</f>
        <v>450</v>
      </c>
      <c r="P70" s="14" t="n">
        <f aca="false">IF((P36&gt;=Assumptions!$F$72),Assumptions!$F$71,Assumptions!$F$70)</f>
        <v>450</v>
      </c>
      <c r="Q70" s="14" t="n">
        <f aca="false">IF((Q36&gt;=Assumptions!$F$72),Assumptions!$F$71,Assumptions!$F$70)</f>
        <v>450</v>
      </c>
      <c r="R70" s="14" t="n">
        <f aca="false">IF((R36&gt;=Assumptions!$F$72),Assumptions!$F$71,Assumptions!$F$70)</f>
        <v>450</v>
      </c>
      <c r="S70" s="14" t="n">
        <f aca="false">IF((S36&gt;=Assumptions!$F$72),Assumptions!$F$71,Assumptions!$F$70)</f>
        <v>450</v>
      </c>
      <c r="T70" s="14" t="n">
        <f aca="false">IF((T36&gt;=Assumptions!$F$72),Assumptions!$F$71,Assumptions!$F$70)</f>
        <v>450</v>
      </c>
      <c r="U70" s="14" t="n">
        <f aca="false">IF((U36&gt;=Assumptions!$F$72),Assumptions!$F$71,Assumptions!$F$70)</f>
        <v>450</v>
      </c>
      <c r="V70" s="14" t="n">
        <f aca="false">IF((V36&gt;=Assumptions!$F$72),Assumptions!$F$71,Assumptions!$F$70)</f>
        <v>450</v>
      </c>
      <c r="W70" s="14" t="n">
        <f aca="false">IF((W36&gt;=Assumptions!$F$72),Assumptions!$F$71,Assumptions!$F$70)</f>
        <v>450</v>
      </c>
      <c r="X70" s="14" t="n">
        <f aca="false">IF((X36&gt;=Assumptions!$F$72),Assumptions!$F$71,Assumptions!$F$70)</f>
        <v>450</v>
      </c>
      <c r="Y70" s="14" t="n">
        <f aca="false">IF((Y36&gt;=Assumptions!$F$72),Assumptions!$F$71,Assumptions!$F$70)</f>
        <v>450</v>
      </c>
      <c r="Z70" s="14" t="n">
        <f aca="false">IF((Z36&gt;=Assumptions!$F$72),Assumptions!$F$71,Assumptions!$F$70)</f>
        <v>450</v>
      </c>
      <c r="AA70" s="14" t="n">
        <f aca="false">IF((AA36&gt;=Assumptions!$F$72),Assumptions!$F$71,Assumptions!$F$70)</f>
        <v>450</v>
      </c>
      <c r="AB70" s="14" t="n">
        <f aca="false">IF((AB36&gt;=Assumptions!$F$72),Assumptions!$F$71,Assumptions!$F$70)</f>
        <v>450</v>
      </c>
      <c r="AC70" s="14" t="n">
        <f aca="false">IF((AC36&gt;=Assumptions!$F$72),Assumptions!$F$71,Assumptions!$F$70)</f>
        <v>450</v>
      </c>
      <c r="AD70" s="14" t="n">
        <f aca="false">IF((AD36&gt;=Assumptions!$F$72),Assumptions!$F$71,Assumptions!$F$70)</f>
        <v>450</v>
      </c>
      <c r="AE70" s="14" t="n">
        <f aca="false">IF((AE36&gt;=Assumptions!$F$72),Assumptions!$F$71,Assumptions!$F$70)</f>
        <v>450</v>
      </c>
      <c r="AF70" s="14" t="n">
        <f aca="false">IF((AF36&gt;=Assumptions!$F$72),Assumptions!$F$71,Assumptions!$F$70)</f>
        <v>450</v>
      </c>
      <c r="AG70" s="14" t="n">
        <f aca="false">IF((AG36&gt;=Assumptions!$F$72),Assumptions!$F$71,Assumptions!$F$70)</f>
        <v>450</v>
      </c>
      <c r="AH70" s="14" t="n">
        <f aca="false">IF((AH36&gt;=Assumptions!$F$72),Assumptions!$F$71,Assumptions!$F$70)</f>
        <v>450</v>
      </c>
      <c r="AI70" s="14" t="n">
        <f aca="false">IF((AI36&gt;=Assumptions!$F$72),Assumptions!$F$71,Assumptions!$F$70)</f>
        <v>450</v>
      </c>
      <c r="AJ70" s="14" t="n">
        <f aca="false">IF((AJ36&gt;=Assumptions!$F$72),Assumptions!$F$71,Assumptions!$F$70)</f>
        <v>450</v>
      </c>
      <c r="AK70" s="14" t="n">
        <f aca="false">IF((AK36&gt;=Assumptions!$F$72),Assumptions!$F$71,Assumptions!$F$70)</f>
        <v>450</v>
      </c>
      <c r="AL70" s="14" t="n">
        <f aca="false">IF((AL36&gt;=Assumptions!$F$72),Assumptions!$F$71,Assumptions!$F$70)</f>
        <v>450</v>
      </c>
    </row>
    <row r="71" customFormat="false" ht="15" hidden="false" customHeight="false" outlineLevel="0" collapsed="false">
      <c r="A71" s="6" t="s">
        <v>459</v>
      </c>
      <c r="B71" s="2" t="s">
        <v>460</v>
      </c>
      <c r="C71" s="14" t="n">
        <f aca="false">(((C49*Assumptions!$F$75)+(C50*Assumptions!$F$78))+(C48*Assumptions!$F$79))</f>
        <v>0</v>
      </c>
      <c r="D71" s="14" t="n">
        <f aca="false">(((D49*Assumptions!$F$75)+(D50*Assumptions!$F$78))+(D48*Assumptions!$F$79))</f>
        <v>0</v>
      </c>
      <c r="E71" s="14" t="n">
        <f aca="false">(((E49*Assumptions!$F$75)+(E50*Assumptions!$F$78))+(E48*Assumptions!$F$79))</f>
        <v>0</v>
      </c>
      <c r="F71" s="14" t="n">
        <f aca="false">(((F49*Assumptions!$F$75)+(F50*Assumptions!$F$78))+(F48*Assumptions!$F$79))</f>
        <v>0</v>
      </c>
      <c r="G71" s="14" t="n">
        <f aca="false">(((G49*Assumptions!$F$75)+(G50*Assumptions!$F$78))+(G48*Assumptions!$F$79))</f>
        <v>0</v>
      </c>
      <c r="H71" s="14" t="n">
        <f aca="false">(((H49*Assumptions!$F$75)+(H50*Assumptions!$F$78))+(H48*Assumptions!$F$79))</f>
        <v>0</v>
      </c>
      <c r="I71" s="14" t="n">
        <f aca="false">(((I49*Assumptions!$F$75)+(I50*Assumptions!$F$78))+(I48*Assumptions!$F$79))</f>
        <v>0</v>
      </c>
      <c r="J71" s="14" t="n">
        <f aca="false">(((J49*Assumptions!$F$75)+(J50*Assumptions!$F$78))+(J48*Assumptions!$F$79))</f>
        <v>0</v>
      </c>
      <c r="K71" s="14" t="n">
        <f aca="false">(((K49*Assumptions!$F$75)+(K50*Assumptions!$F$78))+(K48*Assumptions!$F$79))</f>
        <v>0</v>
      </c>
      <c r="L71" s="14" t="n">
        <f aca="false">(((L49*Assumptions!$F$75)+(L50*Assumptions!$F$78))+(L48*Assumptions!$F$79))</f>
        <v>0</v>
      </c>
      <c r="M71" s="14" t="n">
        <f aca="false">(((M49*Assumptions!$F$75)+(M50*Assumptions!$F$78))+(M48*Assumptions!$F$79))</f>
        <v>0</v>
      </c>
      <c r="N71" s="14" t="n">
        <f aca="false">(((N49*Assumptions!$F$75)+(N50*Assumptions!$F$78))+(N48*Assumptions!$F$79))</f>
        <v>0</v>
      </c>
      <c r="O71" s="14" t="n">
        <f aca="false">(((O49*Assumptions!$F$75)+(O50*Assumptions!$F$78))+(O48*Assumptions!$F$79))</f>
        <v>283.047437052432</v>
      </c>
      <c r="P71" s="14" t="n">
        <f aca="false">(((P49*Assumptions!$F$75)+(P50*Assumptions!$F$78))+(P48*Assumptions!$F$79))</f>
        <v>292.144233249114</v>
      </c>
      <c r="Q71" s="14" t="n">
        <f aca="false">(((Q49*Assumptions!$F$75)+(Q50*Assumptions!$F$78))+(Q48*Assumptions!$F$79))</f>
        <v>301.475865444834</v>
      </c>
      <c r="R71" s="14" t="n">
        <f aca="false">(((R49*Assumptions!$F$75)+(R50*Assumptions!$F$78))+(R48*Assumptions!$F$79))</f>
        <v>310.947447044471</v>
      </c>
      <c r="S71" s="14" t="n">
        <f aca="false">(((S49*Assumptions!$F$75)+(S50*Assumptions!$F$78))+(S48*Assumptions!$F$79))</f>
        <v>320.700383264491</v>
      </c>
      <c r="T71" s="14" t="n">
        <f aca="false">(((T49*Assumptions!$F$75)+(T50*Assumptions!$F$78))+(T48*Assumptions!$F$79))</f>
        <v>330.759206313193</v>
      </c>
      <c r="U71" s="14" t="n">
        <f aca="false">(((U49*Assumptions!$F$75)+(U50*Assumptions!$F$78))+(U48*Assumptions!$F$79))</f>
        <v>341.146679208596</v>
      </c>
      <c r="V71" s="14" t="n">
        <f aca="false">(((V49*Assumptions!$F$75)+(V50*Assumptions!$F$78))+(V48*Assumptions!$F$79))</f>
        <v>351.884949330572</v>
      </c>
      <c r="W71" s="14" t="n">
        <f aca="false">(((W49*Assumptions!$F$75)+(W50*Assumptions!$F$78))+(W48*Assumptions!$F$79))</f>
        <v>362.995757005827</v>
      </c>
      <c r="X71" s="14" t="n">
        <f aca="false">(((X49*Assumptions!$F$75)+(X50*Assumptions!$F$78))+(X48*Assumptions!$F$79))</f>
        <v>374.500609988628</v>
      </c>
      <c r="Y71" s="14" t="n">
        <f aca="false">(((Y49*Assumptions!$F$75)+(Y50*Assumptions!$F$78))+(Y48*Assumptions!$F$79))</f>
        <v>386.420935548707</v>
      </c>
      <c r="Z71" s="14" t="n">
        <f aca="false">(((Z49*Assumptions!$F$75)+(Z50*Assumptions!$F$78))+(Z48*Assumptions!$F$79))</f>
        <v>398.778213992279</v>
      </c>
      <c r="AA71" s="14" t="n">
        <f aca="false">(((AA49*Assumptions!$F$75)+(AA50*Assumptions!$F$78))+(AA48*Assumptions!$F$79))</f>
        <v>410.722278728635</v>
      </c>
      <c r="AB71" s="14" t="n">
        <f aca="false">(((AB49*Assumptions!$F$75)+(AB50*Assumptions!$F$78))+(AB48*Assumptions!$F$79))</f>
        <v>423.107593383898</v>
      </c>
      <c r="AC71" s="14" t="n">
        <f aca="false">(((AC49*Assumptions!$F$75)+(AC50*Assumptions!$F$78))+(AC48*Assumptions!$F$79))</f>
        <v>435.961914215834</v>
      </c>
      <c r="AD71" s="14" t="n">
        <f aca="false">(((AD49*Assumptions!$F$75)+(AD50*Assumptions!$F$78))+(AD48*Assumptions!$F$79))</f>
        <v>449.271361048654</v>
      </c>
      <c r="AE71" s="14" t="n">
        <f aca="false">(((AE49*Assumptions!$F$75)+(AE50*Assumptions!$F$78))+(AE48*Assumptions!$F$79))</f>
        <v>463.091923645728</v>
      </c>
      <c r="AF71" s="14" t="n">
        <f aca="false">(((AF49*Assumptions!$F$75)+(AF50*Assumptions!$F$78))+(AF48*Assumptions!$F$79))</f>
        <v>477.446344332232</v>
      </c>
      <c r="AG71" s="14" t="n">
        <f aca="false">(((AG49*Assumptions!$F$75)+(AG50*Assumptions!$F$78))+(AG48*Assumptions!$F$79))</f>
        <v>492.357708898738</v>
      </c>
      <c r="AH71" s="14" t="n">
        <f aca="false">(((AH49*Assumptions!$F$75)+(AH50*Assumptions!$F$78))+(AH48*Assumptions!$F$79))</f>
        <v>507.849778605357</v>
      </c>
      <c r="AI71" s="14" t="n">
        <f aca="false">(((AI49*Assumptions!$F$75)+(AI50*Assumptions!$F$78))+(AI48*Assumptions!$F$79))</f>
        <v>523.947052638013</v>
      </c>
      <c r="AJ71" s="14" t="n">
        <f aca="false">(((AJ49*Assumptions!$F$75)+(AJ50*Assumptions!$F$78))+(AJ48*Assumptions!$F$79))</f>
        <v>540.674826108124</v>
      </c>
      <c r="AK71" s="14" t="n">
        <f aca="false">(((AK49*Assumptions!$F$75)+(AK50*Assumptions!$F$78))+(AK48*Assumptions!$F$79))</f>
        <v>558.059246309683</v>
      </c>
      <c r="AL71" s="14" t="n">
        <f aca="false">(((AL49*Assumptions!$F$75)+(AL50*Assumptions!$F$78))+(AL48*Assumptions!$F$79))</f>
        <v>576.127367776508</v>
      </c>
    </row>
    <row r="72" customFormat="false" ht="15" hidden="false" customHeight="false" outlineLevel="0" collapsed="false">
      <c r="A72" s="6" t="s">
        <v>461</v>
      </c>
      <c r="B72" s="2" t="s">
        <v>462</v>
      </c>
      <c r="C72" s="14" t="n">
        <f aca="false">(Assumptions!$F$80+(Assumptions!$F$81*C36))</f>
        <v>56.1555555555556</v>
      </c>
      <c r="D72" s="14" t="n">
        <f aca="false">(Assumptions!$F$80+(Assumptions!$F$81*D36))</f>
        <v>56.875781356508</v>
      </c>
      <c r="E72" s="14" t="n">
        <f aca="false">(Assumptions!$F$80+(Assumptions!$F$81*E36))</f>
        <v>57.5324158081153</v>
      </c>
      <c r="F72" s="14" t="n">
        <f aca="false">(Assumptions!$F$80+(Assumptions!$F$81*F36))</f>
        <v>58.4202866467889</v>
      </c>
      <c r="G72" s="14" t="n">
        <f aca="false">(Assumptions!$F$80+(Assumptions!$F$81*G36))</f>
        <v>59.0721741393411</v>
      </c>
      <c r="H72" s="14" t="n">
        <f aca="false">(Assumptions!$F$80+(Assumptions!$F$81*H36))</f>
        <v>59.7118956417643</v>
      </c>
      <c r="I72" s="14" t="n">
        <f aca="false">(Assumptions!$F$80+(Assumptions!$F$81*I36))</f>
        <v>60.3451495358462</v>
      </c>
      <c r="J72" s="14" t="n">
        <f aca="false">(Assumptions!$F$80+(Assumptions!$F$81*J36))</f>
        <v>60.9756274385447</v>
      </c>
      <c r="K72" s="14" t="n">
        <f aca="false">(Assumptions!$F$80+(Assumptions!$F$81*K36))</f>
        <v>61.6066580988489</v>
      </c>
      <c r="L72" s="14" t="n">
        <f aca="false">(Assumptions!$F$80+(Assumptions!$F$81*L36))</f>
        <v>62.2412693677936</v>
      </c>
      <c r="M72" s="14" t="n">
        <f aca="false">(Assumptions!$F$80+(Assumptions!$F$81*M36))</f>
        <v>62.8822320686191</v>
      </c>
      <c r="N72" s="14" t="n">
        <f aca="false">(Assumptions!$F$80+(Assumptions!$F$81*N36))</f>
        <v>63.5320981535668</v>
      </c>
      <c r="O72" s="14" t="n">
        <f aca="false">(Assumptions!$F$80+(Assumptions!$F$81*O36))</f>
        <v>64.1553061774617</v>
      </c>
      <c r="P72" s="14" t="n">
        <f aca="false">(Assumptions!$F$80+(Assumptions!$F$81*P36))</f>
        <v>64.7900069108735</v>
      </c>
      <c r="Q72" s="14" t="n">
        <f aca="false">(Assumptions!$F$80+(Assumptions!$F$81*Q36))</f>
        <v>65.438757645358</v>
      </c>
      <c r="R72" s="14" t="n">
        <f aca="false">(Assumptions!$F$80+(Assumptions!$F$81*R36))</f>
        <v>66.1019394290824</v>
      </c>
      <c r="S72" s="14" t="n">
        <f aca="false">(Assumptions!$F$80+(Assumptions!$F$81*S36))</f>
        <v>66.7828459220471</v>
      </c>
      <c r="T72" s="14" t="n">
        <f aca="false">(Assumptions!$F$80+(Assumptions!$F$81*T36))</f>
        <v>67.4832475303689</v>
      </c>
      <c r="U72" s="14" t="n">
        <f aca="false">(Assumptions!$F$80+(Assumptions!$F$81*U36))</f>
        <v>68.2048344747051</v>
      </c>
      <c r="V72" s="14" t="n">
        <f aca="false">(Assumptions!$F$80+(Assumptions!$F$81*V36))</f>
        <v>68.9492516805049</v>
      </c>
      <c r="W72" s="14" t="n">
        <f aca="false">(Assumptions!$F$80+(Assumptions!$F$81*W36))</f>
        <v>69.7181112106183</v>
      </c>
      <c r="X72" s="14" t="n">
        <f aca="false">(Assumptions!$F$80+(Assumptions!$F$81*X36))</f>
        <v>70.5130031799475</v>
      </c>
      <c r="Y72" s="14" t="n">
        <f aca="false">(Assumptions!$F$80+(Assumptions!$F$81*Y36))</f>
        <v>71.3355055602638</v>
      </c>
      <c r="Z72" s="14" t="n">
        <f aca="false">(Assumptions!$F$80+(Assumptions!$F$81*Z36))</f>
        <v>72.1871930323123</v>
      </c>
      <c r="AA72" s="14" t="n">
        <f aca="false">(Assumptions!$F$80+(Assumptions!$F$81*AA36))</f>
        <v>73.058574314545</v>
      </c>
      <c r="AB72" s="14" t="n">
        <f aca="false">(Assumptions!$F$80+(Assumptions!$F$81*AB36))</f>
        <v>73.9617334888245</v>
      </c>
      <c r="AC72" s="14" t="n">
        <f aca="false">(Assumptions!$F$80+(Assumptions!$F$81*AC36))</f>
        <v>74.8984205621969</v>
      </c>
      <c r="AD72" s="14" t="n">
        <f aca="false">(Assumptions!$F$80+(Assumptions!$F$81*AD36))</f>
        <v>75.8698069751257</v>
      </c>
      <c r="AE72" s="14" t="n">
        <f aca="false">(Assumptions!$F$80+(Assumptions!$F$81*AE36))</f>
        <v>76.8779711212598</v>
      </c>
      <c r="AF72" s="14" t="n">
        <f aca="false">(Assumptions!$F$80+(Assumptions!$F$81*AF36))</f>
        <v>77.9246037588532</v>
      </c>
      <c r="AG72" s="14" t="n">
        <f aca="false">(Assumptions!$F$80+(Assumptions!$F$81*AG36))</f>
        <v>79.0114299127589</v>
      </c>
      <c r="AH72" s="14" t="n">
        <f aca="false">(Assumptions!$F$80+(Assumptions!$F$81*AH36))</f>
        <v>80.1402199285126</v>
      </c>
      <c r="AI72" s="14" t="n">
        <f aca="false">(Assumptions!$F$80+(Assumptions!$F$81*AI36))</f>
        <v>81.3127941994951</v>
      </c>
      <c r="AJ72" s="14" t="n">
        <f aca="false">(Assumptions!$F$80+(Assumptions!$F$81*AJ36))</f>
        <v>82.5310276623699</v>
      </c>
      <c r="AK72" s="14" t="n">
        <f aca="false">(Assumptions!$F$80+(Assumptions!$F$81*AK36))</f>
        <v>83.796854164875</v>
      </c>
      <c r="AL72" s="14" t="n">
        <f aca="false">(Assumptions!$F$80+(Assumptions!$F$81*AL36))</f>
        <v>85.1122707395917</v>
      </c>
    </row>
    <row r="73" customFormat="false" ht="15" hidden="false" customHeight="false" outlineLevel="0" collapsed="false">
      <c r="A73" s="6" t="s">
        <v>463</v>
      </c>
      <c r="B73" s="2" t="s">
        <v>464</v>
      </c>
      <c r="C73" s="14" t="n">
        <f aca="false">IF(AND((Assumptions!$F$8=1),(C$2&gt;=Assumptions!$F$82)),((C29*Assumptions!$F$83)+(C35*Assumptions!$F$84)),0)</f>
        <v>0</v>
      </c>
      <c r="D73" s="14" t="n">
        <f aca="false">IF(AND((Assumptions!$F$8=1),(D$2&gt;=Assumptions!$F$82)),((D29*Assumptions!$F$83)+(D35*Assumptions!$F$84)),0)</f>
        <v>0</v>
      </c>
      <c r="E73" s="14" t="n">
        <f aca="false">IF(AND((Assumptions!$F$8=1),(E$2&gt;=Assumptions!$F$82)),((E29*Assumptions!$F$83)+(E35*Assumptions!$F$84)),0)</f>
        <v>0</v>
      </c>
      <c r="F73" s="14" t="n">
        <f aca="false">IF(AND((Assumptions!$F$8=1),(F$2&gt;=Assumptions!$F$82)),((F29*Assumptions!$F$83)+(F35*Assumptions!$F$84)),0)</f>
        <v>0</v>
      </c>
      <c r="G73" s="14" t="n">
        <f aca="false">IF(AND((Assumptions!$F$8=1),(G$2&gt;=Assumptions!$F$82)),((G29*Assumptions!$F$83)+(G35*Assumptions!$F$84)),0)</f>
        <v>0</v>
      </c>
      <c r="H73" s="14" t="n">
        <f aca="false">IF(AND((Assumptions!$F$8=1),(H$2&gt;=Assumptions!$F$82)),((H29*Assumptions!$F$83)+(H35*Assumptions!$F$84)),0)</f>
        <v>0</v>
      </c>
      <c r="I73" s="14" t="n">
        <f aca="false">IF(AND((Assumptions!$F$8=1),(I$2&gt;=Assumptions!$F$82)),((I29*Assumptions!$F$83)+(I35*Assumptions!$F$84)),0)</f>
        <v>49.3732837235917</v>
      </c>
      <c r="J73" s="14" t="n">
        <f aca="false">IF(AND((Assumptions!$F$8=1),(J$2&gt;=Assumptions!$F$82)),((J29*Assumptions!$F$83)+(J35*Assumptions!$F$84)),0)</f>
        <v>55.6755812288016</v>
      </c>
      <c r="K73" s="14" t="n">
        <f aca="false">IF(AND((Assumptions!$F$8=1),(K$2&gt;=Assumptions!$F$82)),((K29*Assumptions!$F$83)+(K35*Assumptions!$F$84)),0)</f>
        <v>62.0778299806927</v>
      </c>
      <c r="L73" s="14" t="n">
        <f aca="false">IF(AND((Assumptions!$F$8=1),(L$2&gt;=Assumptions!$F$82)),((L29*Assumptions!$F$83)+(L35*Assumptions!$F$84)),0)</f>
        <v>68.6071629865506</v>
      </c>
      <c r="M73" s="14" t="n">
        <f aca="false">IF(AND((Assumptions!$F$8=1),(M$2&gt;=Assumptions!$F$82)),((M29*Assumptions!$F$83)+(M35*Assumptions!$F$84)),0)</f>
        <v>75.2878270994935</v>
      </c>
      <c r="N73" s="14" t="n">
        <f aca="false">IF(AND((Assumptions!$F$8=1),(N$2&gt;=Assumptions!$F$82)),((N29*Assumptions!$F$83)+(N35*Assumptions!$F$84)),0)</f>
        <v>82.1417552965348</v>
      </c>
      <c r="O73" s="14" t="n">
        <f aca="false">IF(AND((Assumptions!$F$8=1),(O$2&gt;=Assumptions!$F$82)),((O29*Assumptions!$F$83)+(O35*Assumptions!$F$84)),0)</f>
        <v>86.7237322400935</v>
      </c>
      <c r="P73" s="14" t="n">
        <f aca="false">IF(AND((Assumptions!$F$8=1),(P$2&gt;=Assumptions!$F$82)),((P29*Assumptions!$F$83)+(P35*Assumptions!$F$84)),0)</f>
        <v>91.4076972450844</v>
      </c>
      <c r="Q73" s="14" t="n">
        <f aca="false">IF(AND((Assumptions!$F$8=1),(Q$2&gt;=Assumptions!$F$82)),((Q29*Assumptions!$F$83)+(Q35*Assumptions!$F$84)),0)</f>
        <v>96.2252826696548</v>
      </c>
      <c r="R73" s="14" t="n">
        <f aca="false">IF(AND((Assumptions!$F$8=1),(R$2&gt;=Assumptions!$F$82)),((R29*Assumptions!$F$83)+(R35*Assumptions!$F$84)),0)</f>
        <v>101.08954141266</v>
      </c>
      <c r="S73" s="14" t="n">
        <f aca="false">IF(AND((Assumptions!$F$8=1),(S$2&gt;=Assumptions!$F$82)),((S29*Assumptions!$F$83)+(S35*Assumptions!$F$84)),0)</f>
        <v>106.109039186172</v>
      </c>
      <c r="T73" s="14" t="n">
        <f aca="false">IF(AND((Assumptions!$F$8=1),(T$2&gt;=Assumptions!$F$82)),((T29*Assumptions!$F$83)+(T35*Assumptions!$F$84)),0)</f>
        <v>111.296088090123</v>
      </c>
      <c r="U73" s="14" t="n">
        <f aca="false">IF(AND((Assumptions!$F$8=1),(U$2&gt;=Assumptions!$F$82)),((U29*Assumptions!$F$83)+(U35*Assumptions!$F$84)),0)</f>
        <v>116.661853949282</v>
      </c>
      <c r="V73" s="14" t="n">
        <f aca="false">IF(AND((Assumptions!$F$8=1),(V$2&gt;=Assumptions!$F$82)),((V29*Assumptions!$F$83)+(V35*Assumptions!$F$84)),0)</f>
        <v>122.21719833012</v>
      </c>
      <c r="W73" s="14" t="n">
        <f aca="false">IF(AND((Assumptions!$F$8=1),(W$2&gt;=Assumptions!$F$82)),((W29*Assumptions!$F$83)+(W35*Assumptions!$F$84)),0)</f>
        <v>127.972797479242</v>
      </c>
      <c r="X73" s="14" t="n">
        <f aca="false">IF(AND((Assumptions!$F$8=1),(X$2&gt;=Assumptions!$F$82)),((X29*Assumptions!$F$83)+(X35*Assumptions!$F$84)),0)</f>
        <v>133.939239014362</v>
      </c>
      <c r="Y73" s="14" t="n">
        <f aca="false">IF(AND((Assumptions!$F$8=1),(Y$2&gt;=Assumptions!$F$82)),((Y29*Assumptions!$F$83)+(Y35*Assumptions!$F$84)),0)</f>
        <v>140.127104623125</v>
      </c>
      <c r="Z73" s="14" t="n">
        <f aca="false">IF(AND((Assumptions!$F$8=1),(Z$2&gt;=Assumptions!$F$82)),((Z29*Assumptions!$F$83)+(Z35*Assumptions!$F$84)),0)</f>
        <v>146.547041337223</v>
      </c>
      <c r="AA73" s="14" t="n">
        <f aca="false">IF(AND((Assumptions!$F$8=1),(AA$2&gt;=Assumptions!$F$82)),((AA29*Assumptions!$F$83)+(AA35*Assumptions!$F$84)),0)</f>
        <v>152.490227626778</v>
      </c>
      <c r="AB73" s="14" t="n">
        <f aca="false">IF(AND((Assumptions!$F$8=1),(AB$2&gt;=Assumptions!$F$82)),((AB29*Assumptions!$F$83)+(AB35*Assumptions!$F$84)),0)</f>
        <v>158.655223145276</v>
      </c>
      <c r="AC73" s="14" t="n">
        <f aca="false">IF(AND((Assumptions!$F$8=1),(AC$2&gt;=Assumptions!$F$82)),((AC29*Assumptions!$F$83)+(AC35*Assumptions!$F$84)),0)</f>
        <v>165.05733481451</v>
      </c>
      <c r="AD73" s="14" t="n">
        <f aca="false">IF(AND((Assumptions!$F$8=1),(AD$2&gt;=Assumptions!$F$82)),((AD29*Assumptions!$F$83)+(AD35*Assumptions!$F$84)),0)</f>
        <v>171.677774172553</v>
      </c>
      <c r="AE73" s="14" t="n">
        <f aca="false">IF(AND((Assumptions!$F$8=1),(AE$2&gt;=Assumptions!$F$82)),((AE29*Assumptions!$F$83)+(AE35*Assumptions!$F$84)),0)</f>
        <v>178.555315924196</v>
      </c>
      <c r="AF73" s="14" t="n">
        <f aca="false">IF(AND((Assumptions!$F$8=1),(AF$2&gt;=Assumptions!$F$82)),((AF29*Assumptions!$F$83)+(AF35*Assumptions!$F$84)),0)</f>
        <v>185.701104460227</v>
      </c>
      <c r="AG73" s="14" t="n">
        <f aca="false">IF(AND((Assumptions!$F$8=1),(AG$2&gt;=Assumptions!$F$82)),((AG29*Assumptions!$F$83)+(AG35*Assumptions!$F$84)),0)</f>
        <v>193.126404975232</v>
      </c>
      <c r="AH73" s="14" t="n">
        <f aca="false">IF(AND((Assumptions!$F$8=1),(AH$2&gt;=Assumptions!$F$82)),((AH29*Assumptions!$F$83)+(AH35*Assumptions!$F$84)),0)</f>
        <v>200.842840301458</v>
      </c>
      <c r="AI73" s="14" t="n">
        <f aca="false">IF(AND((Assumptions!$F$8=1),(AI$2&gt;=Assumptions!$F$82)),((AI29*Assumptions!$F$83)+(AI35*Assumptions!$F$84)),0)</f>
        <v>208.862421057713</v>
      </c>
      <c r="AJ73" s="14" t="n">
        <f aca="false">IF(AND((Assumptions!$F$8=1),(AJ$2&gt;=Assumptions!$F$82)),((AJ29*Assumptions!$F$83)+(AJ35*Assumptions!$F$84)),0)</f>
        <v>217.197573072571</v>
      </c>
      <c r="AK73" s="14" t="n">
        <f aca="false">IF(AND((Assumptions!$F$8=1),(AK$2&gt;=Assumptions!$F$82)),((AK29*Assumptions!$F$83)+(AK35*Assumptions!$F$84)),0)</f>
        <v>225.861163943286</v>
      </c>
      <c r="AL73" s="14" t="n">
        <f aca="false">IF(AND((Assumptions!$F$8=1),(AL$2&gt;=Assumptions!$F$82)),((AL29*Assumptions!$F$83)+(AL35*Assumptions!$F$84)),0)</f>
        <v>234.86652903299</v>
      </c>
    </row>
    <row r="74" customFormat="false" ht="15" hidden="false" customHeight="false" outlineLevel="0" collapsed="false">
      <c r="A74" s="6" t="s">
        <v>465</v>
      </c>
      <c r="B74" s="2" t="s">
        <v>466</v>
      </c>
      <c r="C74" s="14" t="n">
        <f aca="false">(MAX(0,(C30-Assumptions!$F$85))*Assumptions!$F$86)</f>
        <v>0</v>
      </c>
      <c r="D74" s="14" t="n">
        <f aca="false">(MAX(0,(D30-Assumptions!$F$85))*Assumptions!$F$86)</f>
        <v>0</v>
      </c>
      <c r="E74" s="14" t="n">
        <f aca="false">(MAX(0,(E30-Assumptions!$F$85))*Assumptions!$F$86)</f>
        <v>0</v>
      </c>
      <c r="F74" s="14" t="n">
        <f aca="false">(MAX(0,(F30-Assumptions!$F$85))*Assumptions!$F$86)</f>
        <v>0</v>
      </c>
      <c r="G74" s="14" t="n">
        <f aca="false">(MAX(0,(G30-Assumptions!$F$85))*Assumptions!$F$86)</f>
        <v>0</v>
      </c>
      <c r="H74" s="14" t="n">
        <f aca="false">(MAX(0,(H30-Assumptions!$F$85))*Assumptions!$F$86)</f>
        <v>0</v>
      </c>
      <c r="I74" s="14" t="n">
        <f aca="false">(MAX(0,(I30-Assumptions!$F$85))*Assumptions!$F$86)</f>
        <v>0</v>
      </c>
      <c r="J74" s="14" t="n">
        <f aca="false">(MAX(0,(J30-Assumptions!$F$85))*Assumptions!$F$86)</f>
        <v>0</v>
      </c>
      <c r="K74" s="14" t="n">
        <f aca="false">(MAX(0,(K30-Assumptions!$F$85))*Assumptions!$F$86)</f>
        <v>0</v>
      </c>
      <c r="L74" s="14" t="n">
        <f aca="false">(MAX(0,(L30-Assumptions!$F$85))*Assumptions!$F$86)</f>
        <v>0</v>
      </c>
      <c r="M74" s="14" t="n">
        <f aca="false">(MAX(0,(M30-Assumptions!$F$85))*Assumptions!$F$86)</f>
        <v>0</v>
      </c>
      <c r="N74" s="14" t="n">
        <f aca="false">(MAX(0,(N30-Assumptions!$F$85))*Assumptions!$F$86)</f>
        <v>0</v>
      </c>
      <c r="O74" s="14" t="n">
        <f aca="false">(MAX(0,(O30-Assumptions!$F$85))*Assumptions!$F$86)</f>
        <v>0</v>
      </c>
      <c r="P74" s="14" t="n">
        <f aca="false">(MAX(0,(P30-Assumptions!$F$85))*Assumptions!$F$86)</f>
        <v>0</v>
      </c>
      <c r="Q74" s="14" t="n">
        <f aca="false">(MAX(0,(Q30-Assumptions!$F$85))*Assumptions!$F$86)</f>
        <v>0</v>
      </c>
      <c r="R74" s="14" t="n">
        <f aca="false">(MAX(0,(R30-Assumptions!$F$85))*Assumptions!$F$86)</f>
        <v>0</v>
      </c>
      <c r="S74" s="14" t="n">
        <f aca="false">(MAX(0,(S30-Assumptions!$F$85))*Assumptions!$F$86)</f>
        <v>0</v>
      </c>
      <c r="T74" s="14" t="n">
        <f aca="false">(MAX(0,(T30-Assumptions!$F$85))*Assumptions!$F$86)</f>
        <v>0</v>
      </c>
      <c r="U74" s="14" t="n">
        <f aca="false">(MAX(0,(U30-Assumptions!$F$85))*Assumptions!$F$86)</f>
        <v>0</v>
      </c>
      <c r="V74" s="14" t="n">
        <f aca="false">(MAX(0,(V30-Assumptions!$F$85))*Assumptions!$F$86)</f>
        <v>0</v>
      </c>
      <c r="W74" s="14" t="n">
        <f aca="false">(MAX(0,(W30-Assumptions!$F$85))*Assumptions!$F$86)</f>
        <v>0</v>
      </c>
      <c r="X74" s="14" t="n">
        <f aca="false">(MAX(0,(X30-Assumptions!$F$85))*Assumptions!$F$86)</f>
        <v>0</v>
      </c>
      <c r="Y74" s="14" t="n">
        <f aca="false">(MAX(0,(Y30-Assumptions!$F$85))*Assumptions!$F$86)</f>
        <v>0</v>
      </c>
      <c r="Z74" s="14" t="n">
        <f aca="false">(MAX(0,(Z30-Assumptions!$F$85))*Assumptions!$F$86)</f>
        <v>0</v>
      </c>
      <c r="AA74" s="14" t="n">
        <f aca="false">(MAX(0,(AA30-Assumptions!$F$85))*Assumptions!$F$86)</f>
        <v>0</v>
      </c>
      <c r="AB74" s="14" t="n">
        <f aca="false">(MAX(0,(AB30-Assumptions!$F$85))*Assumptions!$F$86)</f>
        <v>0</v>
      </c>
      <c r="AC74" s="14" t="n">
        <f aca="false">(MAX(0,(AC30-Assumptions!$F$85))*Assumptions!$F$86)</f>
        <v>0</v>
      </c>
      <c r="AD74" s="14" t="n">
        <f aca="false">(MAX(0,(AD30-Assumptions!$F$85))*Assumptions!$F$86)</f>
        <v>0</v>
      </c>
      <c r="AE74" s="14" t="n">
        <f aca="false">(MAX(0,(AE30-Assumptions!$F$85))*Assumptions!$F$86)</f>
        <v>0</v>
      </c>
      <c r="AF74" s="14" t="n">
        <f aca="false">(MAX(0,(AF30-Assumptions!$F$85))*Assumptions!$F$86)</f>
        <v>0</v>
      </c>
      <c r="AG74" s="14" t="n">
        <f aca="false">(MAX(0,(AG30-Assumptions!$F$85))*Assumptions!$F$86)</f>
        <v>0</v>
      </c>
      <c r="AH74" s="14" t="n">
        <f aca="false">(MAX(0,(AH30-Assumptions!$F$85))*Assumptions!$F$86)</f>
        <v>0</v>
      </c>
      <c r="AI74" s="14" t="n">
        <f aca="false">(MAX(0,(AI30-Assumptions!$F$85))*Assumptions!$F$86)</f>
        <v>0</v>
      </c>
      <c r="AJ74" s="14" t="n">
        <f aca="false">(MAX(0,(AJ30-Assumptions!$F$85))*Assumptions!$F$86)</f>
        <v>0</v>
      </c>
      <c r="AK74" s="14" t="n">
        <f aca="false">(MAX(0,(AK30-Assumptions!$F$85))*Assumptions!$F$86)</f>
        <v>0</v>
      </c>
      <c r="AL74" s="14" t="n">
        <f aca="false">(MAX(0,(AL30-Assumptions!$F$85))*Assumptions!$F$86)</f>
        <v>0</v>
      </c>
    </row>
    <row r="75" customFormat="false" ht="15" hidden="false" customHeight="false" outlineLevel="0" collapsed="false">
      <c r="A75" s="6" t="s">
        <v>467</v>
      </c>
      <c r="B75" s="2" t="s">
        <v>468</v>
      </c>
      <c r="C75" s="14" t="n">
        <f aca="false">(C66*Assumptions!$F$68)</f>
        <v>0</v>
      </c>
      <c r="D75" s="14" t="n">
        <f aca="false">(D66*Assumptions!$F$68)</f>
        <v>0</v>
      </c>
      <c r="E75" s="14" t="n">
        <f aca="false">(E66*Assumptions!$F$68)</f>
        <v>0</v>
      </c>
      <c r="F75" s="14" t="n">
        <f aca="false">(F66*Assumptions!$F$68)</f>
        <v>0</v>
      </c>
      <c r="G75" s="14" t="n">
        <f aca="false">(G66*Assumptions!$F$68)</f>
        <v>0</v>
      </c>
      <c r="H75" s="14" t="n">
        <f aca="false">(H66*Assumptions!$F$68)</f>
        <v>0</v>
      </c>
      <c r="I75" s="14" t="n">
        <f aca="false">(I66*Assumptions!$F$68)</f>
        <v>0</v>
      </c>
      <c r="J75" s="14" t="n">
        <f aca="false">(J66*Assumptions!$F$68)</f>
        <v>0</v>
      </c>
      <c r="K75" s="14" t="n">
        <f aca="false">(K66*Assumptions!$F$68)</f>
        <v>0</v>
      </c>
      <c r="L75" s="14" t="n">
        <f aca="false">(L66*Assumptions!$F$68)</f>
        <v>0</v>
      </c>
      <c r="M75" s="14" t="n">
        <f aca="false">(M66*Assumptions!$F$68)</f>
        <v>0</v>
      </c>
      <c r="N75" s="14" t="n">
        <f aca="false">(N66*Assumptions!$F$68)</f>
        <v>0</v>
      </c>
      <c r="O75" s="14" t="n">
        <f aca="false">(O66*Assumptions!$F$68)</f>
        <v>0</v>
      </c>
      <c r="P75" s="14" t="n">
        <f aca="false">(P66*Assumptions!$F$68)</f>
        <v>0</v>
      </c>
      <c r="Q75" s="14" t="n">
        <f aca="false">(Q66*Assumptions!$F$68)</f>
        <v>0</v>
      </c>
      <c r="R75" s="14" t="n">
        <f aca="false">(R66*Assumptions!$F$68)</f>
        <v>0</v>
      </c>
      <c r="S75" s="14" t="n">
        <f aca="false">(S66*Assumptions!$F$68)</f>
        <v>0</v>
      </c>
      <c r="T75" s="14" t="n">
        <f aca="false">(T66*Assumptions!$F$68)</f>
        <v>0</v>
      </c>
      <c r="U75" s="14" t="n">
        <f aca="false">(U66*Assumptions!$F$68)</f>
        <v>0</v>
      </c>
      <c r="V75" s="14" t="n">
        <f aca="false">(V66*Assumptions!$F$68)</f>
        <v>0</v>
      </c>
      <c r="W75" s="14" t="n">
        <f aca="false">(W66*Assumptions!$F$68)</f>
        <v>0</v>
      </c>
      <c r="X75" s="14" t="n">
        <f aca="false">(X66*Assumptions!$F$68)</f>
        <v>0</v>
      </c>
      <c r="Y75" s="14" t="n">
        <f aca="false">(Y66*Assumptions!$F$68)</f>
        <v>0</v>
      </c>
      <c r="Z75" s="14" t="n">
        <f aca="false">(Z66*Assumptions!$F$68)</f>
        <v>0</v>
      </c>
      <c r="AA75" s="14" t="n">
        <f aca="false">(AA66*Assumptions!$F$68)</f>
        <v>0</v>
      </c>
      <c r="AB75" s="14" t="n">
        <f aca="false">(AB66*Assumptions!$F$68)</f>
        <v>0</v>
      </c>
      <c r="AC75" s="14" t="n">
        <f aca="false">(AC66*Assumptions!$F$68)</f>
        <v>0</v>
      </c>
      <c r="AD75" s="14" t="n">
        <f aca="false">(AD66*Assumptions!$F$68)</f>
        <v>0</v>
      </c>
      <c r="AE75" s="14" t="n">
        <f aca="false">(AE66*Assumptions!$F$68)</f>
        <v>0</v>
      </c>
      <c r="AF75" s="14" t="n">
        <f aca="false">(AF66*Assumptions!$F$68)</f>
        <v>0</v>
      </c>
      <c r="AG75" s="14" t="n">
        <f aca="false">(AG66*Assumptions!$F$68)</f>
        <v>0</v>
      </c>
      <c r="AH75" s="14" t="n">
        <f aca="false">(AH66*Assumptions!$F$68)</f>
        <v>0</v>
      </c>
      <c r="AI75" s="14" t="n">
        <f aca="false">(AI66*Assumptions!$F$68)</f>
        <v>0</v>
      </c>
      <c r="AJ75" s="14" t="n">
        <f aca="false">(AJ66*Assumptions!$F$68)</f>
        <v>0</v>
      </c>
      <c r="AK75" s="14" t="n">
        <f aca="false">(AK66*Assumptions!$F$68)</f>
        <v>0</v>
      </c>
      <c r="AL75" s="14" t="n">
        <f aca="false">(AL66*Assumptions!$F$68)</f>
        <v>0</v>
      </c>
    </row>
    <row r="76" customFormat="false" ht="15" hidden="false" customHeight="false" outlineLevel="0" collapsed="false">
      <c r="A76" s="21" t="s">
        <v>469</v>
      </c>
      <c r="B76" s="2" t="s">
        <v>470</v>
      </c>
      <c r="C76" s="23" t="n">
        <f aca="false">(((((C70+C71)+C72)+C73)+C74)+C75)</f>
        <v>506.155555555556</v>
      </c>
      <c r="D76" s="23" t="n">
        <f aca="false">(((((D70+D71)+D72)+D73)+D74)+D75)</f>
        <v>506.875781356508</v>
      </c>
      <c r="E76" s="23" t="n">
        <f aca="false">(((((E70+E71)+E72)+E73)+E74)+E75)</f>
        <v>507.532415808115</v>
      </c>
      <c r="F76" s="23" t="n">
        <f aca="false">(((((F70+F71)+F72)+F73)+F74)+F75)</f>
        <v>508.420286646789</v>
      </c>
      <c r="G76" s="23" t="n">
        <f aca="false">(((((G70+G71)+G72)+G73)+G74)+G75)</f>
        <v>509.072174139341</v>
      </c>
      <c r="H76" s="23" t="n">
        <f aca="false">(((((H70+H71)+H72)+H73)+H74)+H75)</f>
        <v>509.711895641764</v>
      </c>
      <c r="I76" s="23" t="n">
        <f aca="false">(((((I70+I71)+I72)+I73)+I74)+I75)</f>
        <v>559.718433259438</v>
      </c>
      <c r="J76" s="23" t="n">
        <f aca="false">(((((J70+J71)+J72)+J73)+J74)+J75)</f>
        <v>566.651208667346</v>
      </c>
      <c r="K76" s="23" t="n">
        <f aca="false">(((((K70+K71)+K72)+K73)+K74)+K75)</f>
        <v>573.684488079542</v>
      </c>
      <c r="L76" s="23" t="n">
        <f aca="false">(((((L70+L71)+L72)+L73)+L74)+L75)</f>
        <v>580.848432354344</v>
      </c>
      <c r="M76" s="23" t="n">
        <f aca="false">(((((M70+M71)+M72)+M73)+M74)+M75)</f>
        <v>588.170059168113</v>
      </c>
      <c r="N76" s="23" t="n">
        <f aca="false">(((((N70+N71)+N72)+N73)+N74)+N75)</f>
        <v>595.673853450101</v>
      </c>
      <c r="O76" s="23" t="n">
        <f aca="false">(((((O70+O71)+O72)+O73)+O74)+O75)</f>
        <v>883.926475469987</v>
      </c>
      <c r="P76" s="23" t="n">
        <f aca="false">(((((P70+P71)+P72)+P73)+P74)+P75)</f>
        <v>898.341937405072</v>
      </c>
      <c r="Q76" s="23" t="n">
        <f aca="false">(((((Q70+Q71)+Q72)+Q73)+Q74)+Q75)</f>
        <v>913.139905759847</v>
      </c>
      <c r="R76" s="23" t="n">
        <f aca="false">(((((R70+R71)+R72)+R73)+R74)+R75)</f>
        <v>928.138927886213</v>
      </c>
      <c r="S76" s="23" t="n">
        <f aca="false">(((((S70+S71)+S72)+S73)+S74)+S75)</f>
        <v>943.59226837271</v>
      </c>
      <c r="T76" s="23" t="n">
        <f aca="false">(((((T70+T71)+T72)+T73)+T74)+T75)</f>
        <v>959.538541933685</v>
      </c>
      <c r="U76" s="23" t="n">
        <f aca="false">(((((U70+U71)+U72)+U73)+U74)+U75)</f>
        <v>976.013367632583</v>
      </c>
      <c r="V76" s="23" t="n">
        <f aca="false">(((((V70+V71)+V72)+V73)+V74)+V75)</f>
        <v>993.051399341197</v>
      </c>
      <c r="W76" s="23" t="n">
        <f aca="false">(((((W70+W71)+W72)+W73)+W74)+W75)</f>
        <v>1010.68666569569</v>
      </c>
      <c r="X76" s="23" t="n">
        <f aca="false">(((((X70+X71)+X72)+X73)+X74)+X75)</f>
        <v>1028.95285218294</v>
      </c>
      <c r="Y76" s="23" t="n">
        <f aca="false">(((((Y70+Y71)+Y72)+Y73)+Y74)+Y75)</f>
        <v>1047.8835457321</v>
      </c>
      <c r="Z76" s="23" t="n">
        <f aca="false">(((((Z70+Z71)+Z72)+Z73)+Z74)+Z75)</f>
        <v>1067.51244836181</v>
      </c>
      <c r="AA76" s="23" t="n">
        <f aca="false">(((((AA70+AA71)+AA72)+AA73)+AA74)+AA75)</f>
        <v>1086.27108066996</v>
      </c>
      <c r="AB76" s="23" t="n">
        <f aca="false">(((((AB70+AB71)+AB72)+AB73)+AB74)+AB75)</f>
        <v>1105.724550018</v>
      </c>
      <c r="AC76" s="23" t="n">
        <f aca="false">(((((AC70+AC71)+AC72)+AC73)+AC74)+AC75)</f>
        <v>1125.91766959254</v>
      </c>
      <c r="AD76" s="23" t="n">
        <f aca="false">(((((AD70+AD71)+AD72)+AD73)+AD74)+AD75)</f>
        <v>1146.81894219633</v>
      </c>
      <c r="AE76" s="23" t="n">
        <f aca="false">(((((AE70+AE71)+AE72)+AE73)+AE74)+AE75)</f>
        <v>1168.52521069118</v>
      </c>
      <c r="AF76" s="23" t="n">
        <f aca="false">(((((AF70+AF71)+AF72)+AF73)+AF74)+AF75)</f>
        <v>1191.07205255131</v>
      </c>
      <c r="AG76" s="23" t="n">
        <f aca="false">(((((AG70+AG71)+AG72)+AG73)+AG74)+AG75)</f>
        <v>1214.49554378673</v>
      </c>
      <c r="AH76" s="23" t="n">
        <f aca="false">(((((AH70+AH71)+AH72)+AH73)+AH74)+AH75)</f>
        <v>1238.83283883533</v>
      </c>
      <c r="AI76" s="23" t="n">
        <f aca="false">(((((AI70+AI71)+AI72)+AI73)+AI74)+AI75)</f>
        <v>1264.12226789522</v>
      </c>
      <c r="AJ76" s="23" t="n">
        <f aca="false">(((((AJ70+AJ71)+AJ72)+AJ73)+AJ74)+AJ75)</f>
        <v>1290.40342684306</v>
      </c>
      <c r="AK76" s="23" t="n">
        <f aca="false">(((((AK70+AK71)+AK72)+AK73)+AK74)+AK75)</f>
        <v>1317.71726441784</v>
      </c>
      <c r="AL76" s="23" t="n">
        <f aca="false">(((((AL70+AL71)+AL72)+AL73)+AL74)+AL75)</f>
        <v>1346.10616754909</v>
      </c>
    </row>
    <row r="77" customFormat="false" ht="15" hidden="false" customHeight="false" outlineLevel="0" collapsed="false">
      <c r="A77" s="21" t="s">
        <v>471</v>
      </c>
      <c r="B77" s="2" t="s">
        <v>472</v>
      </c>
      <c r="C77" s="23" t="n">
        <f aca="false">(C67-C76)</f>
        <v>-429.090510130911</v>
      </c>
      <c r="D77" s="23" t="n">
        <f aca="false">(D67-D76)</f>
        <v>-381.925511497926</v>
      </c>
      <c r="E77" s="23" t="n">
        <f aca="false">(E67-E76)</f>
        <v>-337.466228359953</v>
      </c>
      <c r="F77" s="23" t="n">
        <f aca="false">(F67-F76)</f>
        <v>-286.753351913608</v>
      </c>
      <c r="G77" s="23" t="n">
        <f aca="false">(G67-G76)</f>
        <v>-243.225284226172</v>
      </c>
      <c r="H77" s="23" t="n">
        <f aca="false">(H67-H76)</f>
        <v>-200.670463472055</v>
      </c>
      <c r="I77" s="23" t="n">
        <f aca="false">(I67-I76)</f>
        <v>-206.164908577014</v>
      </c>
      <c r="J77" s="23" t="n">
        <f aca="false">(J67-J76)</f>
        <v>-170.513059627787</v>
      </c>
      <c r="K77" s="23" t="n">
        <f aca="false">(K67-K76)</f>
        <v>-134.828966710717</v>
      </c>
      <c r="L77" s="23" t="n">
        <f aca="false">(L67-L76)</f>
        <v>-98.874920417662</v>
      </c>
      <c r="M77" s="23" t="n">
        <f aca="false">(M67-M76)</f>
        <v>-62.445976293777</v>
      </c>
      <c r="N77" s="23" t="n">
        <f aca="false">(N67-N76)</f>
        <v>-25.3637262554179</v>
      </c>
      <c r="O77" s="23" t="n">
        <f aca="false">(O67-O76)</f>
        <v>-282.27359843452</v>
      </c>
      <c r="P77" s="23" t="n">
        <f aca="false">(P67-P76)</f>
        <v>-264.80764400739</v>
      </c>
      <c r="Q77" s="23" t="n">
        <f aca="false">(Q67-Q76)</f>
        <v>-246.958157051994</v>
      </c>
      <c r="R77" s="23" t="n">
        <f aca="false">(R67-R76)</f>
        <v>-229.008973937369</v>
      </c>
      <c r="S77" s="23" t="n">
        <f aca="false">(S67-S76)</f>
        <v>-210.553496078664</v>
      </c>
      <c r="T77" s="23" t="n">
        <f aca="false">(T67-T76)</f>
        <v>-191.531633914479</v>
      </c>
      <c r="U77" s="23" t="n">
        <f aca="false">(U67-U76)</f>
        <v>-171.89054757745</v>
      </c>
      <c r="V77" s="23" t="n">
        <f aca="false">(V67-V76)</f>
        <v>-151.581082923148</v>
      </c>
      <c r="W77" s="23" t="n">
        <f aca="false">(W67-W76)</f>
        <v>-130.556827135869</v>
      </c>
      <c r="X77" s="23" t="n">
        <f aca="false">(X67-X76)</f>
        <v>-108.773341344212</v>
      </c>
      <c r="Y77" s="23" t="n">
        <f aca="false">(Y67-Y76)</f>
        <v>-86.1875235914521</v>
      </c>
      <c r="Z77" s="23" t="n">
        <f aca="false">(Z67-Z76)</f>
        <v>-62.7570780243702</v>
      </c>
      <c r="AA77" s="23" t="n">
        <f aca="false">(AA67-AA76)</f>
        <v>-41.0572817684852</v>
      </c>
      <c r="AB77" s="23" t="n">
        <f aca="false">(AB67-AB76)</f>
        <v>-18.5449154434391</v>
      </c>
      <c r="AC77" s="23" t="n">
        <f aca="false">(AC67-AC76)</f>
        <v>4.83675618704046</v>
      </c>
      <c r="AD77" s="23" t="n">
        <f aca="false">(AD67-AD76)</f>
        <v>29.0206109485487</v>
      </c>
      <c r="AE77" s="23" t="n">
        <f aca="false">(AE67-AE76)</f>
        <v>54.1486057551419</v>
      </c>
      <c r="AF77" s="23" t="n">
        <f aca="false">(AF67-AF76)</f>
        <v>80.2619327189964</v>
      </c>
      <c r="AG77" s="23" t="n">
        <f aca="false">(AG67-AG76)</f>
        <v>107.402070591862</v>
      </c>
      <c r="AH77" s="23" t="n">
        <f aca="false">(AH67-AH76)</f>
        <v>135.611670405954</v>
      </c>
      <c r="AI77" s="23" t="n">
        <f aca="false">(AI67-AI76)</f>
        <v>164.934701411376</v>
      </c>
      <c r="AJ77" s="23" t="n">
        <f aca="false">(AJ67-AJ76)</f>
        <v>195.416579631578</v>
      </c>
      <c r="AK77" s="23" t="n">
        <f aca="false">(AK67-AK76)</f>
        <v>227.10428704086</v>
      </c>
      <c r="AL77" s="23" t="n">
        <f aca="false">(AL67-AL76)</f>
        <v>260.046483718727</v>
      </c>
    </row>
    <row r="78" customFormat="false" ht="15" hidden="false" customHeight="false" outlineLevel="0" collapsed="false">
      <c r="A78" s="6" t="s">
        <v>473</v>
      </c>
      <c r="B78" s="2" t="s">
        <v>474</v>
      </c>
      <c r="C78" s="16" t="n">
        <f aca="false">IF(C67=0,0,C77/C67)</f>
        <v>-5.56790056719662</v>
      </c>
      <c r="D78" s="16" t="n">
        <f aca="false">IF(D67=0,0,D77/D67)</f>
        <v>-3.05662014119847</v>
      </c>
      <c r="E78" s="16" t="n">
        <f aca="false">IF(E67=0,0,E77/E67)</f>
        <v>-1.9843228887742</v>
      </c>
      <c r="F78" s="16" t="n">
        <f aca="false">IF(F67=0,0,F77/F67)</f>
        <v>-1.29362257956411</v>
      </c>
      <c r="G78" s="16" t="n">
        <f aca="false">IF(G67=0,0,G77/G67)</f>
        <v>-0.914907390135783</v>
      </c>
      <c r="H78" s="16" t="n">
        <f aca="false">IF(H67=0,0,H77/H67)</f>
        <v>-0.649331910168787</v>
      </c>
      <c r="I78" s="16" t="n">
        <f aca="false">IF(I67=0,0,I77/I67)</f>
        <v>-0.583122198434308</v>
      </c>
      <c r="J78" s="16" t="n">
        <f aca="false">IF(J67=0,0,J77/J67)</f>
        <v>-0.430438371162174</v>
      </c>
      <c r="K78" s="16" t="n">
        <f aca="false">IF(K67=0,0,K77/K67)</f>
        <v>-0.307228598355501</v>
      </c>
      <c r="L78" s="16" t="n">
        <f aca="false">IF(L67=0,0,L77/L67)</f>
        <v>-0.205145963354624</v>
      </c>
      <c r="M78" s="16" t="n">
        <f aca="false">IF(M67=0,0,M77/M67)</f>
        <v>-0.118780893491432</v>
      </c>
      <c r="N78" s="16" t="n">
        <f aca="false">IF(N67=0,0,N77/N67)</f>
        <v>-0.0444735680570505</v>
      </c>
      <c r="O78" s="16" t="n">
        <f aca="false">IF(O67=0,0,O77/O67)</f>
        <v>-0.469163547967011</v>
      </c>
      <c r="P78" s="16" t="n">
        <f aca="false">IF(P67=0,0,P77/P67)</f>
        <v>-0.417984703854327</v>
      </c>
      <c r="Q78" s="16" t="n">
        <f aca="false">IF(Q67=0,0,Q77/Q67)</f>
        <v>-0.37070687921277</v>
      </c>
      <c r="R78" s="16" t="n">
        <f aca="false">IF(R67=0,0,R77/R67)</f>
        <v>-0.327562812383985</v>
      </c>
      <c r="S78" s="16" t="n">
        <f aca="false">IF(S67=0,0,S77/S67)</f>
        <v>-0.287233778125728</v>
      </c>
      <c r="T78" s="16" t="n">
        <f aca="false">IF(T67=0,0,T77/T67)</f>
        <v>-0.249387905127656</v>
      </c>
      <c r="U78" s="16" t="n">
        <f aca="false">IF(U67=0,0,U77/U67)</f>
        <v>-0.213761558919151</v>
      </c>
      <c r="V78" s="16" t="n">
        <f aca="false">IF(V67=0,0,V77/V67)</f>
        <v>-0.180138360160338</v>
      </c>
      <c r="W78" s="16" t="n">
        <f aca="false">IF(W67=0,0,W77/W67)</f>
        <v>-0.14833814446003</v>
      </c>
      <c r="X78" s="16" t="n">
        <f aca="false">IF(X67=0,0,X77/X67)</f>
        <v>-0.118208827802596</v>
      </c>
      <c r="Y78" s="16" t="n">
        <f aca="false">IF(Y67=0,0,Y77/Y67)</f>
        <v>-0.089620339075134</v>
      </c>
      <c r="Z78" s="16" t="n">
        <f aca="false">IF(Z67=0,0,Z77/Z67)</f>
        <v>-0.0624600573205132</v>
      </c>
      <c r="AA78" s="16" t="n">
        <f aca="false">IF(AA67=0,0,AA77/AA67)</f>
        <v>-0.0392812282153533</v>
      </c>
      <c r="AB78" s="16" t="n">
        <f aca="false">IF(AB67=0,0,AB77/AB67)</f>
        <v>-0.017057820854689</v>
      </c>
      <c r="AC78" s="16" t="n">
        <f aca="false">IF(AC67=0,0,AC77/AC67)</f>
        <v>0.00427745943484222</v>
      </c>
      <c r="AD78" s="16" t="n">
        <f aca="false">IF(AD67=0,0,AD77/AD67)</f>
        <v>0.0246807575667366</v>
      </c>
      <c r="AE78" s="16" t="n">
        <f aca="false">IF(AE67=0,0,AE77/AE67)</f>
        <v>0.0442870412589055</v>
      </c>
      <c r="AF78" s="16" t="n">
        <f aca="false">IF(AF67=0,0,AF77/AF67)</f>
        <v>0.0631320594343517</v>
      </c>
      <c r="AG78" s="16" t="n">
        <f aca="false">IF(AG67=0,0,AG77/AG67)</f>
        <v>0.0812484033737747</v>
      </c>
      <c r="AH78" s="16" t="n">
        <f aca="false">IF(AH67=0,0,AH77/AH67)</f>
        <v>0.098666530001138</v>
      </c>
      <c r="AI78" s="16" t="n">
        <f aca="false">IF(AI67=0,0,AI77/AI67)</f>
        <v>0.115415063887484</v>
      </c>
      <c r="AJ78" s="16" t="n">
        <f aca="false">IF(AJ67=0,0,AJ77/AJ67)</f>
        <v>0.13152103133625</v>
      </c>
      <c r="AK78" s="16" t="n">
        <f aca="false">IF(AK67=0,0,AK77/AK67)</f>
        <v>0.147010045805236</v>
      </c>
      <c r="AL78" s="16" t="n">
        <f aca="false">IF(AL67=0,0,AL77/AL67)</f>
        <v>0.161906456097718</v>
      </c>
    </row>
    <row r="80" customFormat="false" ht="15" hidden="false" customHeight="false" outlineLevel="0" collapsed="false">
      <c r="A80" s="4" t="s">
        <v>475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 customFormat="false" ht="15" hidden="false" customHeight="false" outlineLevel="0" collapsed="false">
      <c r="A81" s="6" t="s">
        <v>476</v>
      </c>
      <c r="B81" s="2" t="s">
        <v>477</v>
      </c>
      <c r="C81" s="14" t="n">
        <f aca="false">(Assumptions!$F$10*Assumptions!$F$88)</f>
        <v>0</v>
      </c>
      <c r="D81" s="14" t="n">
        <f aca="false">(Assumptions!$F$10*Assumptions!$F$88)</f>
        <v>0</v>
      </c>
      <c r="E81" s="14" t="n">
        <f aca="false">(Assumptions!$F$10*Assumptions!$F$88)</f>
        <v>0</v>
      </c>
      <c r="F81" s="14" t="n">
        <f aca="false">(Assumptions!$F$10*Assumptions!$F$88)</f>
        <v>0</v>
      </c>
      <c r="G81" s="14" t="n">
        <f aca="false">(Assumptions!$F$10*Assumptions!$F$88)</f>
        <v>0</v>
      </c>
      <c r="H81" s="14" t="n">
        <f aca="false">(Assumptions!$F$10*Assumptions!$F$88)</f>
        <v>0</v>
      </c>
      <c r="I81" s="14" t="n">
        <f aca="false">(Assumptions!$F$10*Assumptions!$F$88)</f>
        <v>0</v>
      </c>
      <c r="J81" s="14" t="n">
        <f aca="false">(Assumptions!$F$10*Assumptions!$F$88)</f>
        <v>0</v>
      </c>
      <c r="K81" s="14" t="n">
        <f aca="false">(Assumptions!$F$10*Assumptions!$F$88)</f>
        <v>0</v>
      </c>
      <c r="L81" s="14" t="n">
        <f aca="false">(Assumptions!$F$10*Assumptions!$F$88)</f>
        <v>0</v>
      </c>
      <c r="M81" s="14" t="n">
        <f aca="false">(Assumptions!$F$10*Assumptions!$F$88)</f>
        <v>0</v>
      </c>
      <c r="N81" s="14" t="n">
        <f aca="false">(Assumptions!$F$10*Assumptions!$F$88)</f>
        <v>0</v>
      </c>
      <c r="O81" s="14" t="n">
        <f aca="false">(Assumptions!$F$10*Assumptions!$F$88)</f>
        <v>0</v>
      </c>
      <c r="P81" s="14" t="n">
        <f aca="false">(Assumptions!$F$10*Assumptions!$F$88)</f>
        <v>0</v>
      </c>
      <c r="Q81" s="14" t="n">
        <f aca="false">(Assumptions!$F$10*Assumptions!$F$88)</f>
        <v>0</v>
      </c>
      <c r="R81" s="14" t="n">
        <f aca="false">(Assumptions!$F$10*Assumptions!$F$88)</f>
        <v>0</v>
      </c>
      <c r="S81" s="14" t="n">
        <f aca="false">(Assumptions!$F$10*Assumptions!$F$88)</f>
        <v>0</v>
      </c>
      <c r="T81" s="14" t="n">
        <f aca="false">(Assumptions!$F$10*Assumptions!$F$88)</f>
        <v>0</v>
      </c>
      <c r="U81" s="14" t="n">
        <f aca="false">(Assumptions!$F$10*Assumptions!$F$88)</f>
        <v>0</v>
      </c>
      <c r="V81" s="14" t="n">
        <f aca="false">(Assumptions!$F$10*Assumptions!$F$88)</f>
        <v>0</v>
      </c>
      <c r="W81" s="14" t="n">
        <f aca="false">(Assumptions!$F$10*Assumptions!$F$88)</f>
        <v>0</v>
      </c>
      <c r="X81" s="14" t="n">
        <f aca="false">(Assumptions!$F$10*Assumptions!$F$88)</f>
        <v>0</v>
      </c>
      <c r="Y81" s="14" t="n">
        <f aca="false">(Assumptions!$F$10*Assumptions!$F$88)</f>
        <v>0</v>
      </c>
      <c r="Z81" s="14" t="n">
        <f aca="false">(Assumptions!$F$10*Assumptions!$F$88)</f>
        <v>0</v>
      </c>
      <c r="AA81" s="14" t="n">
        <f aca="false">(Assumptions!$F$10*Assumptions!$F$88)</f>
        <v>0</v>
      </c>
      <c r="AB81" s="14" t="n">
        <f aca="false">(Assumptions!$F$10*Assumptions!$F$88)</f>
        <v>0</v>
      </c>
      <c r="AC81" s="14" t="n">
        <f aca="false">(Assumptions!$F$10*Assumptions!$F$88)</f>
        <v>0</v>
      </c>
      <c r="AD81" s="14" t="n">
        <f aca="false">(Assumptions!$F$10*Assumptions!$F$88)</f>
        <v>0</v>
      </c>
      <c r="AE81" s="14" t="n">
        <f aca="false">(Assumptions!$F$10*Assumptions!$F$88)</f>
        <v>0</v>
      </c>
      <c r="AF81" s="14" t="n">
        <f aca="false">(Assumptions!$F$10*Assumptions!$F$88)</f>
        <v>0</v>
      </c>
      <c r="AG81" s="14" t="n">
        <f aca="false">(Assumptions!$F$10*Assumptions!$F$88)</f>
        <v>0</v>
      </c>
      <c r="AH81" s="14" t="n">
        <f aca="false">(Assumptions!$F$10*Assumptions!$F$88)</f>
        <v>0</v>
      </c>
      <c r="AI81" s="14" t="n">
        <f aca="false">(Assumptions!$F$10*Assumptions!$F$88)</f>
        <v>0</v>
      </c>
      <c r="AJ81" s="14" t="n">
        <f aca="false">(Assumptions!$F$10*Assumptions!$F$88)</f>
        <v>0</v>
      </c>
      <c r="AK81" s="14" t="n">
        <f aca="false">(Assumptions!$F$10*Assumptions!$F$88)</f>
        <v>0</v>
      </c>
      <c r="AL81" s="14" t="n">
        <f aca="false">(Assumptions!$F$10*Assumptions!$F$88)</f>
        <v>0</v>
      </c>
    </row>
    <row r="82" customFormat="false" ht="15" hidden="false" customHeight="false" outlineLevel="0" collapsed="false">
      <c r="A82" s="6" t="s">
        <v>478</v>
      </c>
      <c r="B82" s="2" t="s">
        <v>479</v>
      </c>
      <c r="C82" s="14" t="n">
        <f aca="false">CHOOSE(C$3,Assumptions!$F$89,Assumptions!$F$90,Assumptions!$F$91)</f>
        <v>300</v>
      </c>
      <c r="D82" s="14" t="n">
        <f aca="false">CHOOSE(D$3,Assumptions!$F$89,Assumptions!$F$90,Assumptions!$F$91)</f>
        <v>300</v>
      </c>
      <c r="E82" s="14" t="n">
        <f aca="false">CHOOSE(E$3,Assumptions!$F$89,Assumptions!$F$90,Assumptions!$F$91)</f>
        <v>300</v>
      </c>
      <c r="F82" s="14" t="n">
        <f aca="false">CHOOSE(F$3,Assumptions!$F$89,Assumptions!$F$90,Assumptions!$F$91)</f>
        <v>300</v>
      </c>
      <c r="G82" s="14" t="n">
        <f aca="false">CHOOSE(G$3,Assumptions!$F$89,Assumptions!$F$90,Assumptions!$F$91)</f>
        <v>300</v>
      </c>
      <c r="H82" s="14" t="n">
        <f aca="false">CHOOSE(H$3,Assumptions!$F$89,Assumptions!$F$90,Assumptions!$F$91)</f>
        <v>300</v>
      </c>
      <c r="I82" s="14" t="n">
        <f aca="false">CHOOSE(I$3,Assumptions!$F$89,Assumptions!$F$90,Assumptions!$F$91)</f>
        <v>300</v>
      </c>
      <c r="J82" s="14" t="n">
        <f aca="false">CHOOSE(J$3,Assumptions!$F$89,Assumptions!$F$90,Assumptions!$F$91)</f>
        <v>300</v>
      </c>
      <c r="K82" s="14" t="n">
        <f aca="false">CHOOSE(K$3,Assumptions!$F$89,Assumptions!$F$90,Assumptions!$F$91)</f>
        <v>300</v>
      </c>
      <c r="L82" s="14" t="n">
        <f aca="false">CHOOSE(L$3,Assumptions!$F$89,Assumptions!$F$90,Assumptions!$F$91)</f>
        <v>300</v>
      </c>
      <c r="M82" s="14" t="n">
        <f aca="false">CHOOSE(M$3,Assumptions!$F$89,Assumptions!$F$90,Assumptions!$F$91)</f>
        <v>300</v>
      </c>
      <c r="N82" s="14" t="n">
        <f aca="false">CHOOSE(N$3,Assumptions!$F$89,Assumptions!$F$90,Assumptions!$F$91)</f>
        <v>300</v>
      </c>
      <c r="O82" s="14" t="n">
        <f aca="false">CHOOSE(O$3,Assumptions!$F$89,Assumptions!$F$90,Assumptions!$F$91)</f>
        <v>800</v>
      </c>
      <c r="P82" s="14" t="n">
        <f aca="false">CHOOSE(P$3,Assumptions!$F$89,Assumptions!$F$90,Assumptions!$F$91)</f>
        <v>800</v>
      </c>
      <c r="Q82" s="14" t="n">
        <f aca="false">CHOOSE(Q$3,Assumptions!$F$89,Assumptions!$F$90,Assumptions!$F$91)</f>
        <v>800</v>
      </c>
      <c r="R82" s="14" t="n">
        <f aca="false">CHOOSE(R$3,Assumptions!$F$89,Assumptions!$F$90,Assumptions!$F$91)</f>
        <v>800</v>
      </c>
      <c r="S82" s="14" t="n">
        <f aca="false">CHOOSE(S$3,Assumptions!$F$89,Assumptions!$F$90,Assumptions!$F$91)</f>
        <v>800</v>
      </c>
      <c r="T82" s="14" t="n">
        <f aca="false">CHOOSE(T$3,Assumptions!$F$89,Assumptions!$F$90,Assumptions!$F$91)</f>
        <v>800</v>
      </c>
      <c r="U82" s="14" t="n">
        <f aca="false">CHOOSE(U$3,Assumptions!$F$89,Assumptions!$F$90,Assumptions!$F$91)</f>
        <v>800</v>
      </c>
      <c r="V82" s="14" t="n">
        <f aca="false">CHOOSE(V$3,Assumptions!$F$89,Assumptions!$F$90,Assumptions!$F$91)</f>
        <v>800</v>
      </c>
      <c r="W82" s="14" t="n">
        <f aca="false">CHOOSE(W$3,Assumptions!$F$89,Assumptions!$F$90,Assumptions!$F$91)</f>
        <v>800</v>
      </c>
      <c r="X82" s="14" t="n">
        <f aca="false">CHOOSE(X$3,Assumptions!$F$89,Assumptions!$F$90,Assumptions!$F$91)</f>
        <v>800</v>
      </c>
      <c r="Y82" s="14" t="n">
        <f aca="false">CHOOSE(Y$3,Assumptions!$F$89,Assumptions!$F$90,Assumptions!$F$91)</f>
        <v>800</v>
      </c>
      <c r="Z82" s="14" t="n">
        <f aca="false">CHOOSE(Z$3,Assumptions!$F$89,Assumptions!$F$90,Assumptions!$F$91)</f>
        <v>800</v>
      </c>
      <c r="AA82" s="14" t="n">
        <f aca="false">CHOOSE(AA$3,Assumptions!$F$89,Assumptions!$F$90,Assumptions!$F$91)</f>
        <v>1500</v>
      </c>
      <c r="AB82" s="14" t="n">
        <f aca="false">CHOOSE(AB$3,Assumptions!$F$89,Assumptions!$F$90,Assumptions!$F$91)</f>
        <v>1500</v>
      </c>
      <c r="AC82" s="14" t="n">
        <f aca="false">CHOOSE(AC$3,Assumptions!$F$89,Assumptions!$F$90,Assumptions!$F$91)</f>
        <v>1500</v>
      </c>
      <c r="AD82" s="14" t="n">
        <f aca="false">CHOOSE(AD$3,Assumptions!$F$89,Assumptions!$F$90,Assumptions!$F$91)</f>
        <v>1500</v>
      </c>
      <c r="AE82" s="14" t="n">
        <f aca="false">CHOOSE(AE$3,Assumptions!$F$89,Assumptions!$F$90,Assumptions!$F$91)</f>
        <v>1500</v>
      </c>
      <c r="AF82" s="14" t="n">
        <f aca="false">CHOOSE(AF$3,Assumptions!$F$89,Assumptions!$F$90,Assumptions!$F$91)</f>
        <v>1500</v>
      </c>
      <c r="AG82" s="14" t="n">
        <f aca="false">CHOOSE(AG$3,Assumptions!$F$89,Assumptions!$F$90,Assumptions!$F$91)</f>
        <v>1500</v>
      </c>
      <c r="AH82" s="14" t="n">
        <f aca="false">CHOOSE(AH$3,Assumptions!$F$89,Assumptions!$F$90,Assumptions!$F$91)</f>
        <v>1500</v>
      </c>
      <c r="AI82" s="14" t="n">
        <f aca="false">CHOOSE(AI$3,Assumptions!$F$89,Assumptions!$F$90,Assumptions!$F$91)</f>
        <v>1500</v>
      </c>
      <c r="AJ82" s="14" t="n">
        <f aca="false">CHOOSE(AJ$3,Assumptions!$F$89,Assumptions!$F$90,Assumptions!$F$91)</f>
        <v>1500</v>
      </c>
      <c r="AK82" s="14" t="n">
        <f aca="false">CHOOSE(AK$3,Assumptions!$F$89,Assumptions!$F$90,Assumptions!$F$91)</f>
        <v>1500</v>
      </c>
      <c r="AL82" s="14" t="n">
        <f aca="false">CHOOSE(AL$3,Assumptions!$F$89,Assumptions!$F$90,Assumptions!$F$91)</f>
        <v>1500</v>
      </c>
    </row>
    <row r="83" customFormat="false" ht="15" hidden="false" customHeight="false" outlineLevel="0" collapsed="false">
      <c r="A83" s="6" t="s">
        <v>480</v>
      </c>
      <c r="B83" s="2" t="s">
        <v>481</v>
      </c>
      <c r="C83" s="14" t="n">
        <f aca="false">C10</f>
        <v>500</v>
      </c>
      <c r="D83" s="14" t="n">
        <f aca="false">D10</f>
        <v>500</v>
      </c>
      <c r="E83" s="14" t="n">
        <f aca="false">E10</f>
        <v>500</v>
      </c>
      <c r="F83" s="14" t="n">
        <f aca="false">F10</f>
        <v>500</v>
      </c>
      <c r="G83" s="14" t="n">
        <f aca="false">G10</f>
        <v>500</v>
      </c>
      <c r="H83" s="14" t="n">
        <f aca="false">H10</f>
        <v>500</v>
      </c>
      <c r="I83" s="14" t="n">
        <f aca="false">I10</f>
        <v>500</v>
      </c>
      <c r="J83" s="14" t="n">
        <f aca="false">J10</f>
        <v>500</v>
      </c>
      <c r="K83" s="14" t="n">
        <f aca="false">K10</f>
        <v>500</v>
      </c>
      <c r="L83" s="14" t="n">
        <f aca="false">L10</f>
        <v>500</v>
      </c>
      <c r="M83" s="14" t="n">
        <f aca="false">M10</f>
        <v>500</v>
      </c>
      <c r="N83" s="14" t="n">
        <f aca="false">N10</f>
        <v>500</v>
      </c>
      <c r="O83" s="14" t="n">
        <f aca="false">O10</f>
        <v>500</v>
      </c>
      <c r="P83" s="14" t="n">
        <f aca="false">P10</f>
        <v>500</v>
      </c>
      <c r="Q83" s="14" t="n">
        <f aca="false">Q10</f>
        <v>500</v>
      </c>
      <c r="R83" s="14" t="n">
        <f aca="false">R10</f>
        <v>500</v>
      </c>
      <c r="S83" s="14" t="n">
        <f aca="false">S10</f>
        <v>500</v>
      </c>
      <c r="T83" s="14" t="n">
        <f aca="false">T10</f>
        <v>500</v>
      </c>
      <c r="U83" s="14" t="n">
        <f aca="false">U10</f>
        <v>500</v>
      </c>
      <c r="V83" s="14" t="n">
        <f aca="false">V10</f>
        <v>500</v>
      </c>
      <c r="W83" s="14" t="n">
        <f aca="false">W10</f>
        <v>500</v>
      </c>
      <c r="X83" s="14" t="n">
        <f aca="false">X10</f>
        <v>500</v>
      </c>
      <c r="Y83" s="14" t="n">
        <f aca="false">Y10</f>
        <v>500</v>
      </c>
      <c r="Z83" s="14" t="n">
        <f aca="false">Z10</f>
        <v>500</v>
      </c>
      <c r="AA83" s="14" t="n">
        <f aca="false">AA10</f>
        <v>500</v>
      </c>
      <c r="AB83" s="14" t="n">
        <f aca="false">AB10</f>
        <v>500</v>
      </c>
      <c r="AC83" s="14" t="n">
        <f aca="false">AC10</f>
        <v>500</v>
      </c>
      <c r="AD83" s="14" t="n">
        <f aca="false">AD10</f>
        <v>500</v>
      </c>
      <c r="AE83" s="14" t="n">
        <f aca="false">AE10</f>
        <v>500</v>
      </c>
      <c r="AF83" s="14" t="n">
        <f aca="false">AF10</f>
        <v>500</v>
      </c>
      <c r="AG83" s="14" t="n">
        <f aca="false">AG10</f>
        <v>500</v>
      </c>
      <c r="AH83" s="14" t="n">
        <f aca="false">AH10</f>
        <v>500</v>
      </c>
      <c r="AI83" s="14" t="n">
        <f aca="false">AI10</f>
        <v>500</v>
      </c>
      <c r="AJ83" s="14" t="n">
        <f aca="false">AJ10</f>
        <v>500</v>
      </c>
      <c r="AK83" s="14" t="n">
        <f aca="false">AK10</f>
        <v>500</v>
      </c>
      <c r="AL83" s="14" t="n">
        <f aca="false">AL10</f>
        <v>500</v>
      </c>
    </row>
    <row r="84" customFormat="false" ht="15" hidden="false" customHeight="false" outlineLevel="0" collapsed="false">
      <c r="A84" s="6" t="s">
        <v>482</v>
      </c>
      <c r="B84" s="2" t="s">
        <v>483</v>
      </c>
      <c r="C84" s="14" t="n">
        <f aca="false">C8</f>
        <v>0</v>
      </c>
      <c r="D84" s="14" t="n">
        <f aca="false">D8</f>
        <v>0</v>
      </c>
      <c r="E84" s="14" t="n">
        <f aca="false">E8</f>
        <v>0</v>
      </c>
      <c r="F84" s="14" t="n">
        <f aca="false">F8</f>
        <v>300</v>
      </c>
      <c r="G84" s="14" t="n">
        <f aca="false">G8</f>
        <v>309</v>
      </c>
      <c r="H84" s="14" t="n">
        <f aca="false">H8</f>
        <v>318.27</v>
      </c>
      <c r="I84" s="14" t="n">
        <f aca="false">I8</f>
        <v>327.8181</v>
      </c>
      <c r="J84" s="14" t="n">
        <f aca="false">J8</f>
        <v>337.652643</v>
      </c>
      <c r="K84" s="14" t="n">
        <f aca="false">K8</f>
        <v>347.78222229</v>
      </c>
      <c r="L84" s="14" t="n">
        <f aca="false">L8</f>
        <v>358.2156889587</v>
      </c>
      <c r="M84" s="14" t="n">
        <f aca="false">M8</f>
        <v>368.962159627461</v>
      </c>
      <c r="N84" s="14" t="n">
        <f aca="false">N8</f>
        <v>380.031024416285</v>
      </c>
      <c r="O84" s="14" t="n">
        <f aca="false">O8</f>
        <v>391.431955148773</v>
      </c>
      <c r="P84" s="14" t="n">
        <f aca="false">P8</f>
        <v>403.174913803237</v>
      </c>
      <c r="Q84" s="14" t="n">
        <f aca="false">Q8</f>
        <v>415.270161217334</v>
      </c>
      <c r="R84" s="14" t="n">
        <f aca="false">R8</f>
        <v>427.728266053854</v>
      </c>
      <c r="S84" s="14" t="n">
        <f aca="false">S8</f>
        <v>440.560114035469</v>
      </c>
      <c r="T84" s="14" t="n">
        <f aca="false">T8</f>
        <v>453.776917456534</v>
      </c>
      <c r="U84" s="14" t="n">
        <f aca="false">U8</f>
        <v>467.39022498023</v>
      </c>
      <c r="V84" s="14" t="n">
        <f aca="false">V8</f>
        <v>481.411931729637</v>
      </c>
      <c r="W84" s="14" t="n">
        <f aca="false">W8</f>
        <v>495.854289681526</v>
      </c>
      <c r="X84" s="14" t="n">
        <f aca="false">X8</f>
        <v>510.729918371971</v>
      </c>
      <c r="Y84" s="14" t="n">
        <f aca="false">Y8</f>
        <v>526.05181592313</v>
      </c>
      <c r="Z84" s="14" t="n">
        <f aca="false">Z8</f>
        <v>541.833370400825</v>
      </c>
      <c r="AA84" s="14" t="n">
        <f aca="false">AA8</f>
        <v>558.088371512849</v>
      </c>
      <c r="AB84" s="14" t="n">
        <f aca="false">AB8</f>
        <v>574.831022658235</v>
      </c>
      <c r="AC84" s="14" t="n">
        <f aca="false">AC8</f>
        <v>592.075953337982</v>
      </c>
      <c r="AD84" s="14" t="n">
        <f aca="false">AD8</f>
        <v>609.838231938121</v>
      </c>
      <c r="AE84" s="14" t="n">
        <f aca="false">AE8</f>
        <v>628.133378896265</v>
      </c>
      <c r="AF84" s="14" t="n">
        <f aca="false">AF8</f>
        <v>646.977380263153</v>
      </c>
      <c r="AG84" s="14" t="n">
        <f aca="false">AG8</f>
        <v>666.386701671048</v>
      </c>
      <c r="AH84" s="14" t="n">
        <f aca="false">AH8</f>
        <v>686.378302721179</v>
      </c>
      <c r="AI84" s="14" t="n">
        <f aca="false">AI8</f>
        <v>706.969651802814</v>
      </c>
      <c r="AJ84" s="14" t="n">
        <f aca="false">AJ8</f>
        <v>728.178741356899</v>
      </c>
      <c r="AK84" s="14" t="n">
        <f aca="false">AK8</f>
        <v>750.024103597606</v>
      </c>
      <c r="AL84" s="14" t="n">
        <f aca="false">AL8</f>
        <v>772.524826705534</v>
      </c>
    </row>
    <row r="85" customFormat="false" ht="15" hidden="false" customHeight="false" outlineLevel="0" collapsed="false">
      <c r="A85" s="6" t="s">
        <v>484</v>
      </c>
      <c r="B85" s="2" t="s">
        <v>485</v>
      </c>
      <c r="C85" s="14" t="n">
        <f aca="false">Assumptions!$F$92</f>
        <v>150</v>
      </c>
      <c r="D85" s="14" t="n">
        <f aca="false">Assumptions!$F$92</f>
        <v>150</v>
      </c>
      <c r="E85" s="14" t="n">
        <f aca="false">Assumptions!$F$92</f>
        <v>150</v>
      </c>
      <c r="F85" s="14" t="n">
        <f aca="false">Assumptions!$F$92</f>
        <v>150</v>
      </c>
      <c r="G85" s="14" t="n">
        <f aca="false">Assumptions!$F$92</f>
        <v>150</v>
      </c>
      <c r="H85" s="14" t="n">
        <f aca="false">Assumptions!$F$92</f>
        <v>150</v>
      </c>
      <c r="I85" s="14" t="n">
        <f aca="false">Assumptions!$F$92</f>
        <v>150</v>
      </c>
      <c r="J85" s="14" t="n">
        <f aca="false">Assumptions!$F$92</f>
        <v>150</v>
      </c>
      <c r="K85" s="14" t="n">
        <f aca="false">Assumptions!$F$92</f>
        <v>150</v>
      </c>
      <c r="L85" s="14" t="n">
        <f aca="false">Assumptions!$F$92</f>
        <v>150</v>
      </c>
      <c r="M85" s="14" t="n">
        <f aca="false">Assumptions!$F$92</f>
        <v>150</v>
      </c>
      <c r="N85" s="14" t="n">
        <f aca="false">Assumptions!$F$92</f>
        <v>150</v>
      </c>
      <c r="O85" s="14" t="n">
        <f aca="false">Assumptions!$F$92</f>
        <v>150</v>
      </c>
      <c r="P85" s="14" t="n">
        <f aca="false">Assumptions!$F$92</f>
        <v>150</v>
      </c>
      <c r="Q85" s="14" t="n">
        <f aca="false">Assumptions!$F$92</f>
        <v>150</v>
      </c>
      <c r="R85" s="14" t="n">
        <f aca="false">Assumptions!$F$92</f>
        <v>150</v>
      </c>
      <c r="S85" s="14" t="n">
        <f aca="false">Assumptions!$F$92</f>
        <v>150</v>
      </c>
      <c r="T85" s="14" t="n">
        <f aca="false">Assumptions!$F$92</f>
        <v>150</v>
      </c>
      <c r="U85" s="14" t="n">
        <f aca="false">Assumptions!$F$92</f>
        <v>150</v>
      </c>
      <c r="V85" s="14" t="n">
        <f aca="false">Assumptions!$F$92</f>
        <v>150</v>
      </c>
      <c r="W85" s="14" t="n">
        <f aca="false">Assumptions!$F$92</f>
        <v>150</v>
      </c>
      <c r="X85" s="14" t="n">
        <f aca="false">Assumptions!$F$92</f>
        <v>150</v>
      </c>
      <c r="Y85" s="14" t="n">
        <f aca="false">Assumptions!$F$92</f>
        <v>150</v>
      </c>
      <c r="Z85" s="14" t="n">
        <f aca="false">Assumptions!$F$92</f>
        <v>150</v>
      </c>
      <c r="AA85" s="14" t="n">
        <f aca="false">Assumptions!$F$92</f>
        <v>150</v>
      </c>
      <c r="AB85" s="14" t="n">
        <f aca="false">Assumptions!$F$92</f>
        <v>150</v>
      </c>
      <c r="AC85" s="14" t="n">
        <f aca="false">Assumptions!$F$92</f>
        <v>150</v>
      </c>
      <c r="AD85" s="14" t="n">
        <f aca="false">Assumptions!$F$92</f>
        <v>150</v>
      </c>
      <c r="AE85" s="14" t="n">
        <f aca="false">Assumptions!$F$92</f>
        <v>150</v>
      </c>
      <c r="AF85" s="14" t="n">
        <f aca="false">Assumptions!$F$92</f>
        <v>150</v>
      </c>
      <c r="AG85" s="14" t="n">
        <f aca="false">Assumptions!$F$92</f>
        <v>150</v>
      </c>
      <c r="AH85" s="14" t="n">
        <f aca="false">Assumptions!$F$92</f>
        <v>150</v>
      </c>
      <c r="AI85" s="14" t="n">
        <f aca="false">Assumptions!$F$92</f>
        <v>150</v>
      </c>
      <c r="AJ85" s="14" t="n">
        <f aca="false">Assumptions!$F$92</f>
        <v>150</v>
      </c>
      <c r="AK85" s="14" t="n">
        <f aca="false">Assumptions!$F$92</f>
        <v>150</v>
      </c>
      <c r="AL85" s="14" t="n">
        <f aca="false">Assumptions!$F$92</f>
        <v>150</v>
      </c>
    </row>
    <row r="86" customFormat="false" ht="15" hidden="false" customHeight="false" outlineLevel="0" collapsed="false">
      <c r="A86" s="6" t="s">
        <v>486</v>
      </c>
      <c r="B86" s="2" t="s">
        <v>487</v>
      </c>
      <c r="C86" s="14" t="n">
        <f aca="false">(((IF((C$2=1),(((Assumptions!$F$93+Assumptions!$F$94)+Assumptions!$F$95)+Assumptions!$F$96),0)+Assumptions!$F$97)+IF(AND((C$2&gt;1),(MOD((C$2-1),12)=0)),Assumptions!$F$98,0))+IF(AND((Assumptions!$F$11=1),(C$2&gt;=Assumptions!$F$99)),Assumptions!$F$100,0))</f>
        <v>3800</v>
      </c>
      <c r="D86" s="14" t="n">
        <f aca="false">(((IF((D$2=1),(((Assumptions!$F$93+Assumptions!$F$94)+Assumptions!$F$95)+Assumptions!$F$96),0)+Assumptions!$F$97)+IF(AND((D$2&gt;1),(MOD((D$2-1),12)=0)),Assumptions!$F$98,0))+IF(AND((Assumptions!$F$11=1),(D$2&gt;=Assumptions!$F$99)),Assumptions!$F$100,0))</f>
        <v>100</v>
      </c>
      <c r="E86" s="14" t="n">
        <f aca="false">(((IF((E$2=1),(((Assumptions!$F$93+Assumptions!$F$94)+Assumptions!$F$95)+Assumptions!$F$96),0)+Assumptions!$F$97)+IF(AND((E$2&gt;1),(MOD((E$2-1),12)=0)),Assumptions!$F$98,0))+IF(AND((Assumptions!$F$11=1),(E$2&gt;=Assumptions!$F$99)),Assumptions!$F$100,0))</f>
        <v>100</v>
      </c>
      <c r="F86" s="14" t="n">
        <f aca="false">(((IF((F$2=1),(((Assumptions!$F$93+Assumptions!$F$94)+Assumptions!$F$95)+Assumptions!$F$96),0)+Assumptions!$F$97)+IF(AND((F$2&gt;1),(MOD((F$2-1),12)=0)),Assumptions!$F$98,0))+IF(AND((Assumptions!$F$11=1),(F$2&gt;=Assumptions!$F$99)),Assumptions!$F$100,0))</f>
        <v>100</v>
      </c>
      <c r="G86" s="14" t="n">
        <f aca="false">(((IF((G$2=1),(((Assumptions!$F$93+Assumptions!$F$94)+Assumptions!$F$95)+Assumptions!$F$96),0)+Assumptions!$F$97)+IF(AND((G$2&gt;1),(MOD((G$2-1),12)=0)),Assumptions!$F$98,0))+IF(AND((Assumptions!$F$11=1),(G$2&gt;=Assumptions!$F$99)),Assumptions!$F$100,0))</f>
        <v>100</v>
      </c>
      <c r="H86" s="14" t="n">
        <f aca="false">(((IF((H$2=1),(((Assumptions!$F$93+Assumptions!$F$94)+Assumptions!$F$95)+Assumptions!$F$96),0)+Assumptions!$F$97)+IF(AND((H$2&gt;1),(MOD((H$2-1),12)=0)),Assumptions!$F$98,0))+IF(AND((Assumptions!$F$11=1),(H$2&gt;=Assumptions!$F$99)),Assumptions!$F$100,0))</f>
        <v>100</v>
      </c>
      <c r="I86" s="14" t="n">
        <f aca="false">(((IF((I$2=1),(((Assumptions!$F$93+Assumptions!$F$94)+Assumptions!$F$95)+Assumptions!$F$96),0)+Assumptions!$F$97)+IF(AND((I$2&gt;1),(MOD((I$2-1),12)=0)),Assumptions!$F$98,0))+IF(AND((Assumptions!$F$11=1),(I$2&gt;=Assumptions!$F$99)),Assumptions!$F$100,0))</f>
        <v>100</v>
      </c>
      <c r="J86" s="14" t="n">
        <f aca="false">(((IF((J$2=1),(((Assumptions!$F$93+Assumptions!$F$94)+Assumptions!$F$95)+Assumptions!$F$96),0)+Assumptions!$F$97)+IF(AND((J$2&gt;1),(MOD((J$2-1),12)=0)),Assumptions!$F$98,0))+IF(AND((Assumptions!$F$11=1),(J$2&gt;=Assumptions!$F$99)),Assumptions!$F$100,0))</f>
        <v>100</v>
      </c>
      <c r="K86" s="14" t="n">
        <f aca="false">(((IF((K$2=1),(((Assumptions!$F$93+Assumptions!$F$94)+Assumptions!$F$95)+Assumptions!$F$96),0)+Assumptions!$F$97)+IF(AND((K$2&gt;1),(MOD((K$2-1),12)=0)),Assumptions!$F$98,0))+IF(AND((Assumptions!$F$11=1),(K$2&gt;=Assumptions!$F$99)),Assumptions!$F$100,0))</f>
        <v>100</v>
      </c>
      <c r="L86" s="14" t="n">
        <f aca="false">(((IF((L$2=1),(((Assumptions!$F$93+Assumptions!$F$94)+Assumptions!$F$95)+Assumptions!$F$96),0)+Assumptions!$F$97)+IF(AND((L$2&gt;1),(MOD((L$2-1),12)=0)),Assumptions!$F$98,0))+IF(AND((Assumptions!$F$11=1),(L$2&gt;=Assumptions!$F$99)),Assumptions!$F$100,0))</f>
        <v>100</v>
      </c>
      <c r="M86" s="14" t="n">
        <f aca="false">(((IF((M$2=1),(((Assumptions!$F$93+Assumptions!$F$94)+Assumptions!$F$95)+Assumptions!$F$96),0)+Assumptions!$F$97)+IF(AND((M$2&gt;1),(MOD((M$2-1),12)=0)),Assumptions!$F$98,0))+IF(AND((Assumptions!$F$11=1),(M$2&gt;=Assumptions!$F$99)),Assumptions!$F$100,0))</f>
        <v>100</v>
      </c>
      <c r="N86" s="14" t="n">
        <f aca="false">(((IF((N$2=1),(((Assumptions!$F$93+Assumptions!$F$94)+Assumptions!$F$95)+Assumptions!$F$96),0)+Assumptions!$F$97)+IF(AND((N$2&gt;1),(MOD((N$2-1),12)=0)),Assumptions!$F$98,0))+IF(AND((Assumptions!$F$11=1),(N$2&gt;=Assumptions!$F$99)),Assumptions!$F$100,0))</f>
        <v>100</v>
      </c>
      <c r="O86" s="14" t="n">
        <f aca="false">(((IF((O$2=1),(((Assumptions!$F$93+Assumptions!$F$94)+Assumptions!$F$95)+Assumptions!$F$96),0)+Assumptions!$F$97)+IF(AND((O$2&gt;1),(MOD((O$2-1),12)=0)),Assumptions!$F$98,0))+IF(AND((Assumptions!$F$11=1),(O$2&gt;=Assumptions!$F$99)),Assumptions!$F$100,0))</f>
        <v>1100</v>
      </c>
      <c r="P86" s="14" t="n">
        <f aca="false">(((IF((P$2=1),(((Assumptions!$F$93+Assumptions!$F$94)+Assumptions!$F$95)+Assumptions!$F$96),0)+Assumptions!$F$97)+IF(AND((P$2&gt;1),(MOD((P$2-1),12)=0)),Assumptions!$F$98,0))+IF(AND((Assumptions!$F$11=1),(P$2&gt;=Assumptions!$F$99)),Assumptions!$F$100,0))</f>
        <v>100</v>
      </c>
      <c r="Q86" s="14" t="n">
        <f aca="false">(((IF((Q$2=1),(((Assumptions!$F$93+Assumptions!$F$94)+Assumptions!$F$95)+Assumptions!$F$96),0)+Assumptions!$F$97)+IF(AND((Q$2&gt;1),(MOD((Q$2-1),12)=0)),Assumptions!$F$98,0))+IF(AND((Assumptions!$F$11=1),(Q$2&gt;=Assumptions!$F$99)),Assumptions!$F$100,0))</f>
        <v>100</v>
      </c>
      <c r="R86" s="14" t="n">
        <f aca="false">(((IF((R$2=1),(((Assumptions!$F$93+Assumptions!$F$94)+Assumptions!$F$95)+Assumptions!$F$96),0)+Assumptions!$F$97)+IF(AND((R$2&gt;1),(MOD((R$2-1),12)=0)),Assumptions!$F$98,0))+IF(AND((Assumptions!$F$11=1),(R$2&gt;=Assumptions!$F$99)),Assumptions!$F$100,0))</f>
        <v>100</v>
      </c>
      <c r="S86" s="14" t="n">
        <f aca="false">(((IF((S$2=1),(((Assumptions!$F$93+Assumptions!$F$94)+Assumptions!$F$95)+Assumptions!$F$96),0)+Assumptions!$F$97)+IF(AND((S$2&gt;1),(MOD((S$2-1),12)=0)),Assumptions!$F$98,0))+IF(AND((Assumptions!$F$11=1),(S$2&gt;=Assumptions!$F$99)),Assumptions!$F$100,0))</f>
        <v>100</v>
      </c>
      <c r="T86" s="14" t="n">
        <f aca="false">(((IF((T$2=1),(((Assumptions!$F$93+Assumptions!$F$94)+Assumptions!$F$95)+Assumptions!$F$96),0)+Assumptions!$F$97)+IF(AND((T$2&gt;1),(MOD((T$2-1),12)=0)),Assumptions!$F$98,0))+IF(AND((Assumptions!$F$11=1),(T$2&gt;=Assumptions!$F$99)),Assumptions!$F$100,0))</f>
        <v>100</v>
      </c>
      <c r="U86" s="14" t="n">
        <f aca="false">(((IF((U$2=1),(((Assumptions!$F$93+Assumptions!$F$94)+Assumptions!$F$95)+Assumptions!$F$96),0)+Assumptions!$F$97)+IF(AND((U$2&gt;1),(MOD((U$2-1),12)=0)),Assumptions!$F$98,0))+IF(AND((Assumptions!$F$11=1),(U$2&gt;=Assumptions!$F$99)),Assumptions!$F$100,0))</f>
        <v>100</v>
      </c>
      <c r="V86" s="14" t="n">
        <f aca="false">(((IF((V$2=1),(((Assumptions!$F$93+Assumptions!$F$94)+Assumptions!$F$95)+Assumptions!$F$96),0)+Assumptions!$F$97)+IF(AND((V$2&gt;1),(MOD((V$2-1),12)=0)),Assumptions!$F$98,0))+IF(AND((Assumptions!$F$11=1),(V$2&gt;=Assumptions!$F$99)),Assumptions!$F$100,0))</f>
        <v>100</v>
      </c>
      <c r="W86" s="14" t="n">
        <f aca="false">(((IF((W$2=1),(((Assumptions!$F$93+Assumptions!$F$94)+Assumptions!$F$95)+Assumptions!$F$96),0)+Assumptions!$F$97)+IF(AND((W$2&gt;1),(MOD((W$2-1),12)=0)),Assumptions!$F$98,0))+IF(AND((Assumptions!$F$11=1),(W$2&gt;=Assumptions!$F$99)),Assumptions!$F$100,0))</f>
        <v>100</v>
      </c>
      <c r="X86" s="14" t="n">
        <f aca="false">(((IF((X$2=1),(((Assumptions!$F$93+Assumptions!$F$94)+Assumptions!$F$95)+Assumptions!$F$96),0)+Assumptions!$F$97)+IF(AND((X$2&gt;1),(MOD((X$2-1),12)=0)),Assumptions!$F$98,0))+IF(AND((Assumptions!$F$11=1),(X$2&gt;=Assumptions!$F$99)),Assumptions!$F$100,0))</f>
        <v>100</v>
      </c>
      <c r="Y86" s="14" t="n">
        <f aca="false">(((IF((Y$2=1),(((Assumptions!$F$93+Assumptions!$F$94)+Assumptions!$F$95)+Assumptions!$F$96),0)+Assumptions!$F$97)+IF(AND((Y$2&gt;1),(MOD((Y$2-1),12)=0)),Assumptions!$F$98,0))+IF(AND((Assumptions!$F$11=1),(Y$2&gt;=Assumptions!$F$99)),Assumptions!$F$100,0))</f>
        <v>100</v>
      </c>
      <c r="Z86" s="14" t="n">
        <f aca="false">(((IF((Z$2=1),(((Assumptions!$F$93+Assumptions!$F$94)+Assumptions!$F$95)+Assumptions!$F$96),0)+Assumptions!$F$97)+IF(AND((Z$2&gt;1),(MOD((Z$2-1),12)=0)),Assumptions!$F$98,0))+IF(AND((Assumptions!$F$11=1),(Z$2&gt;=Assumptions!$F$99)),Assumptions!$F$100,0))</f>
        <v>100</v>
      </c>
      <c r="AA86" s="14" t="n">
        <f aca="false">(((IF((AA$2=1),(((Assumptions!$F$93+Assumptions!$F$94)+Assumptions!$F$95)+Assumptions!$F$96),0)+Assumptions!$F$97)+IF(AND((AA$2&gt;1),(MOD((AA$2-1),12)=0)),Assumptions!$F$98,0))+IF(AND((Assumptions!$F$11=1),(AA$2&gt;=Assumptions!$F$99)),Assumptions!$F$100,0))</f>
        <v>1100</v>
      </c>
      <c r="AB86" s="14" t="n">
        <f aca="false">(((IF((AB$2=1),(((Assumptions!$F$93+Assumptions!$F$94)+Assumptions!$F$95)+Assumptions!$F$96),0)+Assumptions!$F$97)+IF(AND((AB$2&gt;1),(MOD((AB$2-1),12)=0)),Assumptions!$F$98,0))+IF(AND((Assumptions!$F$11=1),(AB$2&gt;=Assumptions!$F$99)),Assumptions!$F$100,0))</f>
        <v>100</v>
      </c>
      <c r="AC86" s="14" t="n">
        <f aca="false">(((IF((AC$2=1),(((Assumptions!$F$93+Assumptions!$F$94)+Assumptions!$F$95)+Assumptions!$F$96),0)+Assumptions!$F$97)+IF(AND((AC$2&gt;1),(MOD((AC$2-1),12)=0)),Assumptions!$F$98,0))+IF(AND((Assumptions!$F$11=1),(AC$2&gt;=Assumptions!$F$99)),Assumptions!$F$100,0))</f>
        <v>100</v>
      </c>
      <c r="AD86" s="14" t="n">
        <f aca="false">(((IF((AD$2=1),(((Assumptions!$F$93+Assumptions!$F$94)+Assumptions!$F$95)+Assumptions!$F$96),0)+Assumptions!$F$97)+IF(AND((AD$2&gt;1),(MOD((AD$2-1),12)=0)),Assumptions!$F$98,0))+IF(AND((Assumptions!$F$11=1),(AD$2&gt;=Assumptions!$F$99)),Assumptions!$F$100,0))</f>
        <v>100</v>
      </c>
      <c r="AE86" s="14" t="n">
        <f aca="false">(((IF((AE$2=1),(((Assumptions!$F$93+Assumptions!$F$94)+Assumptions!$F$95)+Assumptions!$F$96),0)+Assumptions!$F$97)+IF(AND((AE$2&gt;1),(MOD((AE$2-1),12)=0)),Assumptions!$F$98,0))+IF(AND((Assumptions!$F$11=1),(AE$2&gt;=Assumptions!$F$99)),Assumptions!$F$100,0))</f>
        <v>100</v>
      </c>
      <c r="AF86" s="14" t="n">
        <f aca="false">(((IF((AF$2=1),(((Assumptions!$F$93+Assumptions!$F$94)+Assumptions!$F$95)+Assumptions!$F$96),0)+Assumptions!$F$97)+IF(AND((AF$2&gt;1),(MOD((AF$2-1),12)=0)),Assumptions!$F$98,0))+IF(AND((Assumptions!$F$11=1),(AF$2&gt;=Assumptions!$F$99)),Assumptions!$F$100,0))</f>
        <v>100</v>
      </c>
      <c r="AG86" s="14" t="n">
        <f aca="false">(((IF((AG$2=1),(((Assumptions!$F$93+Assumptions!$F$94)+Assumptions!$F$95)+Assumptions!$F$96),0)+Assumptions!$F$97)+IF(AND((AG$2&gt;1),(MOD((AG$2-1),12)=0)),Assumptions!$F$98,0))+IF(AND((Assumptions!$F$11=1),(AG$2&gt;=Assumptions!$F$99)),Assumptions!$F$100,0))</f>
        <v>100</v>
      </c>
      <c r="AH86" s="14" t="n">
        <f aca="false">(((IF((AH$2=1),(((Assumptions!$F$93+Assumptions!$F$94)+Assumptions!$F$95)+Assumptions!$F$96),0)+Assumptions!$F$97)+IF(AND((AH$2&gt;1),(MOD((AH$2-1),12)=0)),Assumptions!$F$98,0))+IF(AND((Assumptions!$F$11=1),(AH$2&gt;=Assumptions!$F$99)),Assumptions!$F$100,0))</f>
        <v>100</v>
      </c>
      <c r="AI86" s="14" t="n">
        <f aca="false">(((IF((AI$2=1),(((Assumptions!$F$93+Assumptions!$F$94)+Assumptions!$F$95)+Assumptions!$F$96),0)+Assumptions!$F$97)+IF(AND((AI$2&gt;1),(MOD((AI$2-1),12)=0)),Assumptions!$F$98,0))+IF(AND((Assumptions!$F$11=1),(AI$2&gt;=Assumptions!$F$99)),Assumptions!$F$100,0))</f>
        <v>100</v>
      </c>
      <c r="AJ86" s="14" t="n">
        <f aca="false">(((IF((AJ$2=1),(((Assumptions!$F$93+Assumptions!$F$94)+Assumptions!$F$95)+Assumptions!$F$96),0)+Assumptions!$F$97)+IF(AND((AJ$2&gt;1),(MOD((AJ$2-1),12)=0)),Assumptions!$F$98,0))+IF(AND((Assumptions!$F$11=1),(AJ$2&gt;=Assumptions!$F$99)),Assumptions!$F$100,0))</f>
        <v>100</v>
      </c>
      <c r="AK86" s="14" t="n">
        <f aca="false">(((IF((AK$2=1),(((Assumptions!$F$93+Assumptions!$F$94)+Assumptions!$F$95)+Assumptions!$F$96),0)+Assumptions!$F$97)+IF(AND((AK$2&gt;1),(MOD((AK$2-1),12)=0)),Assumptions!$F$98,0))+IF(AND((Assumptions!$F$11=1),(AK$2&gt;=Assumptions!$F$99)),Assumptions!$F$100,0))</f>
        <v>100</v>
      </c>
      <c r="AL86" s="14" t="n">
        <f aca="false">(((IF((AL$2=1),(((Assumptions!$F$93+Assumptions!$F$94)+Assumptions!$F$95)+Assumptions!$F$96),0)+Assumptions!$F$97)+IF(AND((AL$2&gt;1),(MOD((AL$2-1),12)=0)),Assumptions!$F$98,0))+IF(AND((Assumptions!$F$11=1),(AL$2&gt;=Assumptions!$F$99)),Assumptions!$F$100,0))</f>
        <v>100</v>
      </c>
    </row>
    <row r="87" customFormat="false" ht="15" hidden="false" customHeight="false" outlineLevel="0" collapsed="false">
      <c r="A87" s="6" t="s">
        <v>488</v>
      </c>
      <c r="B87" s="2" t="s">
        <v>489</v>
      </c>
      <c r="C87" s="14" t="n">
        <f aca="false">CHOOSE(C$3,Assumptions!$F$101,Assumptions!$F$102,Assumptions!$F$103)</f>
        <v>150</v>
      </c>
      <c r="D87" s="14" t="n">
        <f aca="false">CHOOSE(D$3,Assumptions!$F$101,Assumptions!$F$102,Assumptions!$F$103)</f>
        <v>150</v>
      </c>
      <c r="E87" s="14" t="n">
        <f aca="false">CHOOSE(E$3,Assumptions!$F$101,Assumptions!$F$102,Assumptions!$F$103)</f>
        <v>150</v>
      </c>
      <c r="F87" s="14" t="n">
        <f aca="false">CHOOSE(F$3,Assumptions!$F$101,Assumptions!$F$102,Assumptions!$F$103)</f>
        <v>150</v>
      </c>
      <c r="G87" s="14" t="n">
        <f aca="false">CHOOSE(G$3,Assumptions!$F$101,Assumptions!$F$102,Assumptions!$F$103)</f>
        <v>150</v>
      </c>
      <c r="H87" s="14" t="n">
        <f aca="false">CHOOSE(H$3,Assumptions!$F$101,Assumptions!$F$102,Assumptions!$F$103)</f>
        <v>150</v>
      </c>
      <c r="I87" s="14" t="n">
        <f aca="false">CHOOSE(I$3,Assumptions!$F$101,Assumptions!$F$102,Assumptions!$F$103)</f>
        <v>150</v>
      </c>
      <c r="J87" s="14" t="n">
        <f aca="false">CHOOSE(J$3,Assumptions!$F$101,Assumptions!$F$102,Assumptions!$F$103)</f>
        <v>150</v>
      </c>
      <c r="K87" s="14" t="n">
        <f aca="false">CHOOSE(K$3,Assumptions!$F$101,Assumptions!$F$102,Assumptions!$F$103)</f>
        <v>150</v>
      </c>
      <c r="L87" s="14" t="n">
        <f aca="false">CHOOSE(L$3,Assumptions!$F$101,Assumptions!$F$102,Assumptions!$F$103)</f>
        <v>150</v>
      </c>
      <c r="M87" s="14" t="n">
        <f aca="false">CHOOSE(M$3,Assumptions!$F$101,Assumptions!$F$102,Assumptions!$F$103)</f>
        <v>150</v>
      </c>
      <c r="N87" s="14" t="n">
        <f aca="false">CHOOSE(N$3,Assumptions!$F$101,Assumptions!$F$102,Assumptions!$F$103)</f>
        <v>150</v>
      </c>
      <c r="O87" s="14" t="n">
        <f aca="false">CHOOSE(O$3,Assumptions!$F$101,Assumptions!$F$102,Assumptions!$F$103)</f>
        <v>250</v>
      </c>
      <c r="P87" s="14" t="n">
        <f aca="false">CHOOSE(P$3,Assumptions!$F$101,Assumptions!$F$102,Assumptions!$F$103)</f>
        <v>250</v>
      </c>
      <c r="Q87" s="14" t="n">
        <f aca="false">CHOOSE(Q$3,Assumptions!$F$101,Assumptions!$F$102,Assumptions!$F$103)</f>
        <v>250</v>
      </c>
      <c r="R87" s="14" t="n">
        <f aca="false">CHOOSE(R$3,Assumptions!$F$101,Assumptions!$F$102,Assumptions!$F$103)</f>
        <v>250</v>
      </c>
      <c r="S87" s="14" t="n">
        <f aca="false">CHOOSE(S$3,Assumptions!$F$101,Assumptions!$F$102,Assumptions!$F$103)</f>
        <v>250</v>
      </c>
      <c r="T87" s="14" t="n">
        <f aca="false">CHOOSE(T$3,Assumptions!$F$101,Assumptions!$F$102,Assumptions!$F$103)</f>
        <v>250</v>
      </c>
      <c r="U87" s="14" t="n">
        <f aca="false">CHOOSE(U$3,Assumptions!$F$101,Assumptions!$F$102,Assumptions!$F$103)</f>
        <v>250</v>
      </c>
      <c r="V87" s="14" t="n">
        <f aca="false">CHOOSE(V$3,Assumptions!$F$101,Assumptions!$F$102,Assumptions!$F$103)</f>
        <v>250</v>
      </c>
      <c r="W87" s="14" t="n">
        <f aca="false">CHOOSE(W$3,Assumptions!$F$101,Assumptions!$F$102,Assumptions!$F$103)</f>
        <v>250</v>
      </c>
      <c r="X87" s="14" t="n">
        <f aca="false">CHOOSE(X$3,Assumptions!$F$101,Assumptions!$F$102,Assumptions!$F$103)</f>
        <v>250</v>
      </c>
      <c r="Y87" s="14" t="n">
        <f aca="false">CHOOSE(Y$3,Assumptions!$F$101,Assumptions!$F$102,Assumptions!$F$103)</f>
        <v>250</v>
      </c>
      <c r="Z87" s="14" t="n">
        <f aca="false">CHOOSE(Z$3,Assumptions!$F$101,Assumptions!$F$102,Assumptions!$F$103)</f>
        <v>250</v>
      </c>
      <c r="AA87" s="14" t="n">
        <f aca="false">CHOOSE(AA$3,Assumptions!$F$101,Assumptions!$F$102,Assumptions!$F$103)</f>
        <v>400</v>
      </c>
      <c r="AB87" s="14" t="n">
        <f aca="false">CHOOSE(AB$3,Assumptions!$F$101,Assumptions!$F$102,Assumptions!$F$103)</f>
        <v>400</v>
      </c>
      <c r="AC87" s="14" t="n">
        <f aca="false">CHOOSE(AC$3,Assumptions!$F$101,Assumptions!$F$102,Assumptions!$F$103)</f>
        <v>400</v>
      </c>
      <c r="AD87" s="14" t="n">
        <f aca="false">CHOOSE(AD$3,Assumptions!$F$101,Assumptions!$F$102,Assumptions!$F$103)</f>
        <v>400</v>
      </c>
      <c r="AE87" s="14" t="n">
        <f aca="false">CHOOSE(AE$3,Assumptions!$F$101,Assumptions!$F$102,Assumptions!$F$103)</f>
        <v>400</v>
      </c>
      <c r="AF87" s="14" t="n">
        <f aca="false">CHOOSE(AF$3,Assumptions!$F$101,Assumptions!$F$102,Assumptions!$F$103)</f>
        <v>400</v>
      </c>
      <c r="AG87" s="14" t="n">
        <f aca="false">CHOOSE(AG$3,Assumptions!$F$101,Assumptions!$F$102,Assumptions!$F$103)</f>
        <v>400</v>
      </c>
      <c r="AH87" s="14" t="n">
        <f aca="false">CHOOSE(AH$3,Assumptions!$F$101,Assumptions!$F$102,Assumptions!$F$103)</f>
        <v>400</v>
      </c>
      <c r="AI87" s="14" t="n">
        <f aca="false">CHOOSE(AI$3,Assumptions!$F$101,Assumptions!$F$102,Assumptions!$F$103)</f>
        <v>400</v>
      </c>
      <c r="AJ87" s="14" t="n">
        <f aca="false">CHOOSE(AJ$3,Assumptions!$F$101,Assumptions!$F$102,Assumptions!$F$103)</f>
        <v>400</v>
      </c>
      <c r="AK87" s="14" t="n">
        <f aca="false">CHOOSE(AK$3,Assumptions!$F$101,Assumptions!$F$102,Assumptions!$F$103)</f>
        <v>400</v>
      </c>
      <c r="AL87" s="14" t="n">
        <f aca="false">CHOOSE(AL$3,Assumptions!$F$101,Assumptions!$F$102,Assumptions!$F$103)</f>
        <v>400</v>
      </c>
    </row>
    <row r="88" customFormat="false" ht="15" hidden="false" customHeight="false" outlineLevel="0" collapsed="false">
      <c r="A88" s="6" t="s">
        <v>490</v>
      </c>
      <c r="B88" s="2" t="s">
        <v>491</v>
      </c>
      <c r="C88" s="14" t="n">
        <f aca="false">(IF((MOD((C$2-1),12)=0),Assumptions!$F$104,0)+IF((C$2=1),Assumptions!$F$105,0))</f>
        <v>124</v>
      </c>
      <c r="D88" s="14" t="n">
        <f aca="false">(IF((MOD((D$2-1),12)=0),Assumptions!$F$104,0)+IF((D$2=1),Assumptions!$F$105,0))</f>
        <v>0</v>
      </c>
      <c r="E88" s="14" t="n">
        <f aca="false">(IF((MOD((E$2-1),12)=0),Assumptions!$F$104,0)+IF((E$2=1),Assumptions!$F$105,0))</f>
        <v>0</v>
      </c>
      <c r="F88" s="14" t="n">
        <f aca="false">(IF((MOD((F$2-1),12)=0),Assumptions!$F$104,0)+IF((F$2=1),Assumptions!$F$105,0))</f>
        <v>0</v>
      </c>
      <c r="G88" s="14" t="n">
        <f aca="false">(IF((MOD((G$2-1),12)=0),Assumptions!$F$104,0)+IF((G$2=1),Assumptions!$F$105,0))</f>
        <v>0</v>
      </c>
      <c r="H88" s="14" t="n">
        <f aca="false">(IF((MOD((H$2-1),12)=0),Assumptions!$F$104,0)+IF((H$2=1),Assumptions!$F$105,0))</f>
        <v>0</v>
      </c>
      <c r="I88" s="14" t="n">
        <f aca="false">(IF((MOD((I$2-1),12)=0),Assumptions!$F$104,0)+IF((I$2=1),Assumptions!$F$105,0))</f>
        <v>0</v>
      </c>
      <c r="J88" s="14" t="n">
        <f aca="false">(IF((MOD((J$2-1),12)=0),Assumptions!$F$104,0)+IF((J$2=1),Assumptions!$F$105,0))</f>
        <v>0</v>
      </c>
      <c r="K88" s="14" t="n">
        <f aca="false">(IF((MOD((K$2-1),12)=0),Assumptions!$F$104,0)+IF((K$2=1),Assumptions!$F$105,0))</f>
        <v>0</v>
      </c>
      <c r="L88" s="14" t="n">
        <f aca="false">(IF((MOD((L$2-1),12)=0),Assumptions!$F$104,0)+IF((L$2=1),Assumptions!$F$105,0))</f>
        <v>0</v>
      </c>
      <c r="M88" s="14" t="n">
        <f aca="false">(IF((MOD((M$2-1),12)=0),Assumptions!$F$104,0)+IF((M$2=1),Assumptions!$F$105,0))</f>
        <v>0</v>
      </c>
      <c r="N88" s="14" t="n">
        <f aca="false">(IF((MOD((N$2-1),12)=0),Assumptions!$F$104,0)+IF((N$2=1),Assumptions!$F$105,0))</f>
        <v>0</v>
      </c>
      <c r="O88" s="14" t="n">
        <f aca="false">(IF((MOD((O$2-1),12)=0),Assumptions!$F$104,0)+IF((O$2=1),Assumptions!$F$105,0))</f>
        <v>99</v>
      </c>
      <c r="P88" s="14" t="n">
        <f aca="false">(IF((MOD((P$2-1),12)=0),Assumptions!$F$104,0)+IF((P$2=1),Assumptions!$F$105,0))</f>
        <v>0</v>
      </c>
      <c r="Q88" s="14" t="n">
        <f aca="false">(IF((MOD((Q$2-1),12)=0),Assumptions!$F$104,0)+IF((Q$2=1),Assumptions!$F$105,0))</f>
        <v>0</v>
      </c>
      <c r="R88" s="14" t="n">
        <f aca="false">(IF((MOD((R$2-1),12)=0),Assumptions!$F$104,0)+IF((R$2=1),Assumptions!$F$105,0))</f>
        <v>0</v>
      </c>
      <c r="S88" s="14" t="n">
        <f aca="false">(IF((MOD((S$2-1),12)=0),Assumptions!$F$104,0)+IF((S$2=1),Assumptions!$F$105,0))</f>
        <v>0</v>
      </c>
      <c r="T88" s="14" t="n">
        <f aca="false">(IF((MOD((T$2-1),12)=0),Assumptions!$F$104,0)+IF((T$2=1),Assumptions!$F$105,0))</f>
        <v>0</v>
      </c>
      <c r="U88" s="14" t="n">
        <f aca="false">(IF((MOD((U$2-1),12)=0),Assumptions!$F$104,0)+IF((U$2=1),Assumptions!$F$105,0))</f>
        <v>0</v>
      </c>
      <c r="V88" s="14" t="n">
        <f aca="false">(IF((MOD((V$2-1),12)=0),Assumptions!$F$104,0)+IF((V$2=1),Assumptions!$F$105,0))</f>
        <v>0</v>
      </c>
      <c r="W88" s="14" t="n">
        <f aca="false">(IF((MOD((W$2-1),12)=0),Assumptions!$F$104,0)+IF((W$2=1),Assumptions!$F$105,0))</f>
        <v>0</v>
      </c>
      <c r="X88" s="14" t="n">
        <f aca="false">(IF((MOD((X$2-1),12)=0),Assumptions!$F$104,0)+IF((X$2=1),Assumptions!$F$105,0))</f>
        <v>0</v>
      </c>
      <c r="Y88" s="14" t="n">
        <f aca="false">(IF((MOD((Y$2-1),12)=0),Assumptions!$F$104,0)+IF((Y$2=1),Assumptions!$F$105,0))</f>
        <v>0</v>
      </c>
      <c r="Z88" s="14" t="n">
        <f aca="false">(IF((MOD((Z$2-1),12)=0),Assumptions!$F$104,0)+IF((Z$2=1),Assumptions!$F$105,0))</f>
        <v>0</v>
      </c>
      <c r="AA88" s="14" t="n">
        <f aca="false">(IF((MOD((AA$2-1),12)=0),Assumptions!$F$104,0)+IF((AA$2=1),Assumptions!$F$105,0))</f>
        <v>99</v>
      </c>
      <c r="AB88" s="14" t="n">
        <f aca="false">(IF((MOD((AB$2-1),12)=0),Assumptions!$F$104,0)+IF((AB$2=1),Assumptions!$F$105,0))</f>
        <v>0</v>
      </c>
      <c r="AC88" s="14" t="n">
        <f aca="false">(IF((MOD((AC$2-1),12)=0),Assumptions!$F$104,0)+IF((AC$2=1),Assumptions!$F$105,0))</f>
        <v>0</v>
      </c>
      <c r="AD88" s="14" t="n">
        <f aca="false">(IF((MOD((AD$2-1),12)=0),Assumptions!$F$104,0)+IF((AD$2=1),Assumptions!$F$105,0))</f>
        <v>0</v>
      </c>
      <c r="AE88" s="14" t="n">
        <f aca="false">(IF((MOD((AE$2-1),12)=0),Assumptions!$F$104,0)+IF((AE$2=1),Assumptions!$F$105,0))</f>
        <v>0</v>
      </c>
      <c r="AF88" s="14" t="n">
        <f aca="false">(IF((MOD((AF$2-1),12)=0),Assumptions!$F$104,0)+IF((AF$2=1),Assumptions!$F$105,0))</f>
        <v>0</v>
      </c>
      <c r="AG88" s="14" t="n">
        <f aca="false">(IF((MOD((AG$2-1),12)=0),Assumptions!$F$104,0)+IF((AG$2=1),Assumptions!$F$105,0))</f>
        <v>0</v>
      </c>
      <c r="AH88" s="14" t="n">
        <f aca="false">(IF((MOD((AH$2-1),12)=0),Assumptions!$F$104,0)+IF((AH$2=1),Assumptions!$F$105,0))</f>
        <v>0</v>
      </c>
      <c r="AI88" s="14" t="n">
        <f aca="false">(IF((MOD((AI$2-1),12)=0),Assumptions!$F$104,0)+IF((AI$2=1),Assumptions!$F$105,0))</f>
        <v>0</v>
      </c>
      <c r="AJ88" s="14" t="n">
        <f aca="false">(IF((MOD((AJ$2-1),12)=0),Assumptions!$F$104,0)+IF((AJ$2=1),Assumptions!$F$105,0))</f>
        <v>0</v>
      </c>
      <c r="AK88" s="14" t="n">
        <f aca="false">(IF((MOD((AK$2-1),12)=0),Assumptions!$F$104,0)+IF((AK$2=1),Assumptions!$F$105,0))</f>
        <v>0</v>
      </c>
      <c r="AL88" s="14" t="n">
        <f aca="false">(IF((MOD((AL$2-1),12)=0),Assumptions!$F$104,0)+IF((AL$2=1),Assumptions!$F$105,0))</f>
        <v>0</v>
      </c>
    </row>
    <row r="89" customFormat="false" ht="15" hidden="false" customHeight="false" outlineLevel="0" collapsed="false">
      <c r="A89" s="6" t="s">
        <v>492</v>
      </c>
      <c r="B89" s="2" t="s">
        <v>493</v>
      </c>
      <c r="C89" s="14" t="n">
        <f aca="false">Assumptions!$F$106</f>
        <v>100</v>
      </c>
      <c r="D89" s="14" t="n">
        <f aca="false">Assumptions!$F$106</f>
        <v>100</v>
      </c>
      <c r="E89" s="14" t="n">
        <f aca="false">Assumptions!$F$106</f>
        <v>100</v>
      </c>
      <c r="F89" s="14" t="n">
        <f aca="false">Assumptions!$F$106</f>
        <v>100</v>
      </c>
      <c r="G89" s="14" t="n">
        <f aca="false">Assumptions!$F$106</f>
        <v>100</v>
      </c>
      <c r="H89" s="14" t="n">
        <f aca="false">Assumptions!$F$106</f>
        <v>100</v>
      </c>
      <c r="I89" s="14" t="n">
        <f aca="false">Assumptions!$F$106</f>
        <v>100</v>
      </c>
      <c r="J89" s="14" t="n">
        <f aca="false">Assumptions!$F$106</f>
        <v>100</v>
      </c>
      <c r="K89" s="14" t="n">
        <f aca="false">Assumptions!$F$106</f>
        <v>100</v>
      </c>
      <c r="L89" s="14" t="n">
        <f aca="false">Assumptions!$F$106</f>
        <v>100</v>
      </c>
      <c r="M89" s="14" t="n">
        <f aca="false">Assumptions!$F$106</f>
        <v>100</v>
      </c>
      <c r="N89" s="14" t="n">
        <f aca="false">Assumptions!$F$106</f>
        <v>100</v>
      </c>
      <c r="O89" s="14" t="n">
        <f aca="false">Assumptions!$F$106</f>
        <v>100</v>
      </c>
      <c r="P89" s="14" t="n">
        <f aca="false">Assumptions!$F$106</f>
        <v>100</v>
      </c>
      <c r="Q89" s="14" t="n">
        <f aca="false">Assumptions!$F$106</f>
        <v>100</v>
      </c>
      <c r="R89" s="14" t="n">
        <f aca="false">Assumptions!$F$106</f>
        <v>100</v>
      </c>
      <c r="S89" s="14" t="n">
        <f aca="false">Assumptions!$F$106</f>
        <v>100</v>
      </c>
      <c r="T89" s="14" t="n">
        <f aca="false">Assumptions!$F$106</f>
        <v>100</v>
      </c>
      <c r="U89" s="14" t="n">
        <f aca="false">Assumptions!$F$106</f>
        <v>100</v>
      </c>
      <c r="V89" s="14" t="n">
        <f aca="false">Assumptions!$F$106</f>
        <v>100</v>
      </c>
      <c r="W89" s="14" t="n">
        <f aca="false">Assumptions!$F$106</f>
        <v>100</v>
      </c>
      <c r="X89" s="14" t="n">
        <f aca="false">Assumptions!$F$106</f>
        <v>100</v>
      </c>
      <c r="Y89" s="14" t="n">
        <f aca="false">Assumptions!$F$106</f>
        <v>100</v>
      </c>
      <c r="Z89" s="14" t="n">
        <f aca="false">Assumptions!$F$106</f>
        <v>100</v>
      </c>
      <c r="AA89" s="14" t="n">
        <f aca="false">Assumptions!$F$106</f>
        <v>100</v>
      </c>
      <c r="AB89" s="14" t="n">
        <f aca="false">Assumptions!$F$106</f>
        <v>100</v>
      </c>
      <c r="AC89" s="14" t="n">
        <f aca="false">Assumptions!$F$106</f>
        <v>100</v>
      </c>
      <c r="AD89" s="14" t="n">
        <f aca="false">Assumptions!$F$106</f>
        <v>100</v>
      </c>
      <c r="AE89" s="14" t="n">
        <f aca="false">Assumptions!$F$106</f>
        <v>100</v>
      </c>
      <c r="AF89" s="14" t="n">
        <f aca="false">Assumptions!$F$106</f>
        <v>100</v>
      </c>
      <c r="AG89" s="14" t="n">
        <f aca="false">Assumptions!$F$106</f>
        <v>100</v>
      </c>
      <c r="AH89" s="14" t="n">
        <f aca="false">Assumptions!$F$106</f>
        <v>100</v>
      </c>
      <c r="AI89" s="14" t="n">
        <f aca="false">Assumptions!$F$106</f>
        <v>100</v>
      </c>
      <c r="AJ89" s="14" t="n">
        <f aca="false">Assumptions!$F$106</f>
        <v>100</v>
      </c>
      <c r="AK89" s="14" t="n">
        <f aca="false">Assumptions!$F$106</f>
        <v>100</v>
      </c>
      <c r="AL89" s="14" t="n">
        <f aca="false">Assumptions!$F$106</f>
        <v>100</v>
      </c>
    </row>
    <row r="90" customFormat="false" ht="15" hidden="false" customHeight="false" outlineLevel="0" collapsed="false">
      <c r="A90" s="21" t="s">
        <v>494</v>
      </c>
      <c r="B90" s="2" t="s">
        <v>495</v>
      </c>
      <c r="C90" s="23" t="n">
        <f aca="false">((((((((C81+C82)+C83)+C84)+C85)+C86)+C87)+C88)+C89)</f>
        <v>5124</v>
      </c>
      <c r="D90" s="23" t="n">
        <f aca="false">((((((((D81+D82)+D83)+D84)+D85)+D86)+D87)+D88)+D89)</f>
        <v>1300</v>
      </c>
      <c r="E90" s="23" t="n">
        <f aca="false">((((((((E81+E82)+E83)+E84)+E85)+E86)+E87)+E88)+E89)</f>
        <v>1300</v>
      </c>
      <c r="F90" s="23" t="n">
        <f aca="false">((((((((F81+F82)+F83)+F84)+F85)+F86)+F87)+F88)+F89)</f>
        <v>1600</v>
      </c>
      <c r="G90" s="23" t="n">
        <f aca="false">((((((((G81+G82)+G83)+G84)+G85)+G86)+G87)+G88)+G89)</f>
        <v>1609</v>
      </c>
      <c r="H90" s="23" t="n">
        <f aca="false">((((((((H81+H82)+H83)+H84)+H85)+H86)+H87)+H88)+H89)</f>
        <v>1618.27</v>
      </c>
      <c r="I90" s="23" t="n">
        <f aca="false">((((((((I81+I82)+I83)+I84)+I85)+I86)+I87)+I88)+I89)</f>
        <v>1627.8181</v>
      </c>
      <c r="J90" s="23" t="n">
        <f aca="false">((((((((J81+J82)+J83)+J84)+J85)+J86)+J87)+J88)+J89)</f>
        <v>1637.652643</v>
      </c>
      <c r="K90" s="23" t="n">
        <f aca="false">((((((((K81+K82)+K83)+K84)+K85)+K86)+K87)+K88)+K89)</f>
        <v>1647.78222229</v>
      </c>
      <c r="L90" s="23" t="n">
        <f aca="false">((((((((L81+L82)+L83)+L84)+L85)+L86)+L87)+L88)+L89)</f>
        <v>1658.2156889587</v>
      </c>
      <c r="M90" s="23" t="n">
        <f aca="false">((((((((M81+M82)+M83)+M84)+M85)+M86)+M87)+M88)+M89)</f>
        <v>1668.96215962746</v>
      </c>
      <c r="N90" s="23" t="n">
        <f aca="false">((((((((N81+N82)+N83)+N84)+N85)+N86)+N87)+N88)+N89)</f>
        <v>1680.03102441629</v>
      </c>
      <c r="O90" s="23" t="n">
        <f aca="false">((((((((O81+O82)+O83)+O84)+O85)+O86)+O87)+O88)+O89)</f>
        <v>3390.43195514877</v>
      </c>
      <c r="P90" s="23" t="n">
        <f aca="false">((((((((P81+P82)+P83)+P84)+P85)+P86)+P87)+P88)+P89)</f>
        <v>2303.17491380324</v>
      </c>
      <c r="Q90" s="23" t="n">
        <f aca="false">((((((((Q81+Q82)+Q83)+Q84)+Q85)+Q86)+Q87)+Q88)+Q89)</f>
        <v>2315.27016121733</v>
      </c>
      <c r="R90" s="23" t="n">
        <f aca="false">((((((((R81+R82)+R83)+R84)+R85)+R86)+R87)+R88)+R89)</f>
        <v>2327.72826605385</v>
      </c>
      <c r="S90" s="23" t="n">
        <f aca="false">((((((((S81+S82)+S83)+S84)+S85)+S86)+S87)+S88)+S89)</f>
        <v>2340.56011403547</v>
      </c>
      <c r="T90" s="23" t="n">
        <f aca="false">((((((((T81+T82)+T83)+T84)+T85)+T86)+T87)+T88)+T89)</f>
        <v>2353.77691745653</v>
      </c>
      <c r="U90" s="23" t="n">
        <f aca="false">((((((((U81+U82)+U83)+U84)+U85)+U86)+U87)+U88)+U89)</f>
        <v>2367.39022498023</v>
      </c>
      <c r="V90" s="23" t="n">
        <f aca="false">((((((((V81+V82)+V83)+V84)+V85)+V86)+V87)+V88)+V89)</f>
        <v>2381.41193172964</v>
      </c>
      <c r="W90" s="23" t="n">
        <f aca="false">((((((((W81+W82)+W83)+W84)+W85)+W86)+W87)+W88)+W89)</f>
        <v>2395.85428968153</v>
      </c>
      <c r="X90" s="23" t="n">
        <f aca="false">((((((((X81+X82)+X83)+X84)+X85)+X86)+X87)+X88)+X89)</f>
        <v>2410.72991837197</v>
      </c>
      <c r="Y90" s="23" t="n">
        <f aca="false">((((((((Y81+Y82)+Y83)+Y84)+Y85)+Y86)+Y87)+Y88)+Y89)</f>
        <v>2426.05181592313</v>
      </c>
      <c r="Z90" s="23" t="n">
        <f aca="false">((((((((Z81+Z82)+Z83)+Z84)+Z85)+Z86)+Z87)+Z88)+Z89)</f>
        <v>2441.83337040082</v>
      </c>
      <c r="AA90" s="23" t="n">
        <f aca="false">((((((((AA81+AA82)+AA83)+AA84)+AA85)+AA86)+AA87)+AA88)+AA89)</f>
        <v>4407.08837151285</v>
      </c>
      <c r="AB90" s="23" t="n">
        <f aca="false">((((((((AB81+AB82)+AB83)+AB84)+AB85)+AB86)+AB87)+AB88)+AB89)</f>
        <v>3324.83102265824</v>
      </c>
      <c r="AC90" s="23" t="n">
        <f aca="false">((((((((AC81+AC82)+AC83)+AC84)+AC85)+AC86)+AC87)+AC88)+AC89)</f>
        <v>3342.07595333798</v>
      </c>
      <c r="AD90" s="23" t="n">
        <f aca="false">((((((((AD81+AD82)+AD83)+AD84)+AD85)+AD86)+AD87)+AD88)+AD89)</f>
        <v>3359.83823193812</v>
      </c>
      <c r="AE90" s="23" t="n">
        <f aca="false">((((((((AE81+AE82)+AE83)+AE84)+AE85)+AE86)+AE87)+AE88)+AE89)</f>
        <v>3378.13337889626</v>
      </c>
      <c r="AF90" s="23" t="n">
        <f aca="false">((((((((AF81+AF82)+AF83)+AF84)+AF85)+AF86)+AF87)+AF88)+AF89)</f>
        <v>3396.97738026315</v>
      </c>
      <c r="AG90" s="23" t="n">
        <f aca="false">((((((((AG81+AG82)+AG83)+AG84)+AG85)+AG86)+AG87)+AG88)+AG89)</f>
        <v>3416.38670167105</v>
      </c>
      <c r="AH90" s="23" t="n">
        <f aca="false">((((((((AH81+AH82)+AH83)+AH84)+AH85)+AH86)+AH87)+AH88)+AH89)</f>
        <v>3436.37830272118</v>
      </c>
      <c r="AI90" s="23" t="n">
        <f aca="false">((((((((AI81+AI82)+AI83)+AI84)+AI85)+AI86)+AI87)+AI88)+AI89)</f>
        <v>3456.96965180281</v>
      </c>
      <c r="AJ90" s="23" t="n">
        <f aca="false">((((((((AJ81+AJ82)+AJ83)+AJ84)+AJ85)+AJ86)+AJ87)+AJ88)+AJ89)</f>
        <v>3478.1787413569</v>
      </c>
      <c r="AK90" s="23" t="n">
        <f aca="false">((((((((AK81+AK82)+AK83)+AK84)+AK85)+AK86)+AK87)+AK88)+AK89)</f>
        <v>3500.02410359761</v>
      </c>
      <c r="AL90" s="23" t="n">
        <f aca="false">((((((((AL81+AL82)+AL83)+AL84)+AL85)+AL86)+AL87)+AL88)+AL89)</f>
        <v>3522.52482670553</v>
      </c>
    </row>
    <row r="91" customFormat="false" ht="15" hidden="false" customHeight="false" outlineLevel="0" collapsed="false">
      <c r="A91" s="21" t="s">
        <v>496</v>
      </c>
      <c r="B91" s="2" t="s">
        <v>497</v>
      </c>
      <c r="C91" s="23" t="n">
        <f aca="false">(C77-C90)</f>
        <v>-5553.09051013091</v>
      </c>
      <c r="D91" s="23" t="n">
        <f aca="false">(D77-D90)</f>
        <v>-1681.92551149793</v>
      </c>
      <c r="E91" s="23" t="n">
        <f aca="false">(E77-E90)</f>
        <v>-1637.46622835995</v>
      </c>
      <c r="F91" s="23" t="n">
        <f aca="false">(F77-F90)</f>
        <v>-1886.75335191361</v>
      </c>
      <c r="G91" s="23" t="n">
        <f aca="false">(G77-G90)</f>
        <v>-1852.22528422617</v>
      </c>
      <c r="H91" s="23" t="n">
        <f aca="false">(H77-H90)</f>
        <v>-1818.94046347206</v>
      </c>
      <c r="I91" s="23" t="n">
        <f aca="false">(I77-I90)</f>
        <v>-1833.98300857701</v>
      </c>
      <c r="J91" s="23" t="n">
        <f aca="false">(J77-J90)</f>
        <v>-1808.16570262779</v>
      </c>
      <c r="K91" s="23" t="n">
        <f aca="false">(K77-K90)</f>
        <v>-1782.61118900072</v>
      </c>
      <c r="L91" s="23" t="n">
        <f aca="false">(L77-L90)</f>
        <v>-1757.09060937636</v>
      </c>
      <c r="M91" s="23" t="n">
        <f aca="false">(M77-M90)</f>
        <v>-1731.40813592124</v>
      </c>
      <c r="N91" s="23" t="n">
        <f aca="false">(N77-N90)</f>
        <v>-1705.3947506717</v>
      </c>
      <c r="O91" s="23" t="n">
        <f aca="false">(O77-O90)</f>
        <v>-3672.70555358329</v>
      </c>
      <c r="P91" s="23" t="n">
        <f aca="false">(P77-P90)</f>
        <v>-2567.98255781063</v>
      </c>
      <c r="Q91" s="23" t="n">
        <f aca="false">(Q77-Q90)</f>
        <v>-2562.22831826933</v>
      </c>
      <c r="R91" s="23" t="n">
        <f aca="false">(R77-R90)</f>
        <v>-2556.73723999122</v>
      </c>
      <c r="S91" s="23" t="n">
        <f aca="false">(S77-S90)</f>
        <v>-2551.11361011413</v>
      </c>
      <c r="T91" s="23" t="n">
        <f aca="false">(T77-T90)</f>
        <v>-2545.30855137101</v>
      </c>
      <c r="U91" s="23" t="n">
        <f aca="false">(U77-U90)</f>
        <v>-2539.28077255768</v>
      </c>
      <c r="V91" s="23" t="n">
        <f aca="false">(V77-V90)</f>
        <v>-2532.99301465278</v>
      </c>
      <c r="W91" s="23" t="n">
        <f aca="false">(W77-W90)</f>
        <v>-2526.4111168174</v>
      </c>
      <c r="X91" s="23" t="n">
        <f aca="false">(X77-X90)</f>
        <v>-2519.50325971618</v>
      </c>
      <c r="Y91" s="23" t="n">
        <f aca="false">(Y77-Y90)</f>
        <v>-2512.23933951458</v>
      </c>
      <c r="Z91" s="23" t="n">
        <f aca="false">(Z77-Z90)</f>
        <v>-2504.5904484252</v>
      </c>
      <c r="AA91" s="23" t="n">
        <f aca="false">(AA77-AA90)</f>
        <v>-4448.14565328133</v>
      </c>
      <c r="AB91" s="23" t="n">
        <f aca="false">(AB77-AB90)</f>
        <v>-3343.37593810167</v>
      </c>
      <c r="AC91" s="23" t="n">
        <f aca="false">(AC77-AC90)</f>
        <v>-3337.23919715094</v>
      </c>
      <c r="AD91" s="23" t="n">
        <f aca="false">(AD77-AD90)</f>
        <v>-3330.81762098957</v>
      </c>
      <c r="AE91" s="23" t="n">
        <f aca="false">(AE77-AE90)</f>
        <v>-3323.98477314112</v>
      </c>
      <c r="AF91" s="23" t="n">
        <f aca="false">(AF77-AF90)</f>
        <v>-3316.71544754416</v>
      </c>
      <c r="AG91" s="23" t="n">
        <f aca="false">(AG77-AG90)</f>
        <v>-3308.98463107919</v>
      </c>
      <c r="AH91" s="23" t="n">
        <f aca="false">(AH77-AH90)</f>
        <v>-3300.76663231522</v>
      </c>
      <c r="AI91" s="23" t="n">
        <f aca="false">(AI77-AI90)</f>
        <v>-3292.03495039144</v>
      </c>
      <c r="AJ91" s="23" t="n">
        <f aca="false">(AJ77-AJ90)</f>
        <v>-3282.76216172532</v>
      </c>
      <c r="AK91" s="23" t="n">
        <f aca="false">(AK77-AK90)</f>
        <v>-3272.91981655675</v>
      </c>
      <c r="AL91" s="23" t="n">
        <f aca="false">(AL77-AL90)</f>
        <v>-3262.47834298681</v>
      </c>
    </row>
    <row r="92" customFormat="false" ht="15" hidden="false" customHeight="false" outlineLevel="0" collapsed="false">
      <c r="A92" s="6" t="s">
        <v>498</v>
      </c>
      <c r="B92" s="2" t="s">
        <v>499</v>
      </c>
      <c r="C92" s="16" t="n">
        <f aca="false">IF(C67=0,0,C91/C67)</f>
        <v>-72.0571885675565</v>
      </c>
      <c r="D92" s="16" t="n">
        <f aca="false">IF(D67=0,0,D91/D67)</f>
        <v>-13.4607593357063</v>
      </c>
      <c r="E92" s="16" t="n">
        <f aca="false">IF(E67=0,0,E91/E67)</f>
        <v>-9.62840558096868</v>
      </c>
      <c r="F92" s="16" t="n">
        <f aca="false">IF(F67=0,0,F91/F67)</f>
        <v>-8.51165896341138</v>
      </c>
      <c r="G92" s="16" t="n">
        <f aca="false">IF(G67=0,0,G91/G67)</f>
        <v>-6.96726331773581</v>
      </c>
      <c r="H92" s="16" t="n">
        <f aca="false">IF(H67=0,0,H91/H67)</f>
        <v>-5.88574952782767</v>
      </c>
      <c r="I92" s="16" t="n">
        <f aca="false">IF(I67=0,0,I91/I67)</f>
        <v>-5.18728532044581</v>
      </c>
      <c r="J92" s="16" t="n">
        <f aca="false">IF(J67=0,0,J91/J67)</f>
        <v>-4.56448263569591</v>
      </c>
      <c r="K92" s="16" t="n">
        <f aca="false">IF(K67=0,0,K91/K67)</f>
        <v>-4.06195456636984</v>
      </c>
      <c r="L92" s="16" t="n">
        <f aca="false">IF(L67=0,0,L91/L67)</f>
        <v>-3.64561654501709</v>
      </c>
      <c r="M92" s="16" t="n">
        <f aca="false">IF(M67=0,0,M91/M67)</f>
        <v>-3.29337801390981</v>
      </c>
      <c r="N92" s="16" t="n">
        <f aca="false">IF(N67=0,0,N91/N67)</f>
        <v>-2.99029364787966</v>
      </c>
      <c r="O92" s="16" t="n">
        <f aca="false">IF(O67=0,0,O91/O67)</f>
        <v>-6.10435966280069</v>
      </c>
      <c r="P92" s="16" t="n">
        <f aca="false">IF(P67=0,0,P91/P67)</f>
        <v>-4.05342312890181</v>
      </c>
      <c r="Q92" s="16" t="n">
        <f aca="false">IF(Q67=0,0,Q91/Q67)</f>
        <v>-3.8461400709928</v>
      </c>
      <c r="R92" s="16" t="n">
        <f aca="false">IF(R67=0,0,R91/R67)</f>
        <v>-3.65702717434748</v>
      </c>
      <c r="S92" s="16" t="n">
        <f aca="false">IF(S67=0,0,S91/S67)</f>
        <v>-3.48018918853422</v>
      </c>
      <c r="T92" s="16" t="n">
        <f aca="false">IF(T67=0,0,T91/T67)</f>
        <v>-3.31417403254315</v>
      </c>
      <c r="U92" s="16" t="n">
        <f aca="false">IF(U67=0,0,U91/U67)</f>
        <v>-3.15782702496066</v>
      </c>
      <c r="V92" s="16" t="n">
        <f aca="false">IF(V67=0,0,V91/V67)</f>
        <v>-3.0101988926183</v>
      </c>
      <c r="W92" s="16" t="n">
        <f aca="false">IF(W67=0,0,W91/W67)</f>
        <v>-2.8704981993923</v>
      </c>
      <c r="X92" s="16" t="n">
        <f aca="false">IF(X67=0,0,X91/X67)</f>
        <v>-2.73805624885052</v>
      </c>
      <c r="Y92" s="16" t="n">
        <f aca="false">IF(Y67=0,0,Y91/Y67)</f>
        <v>-2.61230085357177</v>
      </c>
      <c r="Z92" s="16" t="n">
        <f aca="false">IF(Z67=0,0,Z91/Z67)</f>
        <v>-2.49273656291485</v>
      </c>
      <c r="AA92" s="16" t="n">
        <f aca="false">IF(AA67=0,0,AA91/AA67)</f>
        <v>-4.25572802230163</v>
      </c>
      <c r="AB92" s="16" t="n">
        <f aca="false">IF(AB67=0,0,AB91/AB67)</f>
        <v>-3.07527462047247</v>
      </c>
      <c r="AC92" s="16" t="n">
        <f aca="false">IF(AC67=0,0,AC91/AC67)</f>
        <v>-2.95133861169735</v>
      </c>
      <c r="AD92" s="16" t="n">
        <f aca="false">IF(AD67=0,0,AD91/AD67)</f>
        <v>-2.83271438869446</v>
      </c>
      <c r="AE92" s="16" t="n">
        <f aca="false">IF(AE67=0,0,AE91/AE67)</f>
        <v>-2.71861941298638</v>
      </c>
      <c r="AF92" s="16" t="n">
        <f aca="false">IF(AF67=0,0,AF91/AF67)</f>
        <v>-2.60884668070834</v>
      </c>
      <c r="AG92" s="16" t="n">
        <f aca="false">IF(AG67=0,0,AG91/AG67)</f>
        <v>-2.50320796034926</v>
      </c>
      <c r="AH92" s="16" t="n">
        <f aca="false">IF(AH67=0,0,AH91/AH67)</f>
        <v>-2.40152775184595</v>
      </c>
      <c r="AI92" s="16" t="n">
        <f aca="false">IF(AI67=0,0,AI91/AI67)</f>
        <v>-2.30364150702039</v>
      </c>
      <c r="AJ92" s="16" t="n">
        <f aca="false">IF(AJ67=0,0,AJ91/AJ67)</f>
        <v>-2.2093942384813</v>
      </c>
      <c r="AK92" s="16" t="n">
        <f aca="false">IF(AK67=0,0,AK91/AK67)</f>
        <v>-2.11863940755246</v>
      </c>
      <c r="AL92" s="16" t="n">
        <f aca="false">IF(AL67=0,0,AL91/AL67)</f>
        <v>-2.03123802735162</v>
      </c>
    </row>
    <row r="94" customFormat="false" ht="15" hidden="false" customHeight="false" outlineLevel="0" collapsed="false">
      <c r="A94" s="4" t="s">
        <v>500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 customFormat="false" ht="15" hidden="false" customHeight="false" outlineLevel="0" collapsed="false">
      <c r="A95" s="6" t="s">
        <v>501</v>
      </c>
      <c r="B95" s="2" t="s">
        <v>502</v>
      </c>
      <c r="C95" s="14" t="n">
        <f aca="false">(C30*Assumptions!$F$112)</f>
        <v>299.944964200445</v>
      </c>
      <c r="D95" s="14" t="n">
        <f aca="false">(D30*Assumptions!$F$112)</f>
        <v>337.461993292421</v>
      </c>
      <c r="E95" s="14" t="n">
        <f aca="false">(E30*Assumptions!$F$112)</f>
        <v>370.060302724731</v>
      </c>
      <c r="F95" s="14" t="n">
        <f aca="false">(F30*Assumptions!$F$112)</f>
        <v>412.473988971965</v>
      </c>
      <c r="G95" s="14" t="n">
        <f aca="false">(G30*Assumptions!$F$112)</f>
        <v>442.353405589881</v>
      </c>
      <c r="H95" s="14" t="n">
        <f aca="false">(H30*Assumptions!$F$112)</f>
        <v>470.682636261354</v>
      </c>
      <c r="I95" s="14" t="n">
        <f aca="false">(I30*Assumptions!$F$112)</f>
        <v>497.951149548726</v>
      </c>
      <c r="J95" s="14" t="n">
        <f aca="false">(J30*Assumptions!$F$112)</f>
        <v>524.50474981831</v>
      </c>
      <c r="K95" s="14" t="n">
        <f aca="false">(K30*Assumptions!$F$112)</f>
        <v>550.633643174267</v>
      </c>
      <c r="L95" s="14" t="n">
        <f aca="false">(L30*Assumptions!$F$112)</f>
        <v>576.583025912079</v>
      </c>
      <c r="M95" s="14" t="n">
        <f aca="false">(M30*Assumptions!$F$112)</f>
        <v>602.561346032421</v>
      </c>
      <c r="N95" s="14" t="n">
        <f aca="false">(N30*Assumptions!$F$112)</f>
        <v>628.747102688991</v>
      </c>
      <c r="O95" s="14" t="n">
        <f aca="false">(O30*Assumptions!$F$112)</f>
        <v>727.41929774673</v>
      </c>
      <c r="P95" s="14" t="n">
        <f aca="false">(P30*Assumptions!$F$112)</f>
        <v>757.649480240917</v>
      </c>
      <c r="Q95" s="14" t="n">
        <f aca="false">(Q30*Assumptions!$F$112)</f>
        <v>788.087697743916</v>
      </c>
      <c r="R95" s="14" t="n">
        <f aca="false">(R30*Assumptions!$F$112)</f>
        <v>822.276987495799</v>
      </c>
      <c r="S95" s="14" t="n">
        <f aca="false">(S30*Assumptions!$F$112)</f>
        <v>854.573765297167</v>
      </c>
      <c r="T95" s="14" t="n">
        <f aca="false">(T30*Assumptions!$F$112)</f>
        <v>887.870906277212</v>
      </c>
      <c r="U95" s="14" t="n">
        <f aca="false">(U30*Assumptions!$F$112)</f>
        <v>922.275516967965</v>
      </c>
      <c r="V95" s="14" t="n">
        <f aca="false">(V30*Assumptions!$F$112)</f>
        <v>957.869645159367</v>
      </c>
      <c r="W95" s="14" t="n">
        <f aca="false">(W30*Assumptions!$F$112)</f>
        <v>994.731786315222</v>
      </c>
      <c r="X95" s="14" t="n">
        <f aca="false">(X30*Assumptions!$F$112)</f>
        <v>1032.93807567429</v>
      </c>
      <c r="Y95" s="14" t="n">
        <f aca="false">(Y30*Assumptions!$F$112)</f>
        <v>1072.56316533709</v>
      </c>
      <c r="Z95" s="14" t="n">
        <f aca="false">(Z30*Assumptions!$F$112)</f>
        <v>1113.68096332751</v>
      </c>
      <c r="AA95" s="14" t="n">
        <f aca="false">(AA30*Assumptions!$F$112)</f>
        <v>1177.87767464643</v>
      </c>
      <c r="AB95" s="14" t="n">
        <f aca="false">(AB30*Assumptions!$F$112)</f>
        <v>1223.14974448159</v>
      </c>
      <c r="AC95" s="14" t="n">
        <f aca="false">(AC30*Assumptions!$F$112)</f>
        <v>1270.01620497522</v>
      </c>
      <c r="AD95" s="14" t="n">
        <f aca="false">(AD30*Assumptions!$F$112)</f>
        <v>1319.578708425</v>
      </c>
      <c r="AE95" s="14" t="n">
        <f aca="false">(AE30*Assumptions!$F$112)</f>
        <v>1370.20333056767</v>
      </c>
      <c r="AF95" s="14" t="n">
        <f aca="false">(AF30*Assumptions!$F$112)</f>
        <v>1422.8069042318</v>
      </c>
      <c r="AG95" s="14" t="n">
        <f aca="false">(AG30*Assumptions!$F$112)</f>
        <v>1477.47932392871</v>
      </c>
      <c r="AH95" s="14" t="n">
        <f aca="false">(AH30*Assumptions!$F$112)</f>
        <v>1534.30691953603</v>
      </c>
      <c r="AI95" s="14" t="n">
        <f aca="false">(AI30*Assumptions!$F$112)</f>
        <v>1593.37874363757</v>
      </c>
      <c r="AJ95" s="14" t="n">
        <f aca="false">(AJ30*Assumptions!$F$112)</f>
        <v>1654.7868435361</v>
      </c>
      <c r="AK95" s="14" t="n">
        <f aca="false">(AK30*Assumptions!$F$112)</f>
        <v>1718.62647772504</v>
      </c>
      <c r="AL95" s="14" t="n">
        <f aca="false">(AL30*Assumptions!$F$112)</f>
        <v>1784.99632372422</v>
      </c>
    </row>
    <row r="96" customFormat="false" ht="15" hidden="false" customHeight="false" outlineLevel="0" collapsed="false">
      <c r="A96" s="6" t="s">
        <v>503</v>
      </c>
      <c r="B96" s="2" t="s">
        <v>504</v>
      </c>
      <c r="C96" s="14" t="n">
        <f aca="false">(C95-C60)</f>
        <v>222.8799187758</v>
      </c>
      <c r="D96" s="14" t="n">
        <f aca="false">(D95-D60)</f>
        <v>212.511723433838</v>
      </c>
      <c r="E96" s="14" t="n">
        <f aca="false">(E95-E60)</f>
        <v>199.994115276568</v>
      </c>
      <c r="F96" s="14" t="n">
        <f aca="false">(F95-F60)</f>
        <v>196.061685418666</v>
      </c>
      <c r="G96" s="14" t="n">
        <f aca="false">(G95-G60)</f>
        <v>182.129019970245</v>
      </c>
      <c r="H96" s="14" t="n">
        <f aca="false">(H95-H60)</f>
        <v>167.623619339164</v>
      </c>
      <c r="I96" s="14" t="n">
        <f aca="false">(I95-I60)</f>
        <v>152.597454828149</v>
      </c>
      <c r="J96" s="14" t="n">
        <f aca="false">(J95-J60)</f>
        <v>137.03266483772</v>
      </c>
      <c r="K96" s="14" t="n">
        <f aca="false">(K95-K60)</f>
        <v>120.9098682341</v>
      </c>
      <c r="L96" s="14" t="n">
        <f aca="false">(L95-L60)</f>
        <v>104.208661995879</v>
      </c>
      <c r="M96" s="14" t="n">
        <f aca="false">(M95-M60)</f>
        <v>86.9076160951531</v>
      </c>
      <c r="N96" s="14" t="n">
        <f aca="false">(N95-N60)</f>
        <v>68.9842602036707</v>
      </c>
      <c r="O96" s="14" t="n">
        <f aca="false">(O95-O60)</f>
        <v>136.791323185877</v>
      </c>
      <c r="P96" s="14" t="n">
        <f aca="false">(P95-P60)</f>
        <v>135.626337017303</v>
      </c>
      <c r="Q96" s="14" t="n">
        <f aca="false">(Q95-Q60)</f>
        <v>133.913806205124</v>
      </c>
      <c r="R96" s="14" t="n">
        <f aca="false">(R95-R60)</f>
        <v>135.663261948597</v>
      </c>
      <c r="S96" s="14" t="n">
        <f aca="false">(S95-S60)</f>
        <v>134.572923092234</v>
      </c>
      <c r="T96" s="14" t="n">
        <f aca="false">(T95-T60)</f>
        <v>133.438324468173</v>
      </c>
      <c r="U96" s="14" t="n">
        <f aca="false">(U95-U60)</f>
        <v>132.279421866344</v>
      </c>
      <c r="V96" s="14" t="n">
        <f aca="false">(V95-V60)</f>
        <v>131.095728242991</v>
      </c>
      <c r="W96" s="14" t="n">
        <f aca="false">(W95-W60)</f>
        <v>129.886545034539</v>
      </c>
      <c r="X96" s="14" t="n">
        <f aca="false">(X95-X60)</f>
        <v>128.651112985469</v>
      </c>
      <c r="Y96" s="14" t="n">
        <f aca="false">(Y95-Y60)</f>
        <v>127.388615020312</v>
      </c>
      <c r="Z96" s="14" t="n">
        <f aca="false">(Z95-Z60)</f>
        <v>126.098177567938</v>
      </c>
      <c r="AA96" s="14" t="n">
        <f aca="false">(AA95-AA60)</f>
        <v>150.508988401814</v>
      </c>
      <c r="AB96" s="14" t="n">
        <f aca="false">(AB95-AB60)</f>
        <v>154.512225096148</v>
      </c>
      <c r="AC96" s="14" t="n">
        <f aca="false">(AC95-AC60)</f>
        <v>158.526687726916</v>
      </c>
      <c r="AD96" s="14" t="n">
        <f aca="false">(AD95-AD60)</f>
        <v>163.753824460112</v>
      </c>
      <c r="AE96" s="14" t="n">
        <f aca="false">(AE95-AE60)</f>
        <v>168.322265131443</v>
      </c>
      <c r="AF96" s="14" t="n">
        <f aca="false">(AF95-AF60)</f>
        <v>173.073381842025</v>
      </c>
      <c r="AG96" s="14" t="n">
        <f aca="false">(AG95-AG60)</f>
        <v>178.020850795658</v>
      </c>
      <c r="AH96" s="14" t="n">
        <f aca="false">(AH95-AH60)</f>
        <v>183.172567338735</v>
      </c>
      <c r="AI96" s="14" t="n">
        <f aca="false">(AI95-AI60)</f>
        <v>188.536693700056</v>
      </c>
      <c r="AJ96" s="14" t="n">
        <f aca="false">(AJ95-AJ60)</f>
        <v>194.121716032294</v>
      </c>
      <c r="AK96" s="14" t="n">
        <f aca="false">(AK95-AK60)</f>
        <v>199.936457926322</v>
      </c>
      <c r="AL96" s="14" t="n">
        <f aca="false">(AL95-AL60)</f>
        <v>205.990094094924</v>
      </c>
    </row>
    <row r="97" customFormat="false" ht="15" hidden="false" customHeight="false" outlineLevel="0" collapsed="false">
      <c r="A97" s="21" t="s">
        <v>505</v>
      </c>
      <c r="B97" s="2" t="s">
        <v>506</v>
      </c>
      <c r="C97" s="23" t="n">
        <f aca="false">(C91+C96)</f>
        <v>-5330.21059135511</v>
      </c>
      <c r="D97" s="23" t="n">
        <f aca="false">(D91+D96)</f>
        <v>-1469.41378806409</v>
      </c>
      <c r="E97" s="23" t="n">
        <f aca="false">(E91+E96)</f>
        <v>-1437.47211308338</v>
      </c>
      <c r="F97" s="23" t="n">
        <f aca="false">(F91+F96)</f>
        <v>-1690.69166649494</v>
      </c>
      <c r="G97" s="23" t="n">
        <f aca="false">(G91+G96)</f>
        <v>-1670.09626425593</v>
      </c>
      <c r="H97" s="23" t="n">
        <f aca="false">(H91+H96)</f>
        <v>-1651.31684413289</v>
      </c>
      <c r="I97" s="23" t="n">
        <f aca="false">(I91+I96)</f>
        <v>-1681.38555374886</v>
      </c>
      <c r="J97" s="23" t="n">
        <f aca="false">(J91+J96)</f>
        <v>-1671.13303779007</v>
      </c>
      <c r="K97" s="23" t="n">
        <f aca="false">(K91+K96)</f>
        <v>-1661.70132076662</v>
      </c>
      <c r="L97" s="23" t="n">
        <f aca="false">(L91+L96)</f>
        <v>-1652.88194738048</v>
      </c>
      <c r="M97" s="23" t="n">
        <f aca="false">(M91+M96)</f>
        <v>-1644.50051982608</v>
      </c>
      <c r="N97" s="23" t="n">
        <f aca="false">(N91+N96)</f>
        <v>-1636.41049046803</v>
      </c>
      <c r="O97" s="23" t="n">
        <f aca="false">(O91+O96)</f>
        <v>-3535.91423039742</v>
      </c>
      <c r="P97" s="23" t="n">
        <f aca="false">(P91+P96)</f>
        <v>-2432.35622079332</v>
      </c>
      <c r="Q97" s="23" t="n">
        <f aca="false">(Q91+Q96)</f>
        <v>-2428.3145120642</v>
      </c>
      <c r="R97" s="23" t="n">
        <f aca="false">(R91+R96)</f>
        <v>-2421.07397804263</v>
      </c>
      <c r="S97" s="23" t="n">
        <f aca="false">(S91+S96)</f>
        <v>-2416.5406870219</v>
      </c>
      <c r="T97" s="23" t="n">
        <f aca="false">(T91+T96)</f>
        <v>-2411.87022690284</v>
      </c>
      <c r="U97" s="23" t="n">
        <f aca="false">(U91+U96)</f>
        <v>-2407.00135069134</v>
      </c>
      <c r="V97" s="23" t="n">
        <f aca="false">(V91+V96)</f>
        <v>-2401.89728640979</v>
      </c>
      <c r="W97" s="23" t="n">
        <f aca="false">(W91+W96)</f>
        <v>-2396.52457178286</v>
      </c>
      <c r="X97" s="23" t="n">
        <f aca="false">(X91+X96)</f>
        <v>-2390.85214673071</v>
      </c>
      <c r="Y97" s="23" t="n">
        <f aca="false">(Y91+Y96)</f>
        <v>-2384.85072449427</v>
      </c>
      <c r="Z97" s="23" t="n">
        <f aca="false">(Z91+Z96)</f>
        <v>-2378.49227085726</v>
      </c>
      <c r="AA97" s="23" t="n">
        <f aca="false">(AA91+AA96)</f>
        <v>-4297.63666487952</v>
      </c>
      <c r="AB97" s="23" t="n">
        <f aca="false">(AB91+AB96)</f>
        <v>-3188.86371300553</v>
      </c>
      <c r="AC97" s="23" t="n">
        <f aca="false">(AC91+AC96)</f>
        <v>-3178.71250942403</v>
      </c>
      <c r="AD97" s="23" t="n">
        <f aca="false">(AD91+AD96)</f>
        <v>-3167.06379652946</v>
      </c>
      <c r="AE97" s="23" t="n">
        <f aca="false">(AE91+AE96)</f>
        <v>-3155.66250800968</v>
      </c>
      <c r="AF97" s="23" t="n">
        <f aca="false">(AF91+AF96)</f>
        <v>-3143.64206570213</v>
      </c>
      <c r="AG97" s="23" t="n">
        <f aca="false">(AG91+AG96)</f>
        <v>-3130.96378028353</v>
      </c>
      <c r="AH97" s="23" t="n">
        <f aca="false">(AH91+AH96)</f>
        <v>-3117.59406497649</v>
      </c>
      <c r="AI97" s="23" t="n">
        <f aca="false">(AI91+AI96)</f>
        <v>-3103.49825669138</v>
      </c>
      <c r="AJ97" s="23" t="n">
        <f aca="false">(AJ91+AJ96)</f>
        <v>-3088.64044569303</v>
      </c>
      <c r="AK97" s="23" t="n">
        <f aca="false">(AK91+AK96)</f>
        <v>-3072.98335863042</v>
      </c>
      <c r="AL97" s="23" t="n">
        <f aca="false">(AL91+AL96)</f>
        <v>-3056.48824889188</v>
      </c>
    </row>
    <row r="98" customFormat="false" ht="15" hidden="false" customHeight="false" outlineLevel="0" collapsed="false">
      <c r="A98" s="21" t="s">
        <v>507</v>
      </c>
      <c r="B98" s="2" t="s">
        <v>508</v>
      </c>
      <c r="C98" s="23" t="n">
        <f aca="false">(0+C97)</f>
        <v>-5330.21059135511</v>
      </c>
      <c r="D98" s="23" t="n">
        <f aca="false">(C98+D97)</f>
        <v>-6799.6243794192</v>
      </c>
      <c r="E98" s="23" t="n">
        <f aca="false">(D98+E97)</f>
        <v>-8237.09649250258</v>
      </c>
      <c r="F98" s="23" t="n">
        <f aca="false">(E98+F97)</f>
        <v>-9927.78815899752</v>
      </c>
      <c r="G98" s="23" t="n">
        <f aca="false">(F98+G97)</f>
        <v>-11597.8844232535</v>
      </c>
      <c r="H98" s="23" t="n">
        <f aca="false">(G98+H97)</f>
        <v>-13249.2012673863</v>
      </c>
      <c r="I98" s="23" t="n">
        <f aca="false">(H98+I97)</f>
        <v>-14930.5868211352</v>
      </c>
      <c r="J98" s="23" t="n">
        <f aca="false">(I98+J97)</f>
        <v>-16601.7198589253</v>
      </c>
      <c r="K98" s="23" t="n">
        <f aca="false">(J98+K97)</f>
        <v>-18263.4211796919</v>
      </c>
      <c r="L98" s="23" t="n">
        <f aca="false">(K98+L97)</f>
        <v>-19916.3031270724</v>
      </c>
      <c r="M98" s="23" t="n">
        <f aca="false">(L98+M97)</f>
        <v>-21560.8036468985</v>
      </c>
      <c r="N98" s="23" t="n">
        <f aca="false">(M98+N97)</f>
        <v>-23197.2141373665</v>
      </c>
      <c r="O98" s="23" t="n">
        <f aca="false">(N98+O97)</f>
        <v>-26733.1283677639</v>
      </c>
      <c r="P98" s="23" t="n">
        <f aca="false">(O98+P97)</f>
        <v>-29165.4845885572</v>
      </c>
      <c r="Q98" s="23" t="n">
        <f aca="false">(P98+Q97)</f>
        <v>-31593.7991006214</v>
      </c>
      <c r="R98" s="23" t="n">
        <f aca="false">(Q98+R97)</f>
        <v>-34014.8730786641</v>
      </c>
      <c r="S98" s="23" t="n">
        <f aca="false">(R98+S97)</f>
        <v>-36431.413765686</v>
      </c>
      <c r="T98" s="23" t="n">
        <f aca="false">(S98+T97)</f>
        <v>-38843.2839925888</v>
      </c>
      <c r="U98" s="23" t="n">
        <f aca="false">(T98+U97)</f>
        <v>-41250.2853432801</v>
      </c>
      <c r="V98" s="23" t="n">
        <f aca="false">(U98+V97)</f>
        <v>-43652.1826296899</v>
      </c>
      <c r="W98" s="23" t="n">
        <f aca="false">(V98+W97)</f>
        <v>-46048.7072014728</v>
      </c>
      <c r="X98" s="23" t="n">
        <f aca="false">(W98+X97)</f>
        <v>-48439.5593482035</v>
      </c>
      <c r="Y98" s="23" t="n">
        <f aca="false">(X98+Y97)</f>
        <v>-50824.4100726978</v>
      </c>
      <c r="Z98" s="23" t="n">
        <f aca="false">(Y98+Z97)</f>
        <v>-53202.902343555</v>
      </c>
      <c r="AA98" s="23" t="n">
        <f aca="false">(Z98+AA97)</f>
        <v>-57500.5390084346</v>
      </c>
      <c r="AB98" s="23" t="n">
        <f aca="false">(AA98+AB97)</f>
        <v>-60689.4027214401</v>
      </c>
      <c r="AC98" s="23" t="n">
        <f aca="false">(AB98+AC97)</f>
        <v>-63868.1152308641</v>
      </c>
      <c r="AD98" s="23" t="n">
        <f aca="false">(AC98+AD97)</f>
        <v>-67035.1790273936</v>
      </c>
      <c r="AE98" s="23" t="n">
        <f aca="false">(AD98+AE97)</f>
        <v>-70190.8415354033</v>
      </c>
      <c r="AF98" s="23" t="n">
        <f aca="false">(AE98+AF97)</f>
        <v>-73334.4836011054</v>
      </c>
      <c r="AG98" s="23" t="n">
        <f aca="false">(AF98+AG97)</f>
        <v>-76465.4473813889</v>
      </c>
      <c r="AH98" s="23" t="n">
        <f aca="false">(AG98+AH97)</f>
        <v>-79583.0414463654</v>
      </c>
      <c r="AI98" s="23" t="n">
        <f aca="false">(AH98+AI97)</f>
        <v>-82686.5397030568</v>
      </c>
      <c r="AJ98" s="23" t="n">
        <f aca="false">(AI98+AJ97)</f>
        <v>-85775.1801487498</v>
      </c>
      <c r="AK98" s="23" t="n">
        <f aca="false">(AJ98+AK97)</f>
        <v>-88848.1635073803</v>
      </c>
      <c r="AL98" s="23" t="n">
        <f aca="false">(AK98+AL97)</f>
        <v>-91904.6517562721</v>
      </c>
    </row>
    <row r="99" customFormat="false" ht="15" hidden="false" customHeight="false" outlineLevel="0" collapsed="false">
      <c r="A99" s="6" t="s">
        <v>509</v>
      </c>
      <c r="B99" s="2" t="s">
        <v>510</v>
      </c>
      <c r="C99" s="14" t="n">
        <f aca="false">(0+C91)</f>
        <v>-5553.09051013091</v>
      </c>
      <c r="D99" s="14" t="n">
        <f aca="false">(C99+D91)</f>
        <v>-7235.01602162884</v>
      </c>
      <c r="E99" s="14" t="n">
        <f aca="false">(D99+E91)</f>
        <v>-8872.48224998879</v>
      </c>
      <c r="F99" s="14" t="n">
        <f aca="false">(E99+F91)</f>
        <v>-10759.2356019024</v>
      </c>
      <c r="G99" s="14" t="n">
        <f aca="false">(F99+G91)</f>
        <v>-12611.4608861286</v>
      </c>
      <c r="H99" s="14" t="n">
        <f aca="false">(G99+H91)</f>
        <v>-14430.4013496006</v>
      </c>
      <c r="I99" s="14" t="n">
        <f aca="false">(H99+I91)</f>
        <v>-16264.3843581776</v>
      </c>
      <c r="J99" s="14" t="n">
        <f aca="false">(I99+J91)</f>
        <v>-18072.5500608054</v>
      </c>
      <c r="K99" s="14" t="n">
        <f aca="false">(J99+K91)</f>
        <v>-19855.1612498061</v>
      </c>
      <c r="L99" s="14" t="n">
        <f aca="false">(K99+L91)</f>
        <v>-21612.2518591825</v>
      </c>
      <c r="M99" s="14" t="n">
        <f aca="false">(L99+M91)</f>
        <v>-23343.6599951037</v>
      </c>
      <c r="N99" s="14" t="n">
        <f aca="false">(M99+N91)</f>
        <v>-25049.0547457754</v>
      </c>
      <c r="O99" s="14" t="n">
        <f aca="false">(N99+O91)</f>
        <v>-28721.7602993587</v>
      </c>
      <c r="P99" s="14" t="n">
        <f aca="false">(O99+P91)</f>
        <v>-31289.7428571694</v>
      </c>
      <c r="Q99" s="14" t="n">
        <f aca="false">(P99+Q91)</f>
        <v>-33851.9711754387</v>
      </c>
      <c r="R99" s="14" t="n">
        <f aca="false">(Q99+R91)</f>
        <v>-36408.7084154299</v>
      </c>
      <c r="S99" s="14" t="n">
        <f aca="false">(R99+S91)</f>
        <v>-38959.822025544</v>
      </c>
      <c r="T99" s="14" t="n">
        <f aca="false">(S99+T91)</f>
        <v>-41505.1305769151</v>
      </c>
      <c r="U99" s="14" t="n">
        <f aca="false">(T99+U91)</f>
        <v>-44044.4113494727</v>
      </c>
      <c r="V99" s="14" t="n">
        <f aca="false">(U99+V91)</f>
        <v>-46577.4043641255</v>
      </c>
      <c r="W99" s="14" t="n">
        <f aca="false">(V99+W91)</f>
        <v>-49103.8154809429</v>
      </c>
      <c r="X99" s="14" t="n">
        <f aca="false">(W99+X91)</f>
        <v>-51623.3187406591</v>
      </c>
      <c r="Y99" s="14" t="n">
        <f aca="false">(X99+Y91)</f>
        <v>-54135.5580801737</v>
      </c>
      <c r="Z99" s="14" t="n">
        <f aca="false">(Y99+Z91)</f>
        <v>-56640.1485285989</v>
      </c>
      <c r="AA99" s="14" t="n">
        <f aca="false">(Z99+AA91)</f>
        <v>-61088.2941818802</v>
      </c>
      <c r="AB99" s="14" t="n">
        <f aca="false">(AA99+AB91)</f>
        <v>-64431.6701199819</v>
      </c>
      <c r="AC99" s="14" t="n">
        <f aca="false">(AB99+AC91)</f>
        <v>-67768.9093171328</v>
      </c>
      <c r="AD99" s="14" t="n">
        <f aca="false">(AC99+AD91)</f>
        <v>-71099.7269381224</v>
      </c>
      <c r="AE99" s="14" t="n">
        <f aca="false">(AD99+AE91)</f>
        <v>-74423.7117112635</v>
      </c>
      <c r="AF99" s="14" t="n">
        <f aca="false">(AE99+AF91)</f>
        <v>-77740.4271588077</v>
      </c>
      <c r="AG99" s="14" t="n">
        <f aca="false">(AF99+AG91)</f>
        <v>-81049.4117898869</v>
      </c>
      <c r="AH99" s="14" t="n">
        <f aca="false">(AG99+AH91)</f>
        <v>-84350.1784222021</v>
      </c>
      <c r="AI99" s="14" t="n">
        <f aca="false">(AH99+AI91)</f>
        <v>-87642.2133725935</v>
      </c>
      <c r="AJ99" s="14" t="n">
        <f aca="false">(AI99+AJ91)</f>
        <v>-90924.9755343188</v>
      </c>
      <c r="AK99" s="14" t="n">
        <f aca="false">(AJ99+AK91)</f>
        <v>-94197.8953508756</v>
      </c>
      <c r="AL99" s="14" t="n">
        <f aca="false">(AK99+AL91)</f>
        <v>-97460.3736938624</v>
      </c>
    </row>
    <row r="101" customFormat="false" ht="15" hidden="false" customHeight="false" outlineLevel="0" collapsed="false">
      <c r="A101" s="4" t="s">
        <v>511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 customFormat="false" ht="15" hidden="false" customHeight="false" outlineLevel="0" collapsed="false">
      <c r="A102" s="6" t="s">
        <v>512</v>
      </c>
      <c r="B102" s="2" t="s">
        <v>513</v>
      </c>
      <c r="C102" s="15" t="n">
        <f aca="false">IF(C36=0,0,C67/C36)</f>
        <v>0.12519592217</v>
      </c>
      <c r="D102" s="15" t="n">
        <f aca="false">IF(D36=0,0,D67/D36)</f>
        <v>0.181725193661541</v>
      </c>
      <c r="E102" s="15" t="n">
        <f aca="false">IF(E36=0,0,E67/E36)</f>
        <v>0.225779075107533</v>
      </c>
      <c r="F102" s="15" t="n">
        <f aca="false">IF(F36=0,0,F67/F36)</f>
        <v>0.26325343071036</v>
      </c>
      <c r="G102" s="15" t="n">
        <f aca="false">IF(G36=0,0,G67/G36)</f>
        <v>0.293035479511283</v>
      </c>
      <c r="H102" s="15" t="n">
        <f aca="false">IF(H36=0,0,H67/H36)</f>
        <v>0.318209177249321</v>
      </c>
      <c r="I102" s="15" t="n">
        <f aca="false">IF(I36=0,0,I67/I36)</f>
        <v>0.341757771076536</v>
      </c>
      <c r="J102" s="15" t="n">
        <f aca="false">IF(J36=0,0,J67/J36)</f>
        <v>0.360925287649966</v>
      </c>
      <c r="K102" s="15" t="n">
        <f aca="false">IF(K36=0,0,K67/K36)</f>
        <v>0.378106701887212</v>
      </c>
      <c r="L102" s="15" t="n">
        <f aca="false">IF(L36=0,0,L67/L36)</f>
        <v>0.393728376899164</v>
      </c>
      <c r="M102" s="15" t="n">
        <f aca="false">IF(M36=0,0,M67/M36)</f>
        <v>0.40810014916203</v>
      </c>
      <c r="N102" s="15" t="n">
        <f aca="false">IF(N36=0,0,N67/N36)</f>
        <v>0.421449889531257</v>
      </c>
      <c r="O102" s="15" t="n">
        <f aca="false">IF(O36=0,0,O67/O36)</f>
        <v>0.425036992836955</v>
      </c>
      <c r="P102" s="15" t="n">
        <f aca="false">IF(P36=0,0,P67/P36)</f>
        <v>0.428352939397149</v>
      </c>
      <c r="Q102" s="15" t="n">
        <f aca="false">IF(Q36=0,0,Q67/Q36)</f>
        <v>0.431499583069209</v>
      </c>
      <c r="R102" s="15" t="n">
        <f aca="false">IF(R36=0,0,R67/R36)</f>
        <v>0.434189904283278</v>
      </c>
      <c r="S102" s="15" t="n">
        <f aca="false">IF(S36=0,0,S67/S36)</f>
        <v>0.436778586718165</v>
      </c>
      <c r="T102" s="15" t="n">
        <f aca="false">IF(T36=0,0,T67/T36)</f>
        <v>0.439281607541823</v>
      </c>
      <c r="U102" s="15" t="n">
        <f aca="false">IF(U36=0,0,U67/U36)</f>
        <v>0.441708394093025</v>
      </c>
      <c r="V102" s="15" t="n">
        <f aca="false">IF(V36=0,0,V67/V36)</f>
        <v>0.444065196138463</v>
      </c>
      <c r="W102" s="15" t="n">
        <f aca="false">IF(W36=0,0,W67/W36)</f>
        <v>0.446356057717061</v>
      </c>
      <c r="X102" s="15" t="n">
        <f aca="false">IF(X36=0,0,X67/X36)</f>
        <v>0.448583516887594</v>
      </c>
      <c r="Y102" s="15" t="n">
        <f aca="false">IF(Y36=0,0,Y67/Y36)</f>
        <v>0.450749113689505</v>
      </c>
      <c r="Z102" s="15" t="n">
        <f aca="false">IF(Z36=0,0,Z67/Z36)</f>
        <v>0.452853756162022</v>
      </c>
      <c r="AA102" s="15" t="n">
        <f aca="false">IF(AA36=0,0,AA67/AA36)</f>
        <v>0.453286393444615</v>
      </c>
      <c r="AB102" s="15" t="n">
        <f aca="false">IF(AB36=0,0,AB67/AB36)</f>
        <v>0.453714934723569</v>
      </c>
      <c r="AC102" s="15" t="n">
        <f aca="false">IF(AC36=0,0,AC67/AC36)</f>
        <v>0.454147050394192</v>
      </c>
      <c r="AD102" s="15" t="n">
        <f aca="false">IF(AD36=0,0,AD67/AD36)</f>
        <v>0.454521966196142</v>
      </c>
      <c r="AE102" s="15" t="n">
        <f aca="false">IF(AE36=0,0,AE67/AE36)</f>
        <v>0.454898106308039</v>
      </c>
      <c r="AF102" s="15" t="n">
        <f aca="false">IF(AF36=0,0,AF67/AF36)</f>
        <v>0.455273778009204</v>
      </c>
      <c r="AG102" s="15" t="n">
        <f aca="false">IF(AG36=0,0,AG67/AG36)</f>
        <v>0.455647177113885</v>
      </c>
      <c r="AH102" s="15" t="n">
        <f aca="false">IF(AH36=0,0,AH67/AH36)</f>
        <v>0.456016748551015</v>
      </c>
      <c r="AI102" s="15" t="n">
        <f aca="false">IF(AI36=0,0,AI67/AI36)</f>
        <v>0.456381171288009</v>
      </c>
      <c r="AJ102" s="15" t="n">
        <f aca="false">IF(AJ36=0,0,AJ67/AJ36)</f>
        <v>0.456739338792349</v>
      </c>
      <c r="AK102" s="15" t="n">
        <f aca="false">IF(AK36=0,0,AK67/AK36)</f>
        <v>0.457090338622177</v>
      </c>
      <c r="AL102" s="15" t="n">
        <f aca="false">IF(AL36=0,0,AL67/AL36)</f>
        <v>0.457433432084118</v>
      </c>
    </row>
    <row r="103" customFormat="false" ht="15" hidden="false" customHeight="false" outlineLevel="0" collapsed="false">
      <c r="A103" s="6" t="s">
        <v>514</v>
      </c>
      <c r="B103" s="2" t="s">
        <v>515</v>
      </c>
      <c r="C103" s="15" t="n">
        <f aca="false">IF(C29=0,0,C60/C29)</f>
        <v>8.62230868939394</v>
      </c>
      <c r="D103" s="15" t="n">
        <f aca="false">IF(D29=0,0,D60/D29)</f>
        <v>7.08507896618774</v>
      </c>
      <c r="E103" s="15" t="n">
        <f aca="false">IF(E29=0,0,E60/E29)</f>
        <v>6.50883730212344</v>
      </c>
      <c r="F103" s="15" t="n">
        <f aca="false">IF(F29=0,0,F60/F29)</f>
        <v>6.20703357035363</v>
      </c>
      <c r="G103" s="15" t="n">
        <f aca="false">IF(G29=0,0,G60/G29)</f>
        <v>5.97592193139131</v>
      </c>
      <c r="H103" s="15" t="n">
        <f aca="false">IF(H29=0,0,H60/H29)</f>
        <v>5.80219708319879</v>
      </c>
      <c r="I103" s="15" t="n">
        <f aca="false">IF(I29=0,0,I60/I29)</f>
        <v>5.66325726866465</v>
      </c>
      <c r="J103" s="15" t="n">
        <f aca="false">IF(J29=0,0,J60/J29)</f>
        <v>5.5477044909525</v>
      </c>
      <c r="K103" s="15" t="n">
        <f aca="false">IF(K29=0,0,K60/K29)</f>
        <v>5.44911492456632</v>
      </c>
      <c r="L103" s="15" t="n">
        <f aca="false">IF(L29=0,0,L60/L29)</f>
        <v>5.36351991420861</v>
      </c>
      <c r="M103" s="15" t="n">
        <f aca="false">IF(M29=0,0,M60/M29)</f>
        <v>5.2882820361953</v>
      </c>
      <c r="N103" s="15" t="n">
        <f aca="false">IF(N29=0,0,N60/N29)</f>
        <v>5.22154218675211</v>
      </c>
      <c r="O103" s="15" t="n">
        <f aca="false">IF(O29=0,0,O60/O29)</f>
        <v>5.20890315841634</v>
      </c>
      <c r="P103" s="15" t="n">
        <f aca="false">IF(P29=0,0,P60/P29)</f>
        <v>5.19586025011456</v>
      </c>
      <c r="Q103" s="15" t="n">
        <f aca="false">IF(Q29=0,0,Q60/Q29)</f>
        <v>5.18243965140115</v>
      </c>
      <c r="R103" s="15" t="n">
        <f aca="false">IF(R29=0,0,R60/R29)</f>
        <v>5.17055163452106</v>
      </c>
      <c r="S103" s="15" t="n">
        <f aca="false">IF(S29=0,0,S60/S29)</f>
        <v>5.15862729813905</v>
      </c>
      <c r="T103" s="15" t="n">
        <f aca="false">IF(T29=0,0,T60/T29)</f>
        <v>5.14680985541893</v>
      </c>
      <c r="U103" s="15" t="n">
        <f aca="false">IF(U29=0,0,U60/U29)</f>
        <v>5.13521030357403</v>
      </c>
      <c r="V103" s="15" t="n">
        <f aca="false">IF(V29=0,0,V60/V29)</f>
        <v>5.12390653628293</v>
      </c>
      <c r="W103" s="15" t="n">
        <f aca="false">IF(W29=0,0,W60/W29)</f>
        <v>5.1129514434708</v>
      </c>
      <c r="X103" s="15" t="n">
        <f aca="false">IF(X29=0,0,X60/X29)</f>
        <v>5.10237910888379</v>
      </c>
      <c r="Y103" s="15" t="n">
        <f aca="false">IF(Y29=0,0,Y60/Y29)</f>
        <v>5.09220952470419</v>
      </c>
      <c r="Z103" s="15" t="n">
        <f aca="false">IF(Z29=0,0,Z60/Z29)</f>
        <v>5.08245218614636</v>
      </c>
      <c r="AA103" s="15" t="n">
        <f aca="false">IF(AA29=0,0,AA60/AA29)</f>
        <v>5.08002441729154</v>
      </c>
      <c r="AB103" s="15" t="n">
        <f aca="false">IF(AB29=0,0,AB60/AB29)</f>
        <v>5.07766198760688</v>
      </c>
      <c r="AC103" s="15" t="n">
        <f aca="false">IF(AC29=0,0,AC60/AC29)</f>
        <v>5.07533391531801</v>
      </c>
      <c r="AD103" s="15" t="n">
        <f aca="false">IF(AD29=0,0,AD60/AD29)</f>
        <v>5.07330250846939</v>
      </c>
      <c r="AE103" s="15" t="n">
        <f aca="false">IF(AE29=0,0,AE60/AE29)</f>
        <v>5.0713168988985</v>
      </c>
      <c r="AF103" s="15" t="n">
        <f aca="false">IF(AF29=0,0,AF60/AF29)</f>
        <v>5.06938264427162</v>
      </c>
      <c r="AG103" s="15" t="n">
        <f aca="false">IF(AG29=0,0,AG60/AG29)</f>
        <v>5.06750479344478</v>
      </c>
      <c r="AH103" s="15" t="n">
        <f aca="false">IF(AH29=0,0,AH60/AH29)</f>
        <v>5.06568665154081</v>
      </c>
      <c r="AI103" s="15" t="n">
        <f aca="false">IF(AI29=0,0,AI60/AI29)</f>
        <v>5.06393016910131</v>
      </c>
      <c r="AJ103" s="15" t="n">
        <f aca="false">IF(AJ29=0,0,AJ60/AJ29)</f>
        <v>5.06223625684827</v>
      </c>
      <c r="AK103" s="15" t="n">
        <f aca="false">IF(AK29=0,0,AK60/AK29)</f>
        <v>5.06060503272343</v>
      </c>
      <c r="AL103" s="15" t="n">
        <f aca="false">IF(AL29=0,0,AL60/AL29)</f>
        <v>5.05903601553482</v>
      </c>
    </row>
    <row r="104" customFormat="false" ht="15" hidden="false" customHeight="false" outlineLevel="0" collapsed="false">
      <c r="A104" s="6" t="s">
        <v>516</v>
      </c>
      <c r="B104" s="2" t="s">
        <v>517</v>
      </c>
      <c r="C104" s="14" t="n">
        <f aca="false">IF(((C11+C9)*Assumptions!$F$111)=0,0,(C10+C8)/((C11+C9)*Assumptions!$F$111))</f>
        <v>619.834710743802</v>
      </c>
      <c r="D104" s="14" t="n">
        <f aca="false">IF(((D11+D9)*Assumptions!$F$111)=0,0,(D10+D8)/((D11+D9)*Assumptions!$F$111))</f>
        <v>619.834710743802</v>
      </c>
      <c r="E104" s="14" t="n">
        <f aca="false">IF(((E11+E9)*Assumptions!$F$111)=0,0,(E10+E8)/((E11+E9)*Assumptions!$F$111))</f>
        <v>619.834710743802</v>
      </c>
      <c r="F104" s="14" t="n">
        <f aca="false">IF(((F11+F9)*Assumptions!$F$111)=0,0,(F10+F8)/((F11+F9)*Assumptions!$F$111))</f>
        <v>683.955542889712</v>
      </c>
      <c r="G104" s="14" t="n">
        <f aca="false">IF(((G11+G9)*Assumptions!$F$111)=0,0,(G10+G8)/((G11+G9)*Assumptions!$F$111))</f>
        <v>685.269943275347</v>
      </c>
      <c r="H104" s="14" t="n">
        <f aca="false">IF(((H11+H9)*Assumptions!$F$111)=0,0,(H10+H8)/((H11+H9)*Assumptions!$F$111))</f>
        <v>686.598662872172</v>
      </c>
      <c r="I104" s="14" t="n">
        <f aca="false">IF(((I11+I9)*Assumptions!$F$111)=0,0,(I10+I8)/((I11+I9)*Assumptions!$F$111))</f>
        <v>687.941347131724</v>
      </c>
      <c r="J104" s="14" t="n">
        <f aca="false">IF(((J11+J9)*Assumptions!$F$111)=0,0,(J10+J8)/((J11+J9)*Assumptions!$F$111))</f>
        <v>689.297621689673</v>
      </c>
      <c r="K104" s="14" t="n">
        <f aca="false">IF(((K11+K9)*Assumptions!$F$111)=0,0,(K10+K8)/((K11+K9)*Assumptions!$F$111))</f>
        <v>690.667092575827</v>
      </c>
      <c r="L104" s="14" t="n">
        <f aca="false">IF(((L11+L9)*Assumptions!$F$111)=0,0,(L10+L8)/((L11+L9)*Assumptions!$F$111))</f>
        <v>692.049346479278</v>
      </c>
      <c r="M104" s="14" t="n">
        <f aca="false">IF(((M11+M9)*Assumptions!$F$111)=0,0,(M10+M8)/((M11+M9)*Assumptions!$F$111))</f>
        <v>693.4439510693</v>
      </c>
      <c r="N104" s="14" t="n">
        <f aca="false">IF(((N11+N9)*Assumptions!$F$111)=0,0,(N10+N8)/((N11+N9)*Assumptions!$F$111))</f>
        <v>694.850455372359</v>
      </c>
      <c r="O104" s="14" t="n">
        <f aca="false">IF(((O11+O9)*Assumptions!$F$111)=0,0,(O10+O8)/((O11+O9)*Assumptions!$F$111))</f>
        <v>696.268390205312</v>
      </c>
      <c r="P104" s="14" t="n">
        <f aca="false">IF(((P11+P9)*Assumptions!$F$111)=0,0,(P10+P8)/((P11+P9)*Assumptions!$F$111))</f>
        <v>697.697268664643</v>
      </c>
      <c r="Q104" s="14" t="n">
        <f aca="false">IF(((Q11+Q9)*Assumptions!$F$111)=0,0,(Q10+Q8)/((Q11+Q9)*Assumptions!$F$111))</f>
        <v>699.13658667128</v>
      </c>
      <c r="R104" s="14" t="n">
        <f aca="false">IF(((R11+R9)*Assumptions!$F$111)=0,0,(R10+R8)/((R11+R9)*Assumptions!$F$111))</f>
        <v>700.585823570254</v>
      </c>
      <c r="S104" s="14" t="n">
        <f aca="false">IF(((S11+S9)*Assumptions!$F$111)=0,0,(S10+S8)/((S11+S9)*Assumptions!$F$111))</f>
        <v>702.044442784201</v>
      </c>
      <c r="T104" s="14" t="n">
        <f aca="false">IF(((T11+T9)*Assumptions!$F$111)=0,0,(T10+T8)/((T11+T9)*Assumptions!$F$111))</f>
        <v>703.511892519384</v>
      </c>
      <c r="U104" s="14" t="n">
        <f aca="false">IF(((U11+U9)*Assumptions!$F$111)=0,0,(U10+U8)/((U11+U9)*Assumptions!$F$111))</f>
        <v>704.987606522656</v>
      </c>
      <c r="V104" s="14" t="n">
        <f aca="false">IF(((V11+V9)*Assumptions!$F$111)=0,0,(V10+V8)/((V11+V9)*Assumptions!$F$111))</f>
        <v>706.471004887504</v>
      </c>
      <c r="W104" s="14" t="n">
        <f aca="false">IF(((W11+W9)*Assumptions!$F$111)=0,0,(W10+W8)/((W11+W9)*Assumptions!$F$111))</f>
        <v>707.961494906984</v>
      </c>
      <c r="X104" s="14" t="n">
        <f aca="false">IF(((X11+X9)*Assumptions!$F$111)=0,0,(X10+X8)/((X11+X9)*Assumptions!$F$111))</f>
        <v>709.458471971179</v>
      </c>
      <c r="Y104" s="14" t="n">
        <f aca="false">IF(((Y11+Y9)*Assumptions!$F$111)=0,0,(Y10+Y8)/((Y11+Y9)*Assumptions!$F$111))</f>
        <v>710.961320506447</v>
      </c>
      <c r="Z104" s="14" t="n">
        <f aca="false">IF(((Z11+Z9)*Assumptions!$F$111)=0,0,(Z10+Z8)/((Z11+Z9)*Assumptions!$F$111))</f>
        <v>712.469414953573</v>
      </c>
      <c r="AA104" s="14" t="n">
        <f aca="false">IF(((AA11+AA9)*Assumptions!$F$111)=0,0,(AA10+AA8)/((AA11+AA9)*Assumptions!$F$111))</f>
        <v>713.982120781629</v>
      </c>
      <c r="AB104" s="14" t="n">
        <f aca="false">IF(((AB11+AB9)*Assumptions!$F$111)=0,0,(AB10+AB8)/((AB11+AB9)*Assumptions!$F$111))</f>
        <v>715.498795534186</v>
      </c>
      <c r="AC104" s="14" t="n">
        <f aca="false">IF(((AC11+AC9)*Assumptions!$F$111)=0,0,(AC10+AC8)/((AC11+AC9)*Assumptions!$F$111))</f>
        <v>717.018789904283</v>
      </c>
      <c r="AD104" s="14" t="n">
        <f aca="false">IF(((AD11+AD9)*Assumptions!$F$111)=0,0,(AD10+AD8)/((AD11+AD9)*Assumptions!$F$111))</f>
        <v>718.541448834408</v>
      </c>
      <c r="AE104" s="14" t="n">
        <f aca="false">IF(((AE11+AE9)*Assumptions!$F$111)=0,0,(AE10+AE8)/((AE11+AE9)*Assumptions!$F$111))</f>
        <v>720.066112637578</v>
      </c>
      <c r="AF104" s="14" t="n">
        <f aca="false">IF(((AF11+AF9)*Assumptions!$F$111)=0,0,(AF10+AF8)/((AF11+AF9)*Assumptions!$F$111))</f>
        <v>721.59211813546</v>
      </c>
      <c r="AG104" s="14" t="n">
        <f aca="false">IF(((AG11+AG9)*Assumptions!$F$111)=0,0,(AG10+AG8)/((AG11+AG9)*Assumptions!$F$111))</f>
        <v>723.118799809406</v>
      </c>
      <c r="AH104" s="14" t="n">
        <f aca="false">IF(((AH11+AH9)*Assumptions!$F$111)=0,0,(AH10+AH8)/((AH11+AH9)*Assumptions!$F$111))</f>
        <v>724.645490960142</v>
      </c>
      <c r="AI104" s="14" t="n">
        <f aca="false">IF(((AI11+AI9)*Assumptions!$F$111)=0,0,(AI10+AI8)/((AI11+AI9)*Assumptions!$F$111))</f>
        <v>726.171524871842</v>
      </c>
      <c r="AJ104" s="14" t="n">
        <f aca="false">IF(((AJ11+AJ9)*Assumptions!$F$111)=0,0,(AJ10+AJ8)/((AJ11+AJ9)*Assumptions!$F$111))</f>
        <v>727.69623597626</v>
      </c>
      <c r="AK104" s="14" t="n">
        <f aca="false">IF(((AK11+AK9)*Assumptions!$F$111)=0,0,(AK10+AK8)/((AK11+AK9)*Assumptions!$F$111))</f>
        <v>729.218961012611</v>
      </c>
      <c r="AL104" s="14" t="n">
        <f aca="false">IF(((AL11+AL9)*Assumptions!$F$111)=0,0,(AL10+AL8)/((AL11+AL9)*Assumptions!$F$111))</f>
        <v>730.739040178901</v>
      </c>
    </row>
    <row r="105" customFormat="false" ht="15" hidden="false" customHeight="false" outlineLevel="0" collapsed="false">
      <c r="A105" s="6" t="s">
        <v>518</v>
      </c>
      <c r="B105" s="2" t="s">
        <v>519</v>
      </c>
      <c r="C105" s="8" t="n">
        <f aca="false">IF((C91&gt;=0),1,0)</f>
        <v>0</v>
      </c>
      <c r="D105" s="8" t="n">
        <f aca="false">IF((D91&gt;=0),1,0)</f>
        <v>0</v>
      </c>
      <c r="E105" s="8" t="n">
        <f aca="false">IF((E91&gt;=0),1,0)</f>
        <v>0</v>
      </c>
      <c r="F105" s="8" t="n">
        <f aca="false">IF((F91&gt;=0),1,0)</f>
        <v>0</v>
      </c>
      <c r="G105" s="8" t="n">
        <f aca="false">IF((G91&gt;=0),1,0)</f>
        <v>0</v>
      </c>
      <c r="H105" s="8" t="n">
        <f aca="false">IF((H91&gt;=0),1,0)</f>
        <v>0</v>
      </c>
      <c r="I105" s="8" t="n">
        <f aca="false">IF((I91&gt;=0),1,0)</f>
        <v>0</v>
      </c>
      <c r="J105" s="8" t="n">
        <f aca="false">IF((J91&gt;=0),1,0)</f>
        <v>0</v>
      </c>
      <c r="K105" s="8" t="n">
        <f aca="false">IF((K91&gt;=0),1,0)</f>
        <v>0</v>
      </c>
      <c r="L105" s="8" t="n">
        <f aca="false">IF((L91&gt;=0),1,0)</f>
        <v>0</v>
      </c>
      <c r="M105" s="8" t="n">
        <f aca="false">IF((M91&gt;=0),1,0)</f>
        <v>0</v>
      </c>
      <c r="N105" s="8" t="n">
        <f aca="false">IF((N91&gt;=0),1,0)</f>
        <v>0</v>
      </c>
      <c r="O105" s="8" t="n">
        <f aca="false">IF((O91&gt;=0),1,0)</f>
        <v>0</v>
      </c>
      <c r="P105" s="8" t="n">
        <f aca="false">IF((P91&gt;=0),1,0)</f>
        <v>0</v>
      </c>
      <c r="Q105" s="8" t="n">
        <f aca="false">IF((Q91&gt;=0),1,0)</f>
        <v>0</v>
      </c>
      <c r="R105" s="8" t="n">
        <f aca="false">IF((R91&gt;=0),1,0)</f>
        <v>0</v>
      </c>
      <c r="S105" s="8" t="n">
        <f aca="false">IF((S91&gt;=0),1,0)</f>
        <v>0</v>
      </c>
      <c r="T105" s="8" t="n">
        <f aca="false">IF((T91&gt;=0),1,0)</f>
        <v>0</v>
      </c>
      <c r="U105" s="8" t="n">
        <f aca="false">IF((U91&gt;=0),1,0)</f>
        <v>0</v>
      </c>
      <c r="V105" s="8" t="n">
        <f aca="false">IF((V91&gt;=0),1,0)</f>
        <v>0</v>
      </c>
      <c r="W105" s="8" t="n">
        <f aca="false">IF((W91&gt;=0),1,0)</f>
        <v>0</v>
      </c>
      <c r="X105" s="8" t="n">
        <f aca="false">IF((X91&gt;=0),1,0)</f>
        <v>0</v>
      </c>
      <c r="Y105" s="8" t="n">
        <f aca="false">IF((Y91&gt;=0),1,0)</f>
        <v>0</v>
      </c>
      <c r="Z105" s="8" t="n">
        <f aca="false">IF((Z91&gt;=0),1,0)</f>
        <v>0</v>
      </c>
      <c r="AA105" s="8" t="n">
        <f aca="false">IF((AA91&gt;=0),1,0)</f>
        <v>0</v>
      </c>
      <c r="AB105" s="8" t="n">
        <f aca="false">IF((AB91&gt;=0),1,0)</f>
        <v>0</v>
      </c>
      <c r="AC105" s="8" t="n">
        <f aca="false">IF((AC91&gt;=0),1,0)</f>
        <v>0</v>
      </c>
      <c r="AD105" s="8" t="n">
        <f aca="false">IF((AD91&gt;=0),1,0)</f>
        <v>0</v>
      </c>
      <c r="AE105" s="8" t="n">
        <f aca="false">IF((AE91&gt;=0),1,0)</f>
        <v>0</v>
      </c>
      <c r="AF105" s="8" t="n">
        <f aca="false">IF((AF91&gt;=0),1,0)</f>
        <v>0</v>
      </c>
      <c r="AG105" s="8" t="n">
        <f aca="false">IF((AG91&gt;=0),1,0)</f>
        <v>0</v>
      </c>
      <c r="AH105" s="8" t="n">
        <f aca="false">IF((AH91&gt;=0),1,0)</f>
        <v>0</v>
      </c>
      <c r="AI105" s="8" t="n">
        <f aca="false">IF((AI91&gt;=0),1,0)</f>
        <v>0</v>
      </c>
      <c r="AJ105" s="8" t="n">
        <f aca="false">IF((AJ91&gt;=0),1,0)</f>
        <v>0</v>
      </c>
      <c r="AK105" s="8" t="n">
        <f aca="false">IF((AK91&gt;=0),1,0)</f>
        <v>0</v>
      </c>
      <c r="AL105" s="8" t="n">
        <f aca="false">IF((AL91&gt;=0),1,0)</f>
        <v>0</v>
      </c>
    </row>
    <row r="106" customFormat="false" ht="15" hidden="false" customHeight="false" outlineLevel="0" collapsed="false">
      <c r="A106" s="6" t="s">
        <v>520</v>
      </c>
      <c r="B106" s="2" t="s">
        <v>521</v>
      </c>
      <c r="C106" s="8" t="n">
        <f aca="false">IF(AND((C91&gt;=0),(D106=1)),1,0)</f>
        <v>0</v>
      </c>
      <c r="D106" s="8" t="n">
        <f aca="false">IF(AND((D91&gt;=0),(E106=1)),1,0)</f>
        <v>0</v>
      </c>
      <c r="E106" s="8" t="n">
        <f aca="false">IF(AND((E91&gt;=0),(F106=1)),1,0)</f>
        <v>0</v>
      </c>
      <c r="F106" s="8" t="n">
        <f aca="false">IF(AND((F91&gt;=0),(G106=1)),1,0)</f>
        <v>0</v>
      </c>
      <c r="G106" s="8" t="n">
        <f aca="false">IF(AND((G91&gt;=0),(H106=1)),1,0)</f>
        <v>0</v>
      </c>
      <c r="H106" s="8" t="n">
        <f aca="false">IF(AND((H91&gt;=0),(I106=1)),1,0)</f>
        <v>0</v>
      </c>
      <c r="I106" s="8" t="n">
        <f aca="false">IF(AND((I91&gt;=0),(J106=1)),1,0)</f>
        <v>0</v>
      </c>
      <c r="J106" s="8" t="n">
        <f aca="false">IF(AND((J91&gt;=0),(K106=1)),1,0)</f>
        <v>0</v>
      </c>
      <c r="K106" s="8" t="n">
        <f aca="false">IF(AND((K91&gt;=0),(L106=1)),1,0)</f>
        <v>0</v>
      </c>
      <c r="L106" s="8" t="n">
        <f aca="false">IF(AND((L91&gt;=0),(M106=1)),1,0)</f>
        <v>0</v>
      </c>
      <c r="M106" s="8" t="n">
        <f aca="false">IF(AND((M91&gt;=0),(N106=1)),1,0)</f>
        <v>0</v>
      </c>
      <c r="N106" s="8" t="n">
        <f aca="false">IF(AND((N91&gt;=0),(O106=1)),1,0)</f>
        <v>0</v>
      </c>
      <c r="O106" s="8" t="n">
        <f aca="false">IF(AND((O91&gt;=0),(P106=1)),1,0)</f>
        <v>0</v>
      </c>
      <c r="P106" s="8" t="n">
        <f aca="false">IF(AND((P91&gt;=0),(Q106=1)),1,0)</f>
        <v>0</v>
      </c>
      <c r="Q106" s="8" t="n">
        <f aca="false">IF(AND((Q91&gt;=0),(R106=1)),1,0)</f>
        <v>0</v>
      </c>
      <c r="R106" s="8" t="n">
        <f aca="false">IF(AND((R91&gt;=0),(S106=1)),1,0)</f>
        <v>0</v>
      </c>
      <c r="S106" s="8" t="n">
        <f aca="false">IF(AND((S91&gt;=0),(T106=1)),1,0)</f>
        <v>0</v>
      </c>
      <c r="T106" s="8" t="n">
        <f aca="false">IF(AND((T91&gt;=0),(U106=1)),1,0)</f>
        <v>0</v>
      </c>
      <c r="U106" s="8" t="n">
        <f aca="false">IF(AND((U91&gt;=0),(V106=1)),1,0)</f>
        <v>0</v>
      </c>
      <c r="V106" s="8" t="n">
        <f aca="false">IF(AND((V91&gt;=0),(W106=1)),1,0)</f>
        <v>0</v>
      </c>
      <c r="W106" s="8" t="n">
        <f aca="false">IF(AND((W91&gt;=0),(X106=1)),1,0)</f>
        <v>0</v>
      </c>
      <c r="X106" s="8" t="n">
        <f aca="false">IF(AND((X91&gt;=0),(Y106=1)),1,0)</f>
        <v>0</v>
      </c>
      <c r="Y106" s="8" t="n">
        <f aca="false">IF(AND((Y91&gt;=0),(Z106=1)),1,0)</f>
        <v>0</v>
      </c>
      <c r="Z106" s="8" t="n">
        <f aca="false">IF(AND((Z91&gt;=0),(AA106=1)),1,0)</f>
        <v>0</v>
      </c>
      <c r="AA106" s="8" t="n">
        <f aca="false">IF(AND((AA91&gt;=0),(AB106=1)),1,0)</f>
        <v>0</v>
      </c>
      <c r="AB106" s="8" t="n">
        <f aca="false">IF(AND((AB91&gt;=0),(AC106=1)),1,0)</f>
        <v>0</v>
      </c>
      <c r="AC106" s="8" t="n">
        <f aca="false">IF(AND((AC91&gt;=0),(AD106=1)),1,0)</f>
        <v>0</v>
      </c>
      <c r="AD106" s="8" t="n">
        <f aca="false">IF(AND((AD91&gt;=0),(AE106=1)),1,0)</f>
        <v>0</v>
      </c>
      <c r="AE106" s="8" t="n">
        <f aca="false">IF(AND((AE91&gt;=0),(AF106=1)),1,0)</f>
        <v>0</v>
      </c>
      <c r="AF106" s="8" t="n">
        <f aca="false">IF(AND((AF91&gt;=0),(AG106=1)),1,0)</f>
        <v>0</v>
      </c>
      <c r="AG106" s="8" t="n">
        <f aca="false">IF(AND((AG91&gt;=0),(AH106=1)),1,0)</f>
        <v>0</v>
      </c>
      <c r="AH106" s="8" t="n">
        <f aca="false">IF(AND((AH91&gt;=0),(AI106=1)),1,0)</f>
        <v>0</v>
      </c>
      <c r="AI106" s="8" t="n">
        <f aca="false">IF(AND((AI91&gt;=0),(AJ106=1)),1,0)</f>
        <v>0</v>
      </c>
      <c r="AJ106" s="8" t="n">
        <f aca="false">IF(AND((AJ91&gt;=0),(AK106=1)),1,0)</f>
        <v>0</v>
      </c>
      <c r="AK106" s="8" t="n">
        <f aca="false">IF(AND((AK91&gt;=0),(AL106=1)),1,0)</f>
        <v>0</v>
      </c>
      <c r="AL106" s="8" t="n">
        <f aca="false">IF((AL91&gt;=0),1,0)</f>
        <v>0</v>
      </c>
    </row>
    <row r="107" customFormat="false" ht="15" hidden="false" customHeight="false" outlineLevel="0" collapsed="false">
      <c r="A107" s="6" t="s">
        <v>522</v>
      </c>
      <c r="B107" s="2" t="s">
        <v>523</v>
      </c>
      <c r="C107" s="8" t="n">
        <f aca="false">IF(AND((C98&gt;=0),(D107=1)),1,0)</f>
        <v>0</v>
      </c>
      <c r="D107" s="8" t="n">
        <f aca="false">IF(AND((D98&gt;=0),(E107=1)),1,0)</f>
        <v>0</v>
      </c>
      <c r="E107" s="8" t="n">
        <f aca="false">IF(AND((E98&gt;=0),(F107=1)),1,0)</f>
        <v>0</v>
      </c>
      <c r="F107" s="8" t="n">
        <f aca="false">IF(AND((F98&gt;=0),(G107=1)),1,0)</f>
        <v>0</v>
      </c>
      <c r="G107" s="8" t="n">
        <f aca="false">IF(AND((G98&gt;=0),(H107=1)),1,0)</f>
        <v>0</v>
      </c>
      <c r="H107" s="8" t="n">
        <f aca="false">IF(AND((H98&gt;=0),(I107=1)),1,0)</f>
        <v>0</v>
      </c>
      <c r="I107" s="8" t="n">
        <f aca="false">IF(AND((I98&gt;=0),(J107=1)),1,0)</f>
        <v>0</v>
      </c>
      <c r="J107" s="8" t="n">
        <f aca="false">IF(AND((J98&gt;=0),(K107=1)),1,0)</f>
        <v>0</v>
      </c>
      <c r="K107" s="8" t="n">
        <f aca="false">IF(AND((K98&gt;=0),(L107=1)),1,0)</f>
        <v>0</v>
      </c>
      <c r="L107" s="8" t="n">
        <f aca="false">IF(AND((L98&gt;=0),(M107=1)),1,0)</f>
        <v>0</v>
      </c>
      <c r="M107" s="8" t="n">
        <f aca="false">IF(AND((M98&gt;=0),(N107=1)),1,0)</f>
        <v>0</v>
      </c>
      <c r="N107" s="8" t="n">
        <f aca="false">IF(AND((N98&gt;=0),(O107=1)),1,0)</f>
        <v>0</v>
      </c>
      <c r="O107" s="8" t="n">
        <f aca="false">IF(AND((O98&gt;=0),(P107=1)),1,0)</f>
        <v>0</v>
      </c>
      <c r="P107" s="8" t="n">
        <f aca="false">IF(AND((P98&gt;=0),(Q107=1)),1,0)</f>
        <v>0</v>
      </c>
      <c r="Q107" s="8" t="n">
        <f aca="false">IF(AND((Q98&gt;=0),(R107=1)),1,0)</f>
        <v>0</v>
      </c>
      <c r="R107" s="8" t="n">
        <f aca="false">IF(AND((R98&gt;=0),(S107=1)),1,0)</f>
        <v>0</v>
      </c>
      <c r="S107" s="8" t="n">
        <f aca="false">IF(AND((S98&gt;=0),(T107=1)),1,0)</f>
        <v>0</v>
      </c>
      <c r="T107" s="8" t="n">
        <f aca="false">IF(AND((T98&gt;=0),(U107=1)),1,0)</f>
        <v>0</v>
      </c>
      <c r="U107" s="8" t="n">
        <f aca="false">IF(AND((U98&gt;=0),(V107=1)),1,0)</f>
        <v>0</v>
      </c>
      <c r="V107" s="8" t="n">
        <f aca="false">IF(AND((V98&gt;=0),(W107=1)),1,0)</f>
        <v>0</v>
      </c>
      <c r="W107" s="8" t="n">
        <f aca="false">IF(AND((W98&gt;=0),(X107=1)),1,0)</f>
        <v>0</v>
      </c>
      <c r="X107" s="8" t="n">
        <f aca="false">IF(AND((X98&gt;=0),(Y107=1)),1,0)</f>
        <v>0</v>
      </c>
      <c r="Y107" s="8" t="n">
        <f aca="false">IF(AND((Y98&gt;=0),(Z107=1)),1,0)</f>
        <v>0</v>
      </c>
      <c r="Z107" s="8" t="n">
        <f aca="false">IF(AND((Z98&gt;=0),(AA107=1)),1,0)</f>
        <v>0</v>
      </c>
      <c r="AA107" s="8" t="n">
        <f aca="false">IF(AND((AA98&gt;=0),(AB107=1)),1,0)</f>
        <v>0</v>
      </c>
      <c r="AB107" s="8" t="n">
        <f aca="false">IF(AND((AB98&gt;=0),(AC107=1)),1,0)</f>
        <v>0</v>
      </c>
      <c r="AC107" s="8" t="n">
        <f aca="false">IF(AND((AC98&gt;=0),(AD107=1)),1,0)</f>
        <v>0</v>
      </c>
      <c r="AD107" s="8" t="n">
        <f aca="false">IF(AND((AD98&gt;=0),(AE107=1)),1,0)</f>
        <v>0</v>
      </c>
      <c r="AE107" s="8" t="n">
        <f aca="false">IF(AND((AE98&gt;=0),(AF107=1)),1,0)</f>
        <v>0</v>
      </c>
      <c r="AF107" s="8" t="n">
        <f aca="false">IF(AND((AF98&gt;=0),(AG107=1)),1,0)</f>
        <v>0</v>
      </c>
      <c r="AG107" s="8" t="n">
        <f aca="false">IF(AND((AG98&gt;=0),(AH107=1)),1,0)</f>
        <v>0</v>
      </c>
      <c r="AH107" s="8" t="n">
        <f aca="false">IF(AND((AH98&gt;=0),(AI107=1)),1,0)</f>
        <v>0</v>
      </c>
      <c r="AI107" s="8" t="n">
        <f aca="false">IF(AND((AI98&gt;=0),(AJ107=1)),1,0)</f>
        <v>0</v>
      </c>
      <c r="AJ107" s="8" t="n">
        <f aca="false">IF(AND((AJ98&gt;=0),(AK107=1)),1,0)</f>
        <v>0</v>
      </c>
      <c r="AK107" s="8" t="n">
        <f aca="false">IF(AND((AK98&gt;=0),(AL107=1)),1,0)</f>
        <v>0</v>
      </c>
      <c r="AL107" s="8" t="n">
        <f aca="false">IF((AL98&gt;=0),1,0)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L1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4"/>
    <col collapsed="false" customWidth="true" hidden="false" outlineLevel="0" max="38" min="3" style="0" width="11"/>
  </cols>
  <sheetData>
    <row r="1" customFormat="false" ht="16.15" hidden="false" customHeight="false" outlineLevel="0" collapsed="false">
      <c r="A1" s="1" t="s">
        <v>525</v>
      </c>
    </row>
    <row r="2" customFormat="false" ht="15" hidden="false" customHeight="false" outlineLevel="0" collapsed="false">
      <c r="A2" s="3" t="s">
        <v>312</v>
      </c>
      <c r="B2" s="19"/>
      <c r="C2" s="20" t="n">
        <v>1</v>
      </c>
      <c r="D2" s="20" t="n">
        <v>2</v>
      </c>
      <c r="E2" s="20" t="n">
        <v>3</v>
      </c>
      <c r="F2" s="20" t="n">
        <v>4</v>
      </c>
      <c r="G2" s="20" t="n">
        <v>5</v>
      </c>
      <c r="H2" s="20" t="n">
        <v>6</v>
      </c>
      <c r="I2" s="20" t="n">
        <v>7</v>
      </c>
      <c r="J2" s="20" t="n">
        <v>8</v>
      </c>
      <c r="K2" s="20" t="n">
        <v>9</v>
      </c>
      <c r="L2" s="20" t="n">
        <v>10</v>
      </c>
      <c r="M2" s="20" t="n">
        <v>11</v>
      </c>
      <c r="N2" s="20" t="n">
        <v>12</v>
      </c>
      <c r="O2" s="20" t="n">
        <v>13</v>
      </c>
      <c r="P2" s="20" t="n">
        <v>14</v>
      </c>
      <c r="Q2" s="20" t="n">
        <v>15</v>
      </c>
      <c r="R2" s="20" t="n">
        <v>16</v>
      </c>
      <c r="S2" s="20" t="n">
        <v>17</v>
      </c>
      <c r="T2" s="20" t="n">
        <v>18</v>
      </c>
      <c r="U2" s="20" t="n">
        <v>19</v>
      </c>
      <c r="V2" s="20" t="n">
        <v>20</v>
      </c>
      <c r="W2" s="20" t="n">
        <v>21</v>
      </c>
      <c r="X2" s="20" t="n">
        <v>22</v>
      </c>
      <c r="Y2" s="20" t="n">
        <v>23</v>
      </c>
      <c r="Z2" s="20" t="n">
        <v>24</v>
      </c>
      <c r="AA2" s="20" t="n">
        <v>25</v>
      </c>
      <c r="AB2" s="20" t="n">
        <v>26</v>
      </c>
      <c r="AC2" s="20" t="n">
        <v>27</v>
      </c>
      <c r="AD2" s="20" t="n">
        <v>28</v>
      </c>
      <c r="AE2" s="20" t="n">
        <v>29</v>
      </c>
      <c r="AF2" s="20" t="n">
        <v>30</v>
      </c>
      <c r="AG2" s="20" t="n">
        <v>31</v>
      </c>
      <c r="AH2" s="20" t="n">
        <v>32</v>
      </c>
      <c r="AI2" s="20" t="n">
        <v>33</v>
      </c>
      <c r="AJ2" s="20" t="n">
        <v>34</v>
      </c>
      <c r="AK2" s="20" t="n">
        <v>35</v>
      </c>
      <c r="AL2" s="20" t="n">
        <v>36</v>
      </c>
    </row>
    <row r="3" customFormat="false" ht="15" hidden="false" customHeight="false" outlineLevel="0" collapsed="false">
      <c r="A3" s="3" t="s">
        <v>313</v>
      </c>
      <c r="B3" s="19"/>
      <c r="C3" s="20" t="n">
        <v>1</v>
      </c>
      <c r="D3" s="20" t="n">
        <v>1</v>
      </c>
      <c r="E3" s="20" t="n">
        <v>1</v>
      </c>
      <c r="F3" s="20" t="n">
        <v>1</v>
      </c>
      <c r="G3" s="20" t="n">
        <v>1</v>
      </c>
      <c r="H3" s="20" t="n">
        <v>1</v>
      </c>
      <c r="I3" s="20" t="n">
        <v>1</v>
      </c>
      <c r="J3" s="20" t="n">
        <v>1</v>
      </c>
      <c r="K3" s="20" t="n">
        <v>1</v>
      </c>
      <c r="L3" s="20" t="n">
        <v>1</v>
      </c>
      <c r="M3" s="20" t="n">
        <v>1</v>
      </c>
      <c r="N3" s="20" t="n">
        <v>1</v>
      </c>
      <c r="O3" s="20" t="n">
        <v>2</v>
      </c>
      <c r="P3" s="20" t="n">
        <v>2</v>
      </c>
      <c r="Q3" s="20" t="n">
        <v>2</v>
      </c>
      <c r="R3" s="20" t="n">
        <v>2</v>
      </c>
      <c r="S3" s="20" t="n">
        <v>2</v>
      </c>
      <c r="T3" s="20" t="n">
        <v>2</v>
      </c>
      <c r="U3" s="20" t="n">
        <v>2</v>
      </c>
      <c r="V3" s="20" t="n">
        <v>2</v>
      </c>
      <c r="W3" s="20" t="n">
        <v>2</v>
      </c>
      <c r="X3" s="20" t="n">
        <v>2</v>
      </c>
      <c r="Y3" s="20" t="n">
        <v>2</v>
      </c>
      <c r="Z3" s="20" t="n">
        <v>2</v>
      </c>
      <c r="AA3" s="20" t="n">
        <v>3</v>
      </c>
      <c r="AB3" s="20" t="n">
        <v>3</v>
      </c>
      <c r="AC3" s="20" t="n">
        <v>3</v>
      </c>
      <c r="AD3" s="20" t="n">
        <v>3</v>
      </c>
      <c r="AE3" s="20" t="n">
        <v>3</v>
      </c>
      <c r="AF3" s="20" t="n">
        <v>3</v>
      </c>
      <c r="AG3" s="20" t="n">
        <v>3</v>
      </c>
      <c r="AH3" s="20" t="n">
        <v>3</v>
      </c>
      <c r="AI3" s="20" t="n">
        <v>3</v>
      </c>
      <c r="AJ3" s="20" t="n">
        <v>3</v>
      </c>
      <c r="AK3" s="20" t="n">
        <v>3</v>
      </c>
      <c r="AL3" s="20" t="n">
        <v>3</v>
      </c>
    </row>
    <row r="4" customFormat="false" ht="15" hidden="false" customHeight="false" outlineLevel="0" collapsed="false">
      <c r="A4" s="3" t="s">
        <v>314</v>
      </c>
      <c r="B4" s="19"/>
      <c r="C4" s="20" t="s">
        <v>315</v>
      </c>
      <c r="D4" s="20" t="s">
        <v>316</v>
      </c>
      <c r="E4" s="20" t="s">
        <v>317</v>
      </c>
      <c r="F4" s="20" t="s">
        <v>318</v>
      </c>
      <c r="G4" s="20" t="s">
        <v>319</v>
      </c>
      <c r="H4" s="20" t="s">
        <v>320</v>
      </c>
      <c r="I4" s="20" t="s">
        <v>321</v>
      </c>
      <c r="J4" s="20" t="s">
        <v>322</v>
      </c>
      <c r="K4" s="20" t="s">
        <v>323</v>
      </c>
      <c r="L4" s="20" t="s">
        <v>324</v>
      </c>
      <c r="M4" s="20" t="s">
        <v>325</v>
      </c>
      <c r="N4" s="20" t="s">
        <v>326</v>
      </c>
      <c r="O4" s="20" t="s">
        <v>327</v>
      </c>
      <c r="P4" s="20" t="s">
        <v>328</v>
      </c>
      <c r="Q4" s="20" t="s">
        <v>329</v>
      </c>
      <c r="R4" s="20" t="s">
        <v>330</v>
      </c>
      <c r="S4" s="20" t="s">
        <v>331</v>
      </c>
      <c r="T4" s="20" t="s">
        <v>332</v>
      </c>
      <c r="U4" s="20" t="s">
        <v>333</v>
      </c>
      <c r="V4" s="20" t="s">
        <v>334</v>
      </c>
      <c r="W4" s="20" t="s">
        <v>335</v>
      </c>
      <c r="X4" s="20" t="s">
        <v>336</v>
      </c>
      <c r="Y4" s="20" t="s">
        <v>337</v>
      </c>
      <c r="Z4" s="20" t="s">
        <v>338</v>
      </c>
      <c r="AA4" s="20" t="s">
        <v>339</v>
      </c>
      <c r="AB4" s="20" t="s">
        <v>340</v>
      </c>
      <c r="AC4" s="20" t="s">
        <v>341</v>
      </c>
      <c r="AD4" s="20" t="s">
        <v>342</v>
      </c>
      <c r="AE4" s="20" t="s">
        <v>343</v>
      </c>
      <c r="AF4" s="20" t="s">
        <v>344</v>
      </c>
      <c r="AG4" s="20" t="s">
        <v>345</v>
      </c>
      <c r="AH4" s="20" t="s">
        <v>346</v>
      </c>
      <c r="AI4" s="20" t="s">
        <v>347</v>
      </c>
      <c r="AJ4" s="20" t="s">
        <v>348</v>
      </c>
      <c r="AK4" s="20" t="s">
        <v>349</v>
      </c>
      <c r="AL4" s="20" t="s">
        <v>350</v>
      </c>
    </row>
    <row r="5" customFormat="false" ht="15" hidden="false" customHeight="false" outlineLevel="0" collapsed="false">
      <c r="A5" s="4" t="s">
        <v>34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customFormat="false" ht="15" hidden="false" customHeight="false" outlineLevel="0" collapsed="false">
      <c r="A6" s="6" t="s">
        <v>351</v>
      </c>
      <c r="B6" s="2" t="s">
        <v>352</v>
      </c>
      <c r="C6" s="17" t="n">
        <f aca="false">(Assumptions!$G$13*((1+Assumptions!$G$14)^(C$2-1)))</f>
        <v>2100</v>
      </c>
      <c r="D6" s="17" t="n">
        <f aca="false">(Assumptions!$G$13*((1+Assumptions!$G$14)^(D$2-1)))</f>
        <v>2289</v>
      </c>
      <c r="E6" s="17" t="n">
        <f aca="false">(Assumptions!$G$13*((1+Assumptions!$G$14)^(E$2-1)))</f>
        <v>2495.01</v>
      </c>
      <c r="F6" s="17" t="n">
        <f aca="false">(Assumptions!$G$13*((1+Assumptions!$G$14)^(F$2-1)))</f>
        <v>2719.5609</v>
      </c>
      <c r="G6" s="17" t="n">
        <f aca="false">(Assumptions!$G$13*((1+Assumptions!$G$14)^(G$2-1)))</f>
        <v>2964.321381</v>
      </c>
      <c r="H6" s="17" t="n">
        <f aca="false">(Assumptions!$G$13*((1+Assumptions!$G$14)^(H$2-1)))</f>
        <v>3231.11030529</v>
      </c>
      <c r="I6" s="17" t="n">
        <f aca="false">(Assumptions!$G$13*((1+Assumptions!$G$14)^(I$2-1)))</f>
        <v>3521.9102327661</v>
      </c>
      <c r="J6" s="17" t="n">
        <f aca="false">(Assumptions!$G$13*((1+Assumptions!$G$14)^(J$2-1)))</f>
        <v>3838.88215371505</v>
      </c>
      <c r="K6" s="17" t="n">
        <f aca="false">(Assumptions!$G$13*((1+Assumptions!$G$14)^(K$2-1)))</f>
        <v>4184.38154754941</v>
      </c>
      <c r="L6" s="17" t="n">
        <f aca="false">(Assumptions!$G$13*((1+Assumptions!$G$14)^(L$2-1)))</f>
        <v>4560.97588682885</v>
      </c>
      <c r="M6" s="17" t="n">
        <f aca="false">(Assumptions!$G$13*((1+Assumptions!$G$14)^(M$2-1)))</f>
        <v>4971.46371664345</v>
      </c>
      <c r="N6" s="17" t="n">
        <f aca="false">(Assumptions!$G$13*((1+Assumptions!$G$14)^(N$2-1)))</f>
        <v>5418.89545114136</v>
      </c>
      <c r="O6" s="17" t="n">
        <f aca="false">(Assumptions!$G$13*((1+Assumptions!$G$14)^(O$2-1)))</f>
        <v>5906.59604174408</v>
      </c>
      <c r="P6" s="17" t="n">
        <f aca="false">(Assumptions!$G$13*((1+Assumptions!$G$14)^(P$2-1)))</f>
        <v>6438.18968550105</v>
      </c>
      <c r="Q6" s="17" t="n">
        <f aca="false">(Assumptions!$G$13*((1+Assumptions!$G$14)^(Q$2-1)))</f>
        <v>7017.62675719615</v>
      </c>
      <c r="R6" s="17" t="n">
        <f aca="false">(Assumptions!$G$13*((1+Assumptions!$G$14)^(R$2-1)))</f>
        <v>7649.2131653438</v>
      </c>
      <c r="S6" s="17" t="n">
        <f aca="false">(Assumptions!$G$13*((1+Assumptions!$G$14)^(S$2-1)))</f>
        <v>8337.64235022474</v>
      </c>
      <c r="T6" s="17" t="n">
        <f aca="false">(Assumptions!$G$13*((1+Assumptions!$G$14)^(T$2-1)))</f>
        <v>9088.03016174497</v>
      </c>
      <c r="U6" s="17" t="n">
        <f aca="false">(Assumptions!$G$13*((1+Assumptions!$G$14)^(U$2-1)))</f>
        <v>9905.95287630202</v>
      </c>
      <c r="V6" s="17" t="n">
        <f aca="false">(Assumptions!$G$13*((1+Assumptions!$G$14)^(V$2-1)))</f>
        <v>10797.4886351692</v>
      </c>
      <c r="W6" s="17" t="n">
        <f aca="false">(Assumptions!$G$13*((1+Assumptions!$G$14)^(W$2-1)))</f>
        <v>11769.2626123344</v>
      </c>
      <c r="X6" s="17" t="n">
        <f aca="false">(Assumptions!$G$13*((1+Assumptions!$G$14)^(X$2-1)))</f>
        <v>12828.4962474445</v>
      </c>
      <c r="Y6" s="17" t="n">
        <f aca="false">(Assumptions!$G$13*((1+Assumptions!$G$14)^(Y$2-1)))</f>
        <v>13983.0609097145</v>
      </c>
      <c r="Z6" s="17" t="n">
        <f aca="false">(Assumptions!$G$13*((1+Assumptions!$G$14)^(Z$2-1)))</f>
        <v>15241.5363915888</v>
      </c>
      <c r="AA6" s="17" t="n">
        <f aca="false">(Assumptions!$G$13*((1+Assumptions!$G$14)^(AA$2-1)))</f>
        <v>16613.2746668318</v>
      </c>
      <c r="AB6" s="17" t="n">
        <f aca="false">(Assumptions!$G$13*((1+Assumptions!$G$14)^(AB$2-1)))</f>
        <v>18108.4693868467</v>
      </c>
      <c r="AC6" s="17" t="n">
        <f aca="false">(Assumptions!$G$13*((1+Assumptions!$G$14)^(AC$2-1)))</f>
        <v>19738.2316316629</v>
      </c>
      <c r="AD6" s="17" t="n">
        <f aca="false">(Assumptions!$G$13*((1+Assumptions!$G$14)^(AD$2-1)))</f>
        <v>21514.6724785126</v>
      </c>
      <c r="AE6" s="17" t="n">
        <f aca="false">(Assumptions!$G$13*((1+Assumptions!$G$14)^(AE$2-1)))</f>
        <v>23450.9930015787</v>
      </c>
      <c r="AF6" s="17" t="n">
        <f aca="false">(Assumptions!$G$13*((1+Assumptions!$G$14)^(AF$2-1)))</f>
        <v>25561.5823717208</v>
      </c>
      <c r="AG6" s="17" t="n">
        <f aca="false">(Assumptions!$G$13*((1+Assumptions!$G$14)^(AG$2-1)))</f>
        <v>27862.1247851757</v>
      </c>
      <c r="AH6" s="17" t="n">
        <f aca="false">(Assumptions!$G$13*((1+Assumptions!$G$14)^(AH$2-1)))</f>
        <v>30369.7160158415</v>
      </c>
      <c r="AI6" s="17" t="n">
        <f aca="false">(Assumptions!$G$13*((1+Assumptions!$G$14)^(AI$2-1)))</f>
        <v>33102.9904572672</v>
      </c>
      <c r="AJ6" s="17" t="n">
        <f aca="false">(Assumptions!$G$13*((1+Assumptions!$G$14)^(AJ$2-1)))</f>
        <v>36082.2595984213</v>
      </c>
      <c r="AK6" s="17" t="n">
        <f aca="false">(Assumptions!$G$13*((1+Assumptions!$G$14)^(AK$2-1)))</f>
        <v>39329.6629622792</v>
      </c>
      <c r="AL6" s="17" t="n">
        <f aca="false">(Assumptions!$G$13*((1+Assumptions!$G$14)^(AL$2-1)))</f>
        <v>42869.3326288843</v>
      </c>
    </row>
    <row r="7" customFormat="false" ht="15" hidden="false" customHeight="false" outlineLevel="0" collapsed="false">
      <c r="A7" s="6" t="s">
        <v>353</v>
      </c>
      <c r="B7" s="2" t="s">
        <v>354</v>
      </c>
      <c r="C7" s="17" t="n">
        <f aca="false">(Assumptions!$G$15*0)</f>
        <v>0</v>
      </c>
      <c r="D7" s="17" t="n">
        <f aca="false">(Assumptions!$G$15*C36)</f>
        <v>70.5</v>
      </c>
      <c r="E7" s="17" t="n">
        <f aca="false">(Assumptions!$G$15*D36)</f>
        <v>95.1068853313241</v>
      </c>
      <c r="F7" s="17" t="n">
        <f aca="false">(Assumptions!$G$15*E36)</f>
        <v>119.889843610388</v>
      </c>
      <c r="G7" s="17" t="n">
        <f aca="false">(Assumptions!$G$15*F36)</f>
        <v>152.036838898671</v>
      </c>
      <c r="H7" s="17" t="n">
        <f aca="false">(Assumptions!$G$15*G36)</f>
        <v>181.732489734207</v>
      </c>
      <c r="I7" s="17" t="n">
        <f aca="false">(Assumptions!$G$15*H36)</f>
        <v>213.136393568488</v>
      </c>
      <c r="J7" s="17" t="n">
        <f aca="false">(Assumptions!$G$15*I36)</f>
        <v>246.539786356702</v>
      </c>
      <c r="K7" s="17" t="n">
        <f aca="false">(Assumptions!$G$15*J36)</f>
        <v>282.16184291673</v>
      </c>
      <c r="L7" s="17" t="n">
        <f aca="false">(Assumptions!$G$15*K36)</f>
        <v>320.236377239265</v>
      </c>
      <c r="M7" s="17" t="n">
        <f aca="false">(Assumptions!$G$15*L36)</f>
        <v>361.015398013712</v>
      </c>
      <c r="N7" s="17" t="n">
        <f aca="false">(Assumptions!$G$15*M36)</f>
        <v>404.770928770515</v>
      </c>
      <c r="O7" s="17" t="n">
        <f aca="false">(Assumptions!$G$15*N36)</f>
        <v>451.796932656751</v>
      </c>
      <c r="P7" s="17" t="n">
        <f aca="false">(Assumptions!$G$15*O36)</f>
        <v>501.417981429464</v>
      </c>
      <c r="Q7" s="17" t="n">
        <f aca="false">(Assumptions!$G$15*P36)</f>
        <v>554.825920482918</v>
      </c>
      <c r="R7" s="17" t="n">
        <f aca="false">(Assumptions!$G$15*Q36)</f>
        <v>612.4240944839</v>
      </c>
      <c r="S7" s="17" t="n">
        <f aca="false">(Assumptions!$G$15*R36)</f>
        <v>674.52432457424</v>
      </c>
      <c r="T7" s="17" t="n">
        <f aca="false">(Assumptions!$G$15*S36)</f>
        <v>741.628685750236</v>
      </c>
      <c r="U7" s="17" t="n">
        <f aca="false">(Assumptions!$G$15*T36)</f>
        <v>814.205054578567</v>
      </c>
      <c r="V7" s="17" t="n">
        <f aca="false">(Assumptions!$G$15*U36)</f>
        <v>892.757854822732</v>
      </c>
      <c r="W7" s="17" t="n">
        <f aca="false">(Assumptions!$G$15*V36)</f>
        <v>977.834823961404</v>
      </c>
      <c r="X7" s="17" t="n">
        <f aca="false">(Assumptions!$G$15*W36)</f>
        <v>1070.03106392189</v>
      </c>
      <c r="Y7" s="17" t="n">
        <f aca="false">(Assumptions!$G$15*X36)</f>
        <v>1169.99333485565</v>
      </c>
      <c r="Z7" s="17" t="n">
        <f aca="false">(Assumptions!$G$15*Y36)</f>
        <v>1278.42472406463</v>
      </c>
      <c r="AA7" s="17" t="n">
        <f aca="false">(Assumptions!$G$15*Z36)</f>
        <v>1396.0897273365</v>
      </c>
      <c r="AB7" s="17" t="n">
        <f aca="false">(Assumptions!$G$15*AA36)</f>
        <v>1523.30532108069</v>
      </c>
      <c r="AC7" s="17" t="n">
        <f aca="false">(Assumptions!$G$15*AB36)</f>
        <v>1661.41525354976</v>
      </c>
      <c r="AD7" s="17" t="n">
        <f aca="false">(Assumptions!$G$15*AC36)</f>
        <v>1811.4192220145</v>
      </c>
      <c r="AE7" s="17" t="n">
        <f aca="false">(Assumptions!$G$15*AD36)</f>
        <v>1974.33990026656</v>
      </c>
      <c r="AF7" s="17" t="n">
        <f aca="false">(Assumptions!$G$15*AE36)</f>
        <v>2151.37519676414</v>
      </c>
      <c r="AG7" s="17" t="n">
        <f aca="false">(Assumptions!$G$15*AF36)</f>
        <v>2343.78879082542</v>
      </c>
      <c r="AH7" s="17" t="n">
        <f aca="false">(Assumptions!$G$15*AG36)</f>
        <v>2552.95424792195</v>
      </c>
      <c r="AI7" s="17" t="n">
        <f aca="false">(Assumptions!$G$15*AH36)</f>
        <v>2780.36664321028</v>
      </c>
      <c r="AJ7" s="17" t="n">
        <f aca="false">(Assumptions!$G$15*AI36)</f>
        <v>3027.65350365947</v>
      </c>
      <c r="AK7" s="17" t="n">
        <f aca="false">(Assumptions!$G$15*AJ36)</f>
        <v>3296.58666796214</v>
      </c>
      <c r="AL7" s="17" t="n">
        <f aca="false">(Assumptions!$G$15*AK36)</f>
        <v>3589.09520366156</v>
      </c>
    </row>
    <row r="8" customFormat="false" ht="15" hidden="false" customHeight="false" outlineLevel="0" collapsed="false">
      <c r="A8" s="6" t="s">
        <v>355</v>
      </c>
      <c r="B8" s="2" t="s">
        <v>356</v>
      </c>
      <c r="C8" s="14" t="n">
        <f aca="false">IF((C$2&gt;=Assumptions!$G$16),(Assumptions!$G$17*((1+Assumptions!$G$18)^(C$2-Assumptions!$G$16))),0)</f>
        <v>0</v>
      </c>
      <c r="D8" s="14" t="n">
        <f aca="false">IF((D$2&gt;=Assumptions!$G$16),(Assumptions!$G$17*((1+Assumptions!$G$18)^(D$2-Assumptions!$G$16))),0)</f>
        <v>0</v>
      </c>
      <c r="E8" s="14" t="n">
        <f aca="false">IF((E$2&gt;=Assumptions!$G$16),(Assumptions!$G$17*((1+Assumptions!$G$18)^(E$2-Assumptions!$G$16))),0)</f>
        <v>0</v>
      </c>
      <c r="F8" s="14" t="n">
        <f aca="false">IF((F$2&gt;=Assumptions!$G$16),(Assumptions!$G$17*((1+Assumptions!$G$18)^(F$2-Assumptions!$G$16))),0)</f>
        <v>1000</v>
      </c>
      <c r="G8" s="14" t="n">
        <f aca="false">IF((G$2&gt;=Assumptions!$G$16),(Assumptions!$G$17*((1+Assumptions!$G$18)^(G$2-Assumptions!$G$16))),0)</f>
        <v>1070</v>
      </c>
      <c r="H8" s="14" t="n">
        <f aca="false">IF((H$2&gt;=Assumptions!$G$16),(Assumptions!$G$17*((1+Assumptions!$G$18)^(H$2-Assumptions!$G$16))),0)</f>
        <v>1144.9</v>
      </c>
      <c r="I8" s="14" t="n">
        <f aca="false">IF((I$2&gt;=Assumptions!$G$16),(Assumptions!$G$17*((1+Assumptions!$G$18)^(I$2-Assumptions!$G$16))),0)</f>
        <v>1225.043</v>
      </c>
      <c r="J8" s="14" t="n">
        <f aca="false">IF((J$2&gt;=Assumptions!$G$16),(Assumptions!$G$17*((1+Assumptions!$G$18)^(J$2-Assumptions!$G$16))),0)</f>
        <v>1310.79601</v>
      </c>
      <c r="K8" s="14" t="n">
        <f aca="false">IF((K$2&gt;=Assumptions!$G$16),(Assumptions!$G$17*((1+Assumptions!$G$18)^(K$2-Assumptions!$G$16))),0)</f>
        <v>1402.5517307</v>
      </c>
      <c r="L8" s="14" t="n">
        <f aca="false">IF((L$2&gt;=Assumptions!$G$16),(Assumptions!$G$17*((1+Assumptions!$G$18)^(L$2-Assumptions!$G$16))),0)</f>
        <v>1500.730351849</v>
      </c>
      <c r="M8" s="14" t="n">
        <f aca="false">IF((M$2&gt;=Assumptions!$G$16),(Assumptions!$G$17*((1+Assumptions!$G$18)^(M$2-Assumptions!$G$16))),0)</f>
        <v>1605.78147647843</v>
      </c>
      <c r="N8" s="14" t="n">
        <f aca="false">IF((N$2&gt;=Assumptions!$G$16),(Assumptions!$G$17*((1+Assumptions!$G$18)^(N$2-Assumptions!$G$16))),0)</f>
        <v>1718.18617983192</v>
      </c>
      <c r="O8" s="14" t="n">
        <f aca="false">IF((O$2&gt;=Assumptions!$G$16),(Assumptions!$G$17*((1+Assumptions!$G$18)^(O$2-Assumptions!$G$16))),0)</f>
        <v>1838.45921242016</v>
      </c>
      <c r="P8" s="14" t="n">
        <f aca="false">IF((P$2&gt;=Assumptions!$G$16),(Assumptions!$G$17*((1+Assumptions!$G$18)^(P$2-Assumptions!$G$16))),0)</f>
        <v>1967.15135728957</v>
      </c>
      <c r="Q8" s="14" t="n">
        <f aca="false">IF((Q$2&gt;=Assumptions!$G$16),(Assumptions!$G$17*((1+Assumptions!$G$18)^(Q$2-Assumptions!$G$16))),0)</f>
        <v>2104.85195229984</v>
      </c>
      <c r="R8" s="14" t="n">
        <f aca="false">IF((R$2&gt;=Assumptions!$G$16),(Assumptions!$G$17*((1+Assumptions!$G$18)^(R$2-Assumptions!$G$16))),0)</f>
        <v>2252.19158896083</v>
      </c>
      <c r="S8" s="14" t="n">
        <f aca="false">IF((S$2&gt;=Assumptions!$G$16),(Assumptions!$G$17*((1+Assumptions!$G$18)^(S$2-Assumptions!$G$16))),0)</f>
        <v>2409.84500018808</v>
      </c>
      <c r="T8" s="14" t="n">
        <f aca="false">IF((T$2&gt;=Assumptions!$G$16),(Assumptions!$G$17*((1+Assumptions!$G$18)^(T$2-Assumptions!$G$16))),0)</f>
        <v>2578.53415020125</v>
      </c>
      <c r="U8" s="14" t="n">
        <f aca="false">IF((U$2&gt;=Assumptions!$G$16),(Assumptions!$G$17*((1+Assumptions!$G$18)^(U$2-Assumptions!$G$16))),0)</f>
        <v>2759.03154071534</v>
      </c>
      <c r="V8" s="14" t="n">
        <f aca="false">IF((V$2&gt;=Assumptions!$G$16),(Assumptions!$G$17*((1+Assumptions!$G$18)^(V$2-Assumptions!$G$16))),0)</f>
        <v>2952.16374856541</v>
      </c>
      <c r="W8" s="14" t="n">
        <f aca="false">IF((W$2&gt;=Assumptions!$G$16),(Assumptions!$G$17*((1+Assumptions!$G$18)^(W$2-Assumptions!$G$16))),0)</f>
        <v>3158.81521096499</v>
      </c>
      <c r="X8" s="14" t="n">
        <f aca="false">IF((X$2&gt;=Assumptions!$G$16),(Assumptions!$G$17*((1+Assumptions!$G$18)^(X$2-Assumptions!$G$16))),0)</f>
        <v>3379.93227573254</v>
      </c>
      <c r="Y8" s="14" t="n">
        <f aca="false">IF((Y$2&gt;=Assumptions!$G$16),(Assumptions!$G$17*((1+Assumptions!$G$18)^(Y$2-Assumptions!$G$16))),0)</f>
        <v>3616.52753503382</v>
      </c>
      <c r="Z8" s="14" t="n">
        <f aca="false">IF((Z$2&gt;=Assumptions!$G$16),(Assumptions!$G$17*((1+Assumptions!$G$18)^(Z$2-Assumptions!$G$16))),0)</f>
        <v>3869.68446248618</v>
      </c>
      <c r="AA8" s="14" t="n">
        <f aca="false">IF((AA$2&gt;=Assumptions!$G$16),(Assumptions!$G$17*((1+Assumptions!$G$18)^(AA$2-Assumptions!$G$16))),0)</f>
        <v>4140.56237486022</v>
      </c>
      <c r="AB8" s="14" t="n">
        <f aca="false">IF((AB$2&gt;=Assumptions!$G$16),(Assumptions!$G$17*((1+Assumptions!$G$18)^(AB$2-Assumptions!$G$16))),0)</f>
        <v>4430.40174110043</v>
      </c>
      <c r="AC8" s="14" t="n">
        <f aca="false">IF((AC$2&gt;=Assumptions!$G$16),(Assumptions!$G$17*((1+Assumptions!$G$18)^(AC$2-Assumptions!$G$16))),0)</f>
        <v>4740.52986297746</v>
      </c>
      <c r="AD8" s="14" t="n">
        <f aca="false">IF((AD$2&gt;=Assumptions!$G$16),(Assumptions!$G$17*((1+Assumptions!$G$18)^(AD$2-Assumptions!$G$16))),0)</f>
        <v>5072.36695338589</v>
      </c>
      <c r="AE8" s="14" t="n">
        <f aca="false">IF((AE$2&gt;=Assumptions!$G$16),(Assumptions!$G$17*((1+Assumptions!$G$18)^(AE$2-Assumptions!$G$16))),0)</f>
        <v>5427.4326401229</v>
      </c>
      <c r="AF8" s="14" t="n">
        <f aca="false">IF((AF$2&gt;=Assumptions!$G$16),(Assumptions!$G$17*((1+Assumptions!$G$18)^(AF$2-Assumptions!$G$16))),0)</f>
        <v>5807.3529249315</v>
      </c>
      <c r="AG8" s="14" t="n">
        <f aca="false">IF((AG$2&gt;=Assumptions!$G$16),(Assumptions!$G$17*((1+Assumptions!$G$18)^(AG$2-Assumptions!$G$16))),0)</f>
        <v>6213.86762967671</v>
      </c>
      <c r="AH8" s="14" t="n">
        <f aca="false">IF((AH$2&gt;=Assumptions!$G$16),(Assumptions!$G$17*((1+Assumptions!$G$18)^(AH$2-Assumptions!$G$16))),0)</f>
        <v>6648.83836375408</v>
      </c>
      <c r="AI8" s="14" t="n">
        <f aca="false">IF((AI$2&gt;=Assumptions!$G$16),(Assumptions!$G$17*((1+Assumptions!$G$18)^(AI$2-Assumptions!$G$16))),0)</f>
        <v>7114.25704921686</v>
      </c>
      <c r="AJ8" s="14" t="n">
        <f aca="false">IF((AJ$2&gt;=Assumptions!$G$16),(Assumptions!$G$17*((1+Assumptions!$G$18)^(AJ$2-Assumptions!$G$16))),0)</f>
        <v>7612.25504266204</v>
      </c>
      <c r="AK8" s="14" t="n">
        <f aca="false">IF((AK$2&gt;=Assumptions!$G$16),(Assumptions!$G$17*((1+Assumptions!$G$18)^(AK$2-Assumptions!$G$16))),0)</f>
        <v>8145.11289564839</v>
      </c>
      <c r="AL8" s="14" t="n">
        <f aca="false">IF((AL$2&gt;=Assumptions!$G$16),(Assumptions!$G$17*((1+Assumptions!$G$18)^(AL$2-Assumptions!$G$16))),0)</f>
        <v>8715.27079834377</v>
      </c>
    </row>
    <row r="9" customFormat="false" ht="15" hidden="false" customHeight="false" outlineLevel="0" collapsed="false">
      <c r="A9" s="6" t="s">
        <v>357</v>
      </c>
      <c r="B9" s="2" t="s">
        <v>358</v>
      </c>
      <c r="C9" s="17" t="n">
        <f aca="false">IF(Assumptions!$G$19=0,0,C8/Assumptions!$G$19)</f>
        <v>0</v>
      </c>
      <c r="D9" s="17" t="n">
        <f aca="false">IF(Assumptions!$G$19=0,0,D8/Assumptions!$G$19)</f>
        <v>0</v>
      </c>
      <c r="E9" s="17" t="n">
        <f aca="false">IF(Assumptions!$G$19=0,0,E8/Assumptions!$G$19)</f>
        <v>0</v>
      </c>
      <c r="F9" s="17" t="n">
        <f aca="false">IF(Assumptions!$G$19=0,0,F8/Assumptions!$G$19)</f>
        <v>200</v>
      </c>
      <c r="G9" s="17" t="n">
        <f aca="false">IF(Assumptions!$G$19=0,0,G8/Assumptions!$G$19)</f>
        <v>214</v>
      </c>
      <c r="H9" s="17" t="n">
        <f aca="false">IF(Assumptions!$G$19=0,0,H8/Assumptions!$G$19)</f>
        <v>228.98</v>
      </c>
      <c r="I9" s="17" t="n">
        <f aca="false">IF(Assumptions!$G$19=0,0,I8/Assumptions!$G$19)</f>
        <v>245.0086</v>
      </c>
      <c r="J9" s="17" t="n">
        <f aca="false">IF(Assumptions!$G$19=0,0,J8/Assumptions!$G$19)</f>
        <v>262.159202</v>
      </c>
      <c r="K9" s="17" t="n">
        <f aca="false">IF(Assumptions!$G$19=0,0,K8/Assumptions!$G$19)</f>
        <v>280.51034614</v>
      </c>
      <c r="L9" s="17" t="n">
        <f aca="false">IF(Assumptions!$G$19=0,0,L8/Assumptions!$G$19)</f>
        <v>300.1460703698</v>
      </c>
      <c r="M9" s="17" t="n">
        <f aca="false">IF(Assumptions!$G$19=0,0,M8/Assumptions!$G$19)</f>
        <v>321.156295295686</v>
      </c>
      <c r="N9" s="17" t="n">
        <f aca="false">IF(Assumptions!$G$19=0,0,N8/Assumptions!$G$19)</f>
        <v>343.637235966384</v>
      </c>
      <c r="O9" s="17" t="n">
        <f aca="false">IF(Assumptions!$G$19=0,0,O8/Assumptions!$G$19)</f>
        <v>367.691842484031</v>
      </c>
      <c r="P9" s="17" t="n">
        <f aca="false">IF(Assumptions!$G$19=0,0,P8/Assumptions!$G$19)</f>
        <v>393.430271457913</v>
      </c>
      <c r="Q9" s="17" t="n">
        <f aca="false">IF(Assumptions!$G$19=0,0,Q8/Assumptions!$G$19)</f>
        <v>420.970390459967</v>
      </c>
      <c r="R9" s="17" t="n">
        <f aca="false">IF(Assumptions!$G$19=0,0,R8/Assumptions!$G$19)</f>
        <v>450.438317792165</v>
      </c>
      <c r="S9" s="17" t="n">
        <f aca="false">IF(Assumptions!$G$19=0,0,S8/Assumptions!$G$19)</f>
        <v>481.969000037617</v>
      </c>
      <c r="T9" s="17" t="n">
        <f aca="false">IF(Assumptions!$G$19=0,0,T8/Assumptions!$G$19)</f>
        <v>515.70683004025</v>
      </c>
      <c r="U9" s="17" t="n">
        <f aca="false">IF(Assumptions!$G$19=0,0,U8/Assumptions!$G$19)</f>
        <v>551.806308143067</v>
      </c>
      <c r="V9" s="17" t="n">
        <f aca="false">IF(Assumptions!$G$19=0,0,V8/Assumptions!$G$19)</f>
        <v>590.432749713082</v>
      </c>
      <c r="W9" s="17" t="n">
        <f aca="false">IF(Assumptions!$G$19=0,0,W8/Assumptions!$G$19)</f>
        <v>631.763042192998</v>
      </c>
      <c r="X9" s="17" t="n">
        <f aca="false">IF(Assumptions!$G$19=0,0,X8/Assumptions!$G$19)</f>
        <v>675.986455146508</v>
      </c>
      <c r="Y9" s="17" t="n">
        <f aca="false">IF(Assumptions!$G$19=0,0,Y8/Assumptions!$G$19)</f>
        <v>723.305507006763</v>
      </c>
      <c r="Z9" s="17" t="n">
        <f aca="false">IF(Assumptions!$G$19=0,0,Z8/Assumptions!$G$19)</f>
        <v>773.936892497237</v>
      </c>
      <c r="AA9" s="17" t="n">
        <f aca="false">IF(Assumptions!$G$19=0,0,AA8/Assumptions!$G$19)</f>
        <v>828.112474972043</v>
      </c>
      <c r="AB9" s="17" t="n">
        <f aca="false">IF(Assumptions!$G$19=0,0,AB8/Assumptions!$G$19)</f>
        <v>886.080348220087</v>
      </c>
      <c r="AC9" s="17" t="n">
        <f aca="false">IF(Assumptions!$G$19=0,0,AC8/Assumptions!$G$19)</f>
        <v>948.105972595493</v>
      </c>
      <c r="AD9" s="17" t="n">
        <f aca="false">IF(Assumptions!$G$19=0,0,AD8/Assumptions!$G$19)</f>
        <v>1014.47339067718</v>
      </c>
      <c r="AE9" s="17" t="n">
        <f aca="false">IF(Assumptions!$G$19=0,0,AE8/Assumptions!$G$19)</f>
        <v>1085.48652802458</v>
      </c>
      <c r="AF9" s="17" t="n">
        <f aca="false">IF(Assumptions!$G$19=0,0,AF8/Assumptions!$G$19)</f>
        <v>1161.4705849863</v>
      </c>
      <c r="AG9" s="17" t="n">
        <f aca="false">IF(Assumptions!$G$19=0,0,AG8/Assumptions!$G$19)</f>
        <v>1242.77352593534</v>
      </c>
      <c r="AH9" s="17" t="n">
        <f aca="false">IF(Assumptions!$G$19=0,0,AH8/Assumptions!$G$19)</f>
        <v>1329.76767275082</v>
      </c>
      <c r="AI9" s="17" t="n">
        <f aca="false">IF(Assumptions!$G$19=0,0,AI8/Assumptions!$G$19)</f>
        <v>1422.85140984337</v>
      </c>
      <c r="AJ9" s="17" t="n">
        <f aca="false">IF(Assumptions!$G$19=0,0,AJ8/Assumptions!$G$19)</f>
        <v>1522.45100853241</v>
      </c>
      <c r="AK9" s="17" t="n">
        <f aca="false">IF(Assumptions!$G$19=0,0,AK8/Assumptions!$G$19)</f>
        <v>1629.02257912968</v>
      </c>
      <c r="AL9" s="17" t="n">
        <f aca="false">IF(Assumptions!$G$19=0,0,AL8/Assumptions!$G$19)</f>
        <v>1743.05415966876</v>
      </c>
    </row>
    <row r="10" customFormat="false" ht="15" hidden="false" customHeight="false" outlineLevel="0" collapsed="false">
      <c r="A10" s="6" t="s">
        <v>359</v>
      </c>
      <c r="B10" s="2" t="s">
        <v>360</v>
      </c>
      <c r="C10" s="14" t="n">
        <f aca="false">IF((C$2&gt;=Assumptions!$G$20),(Assumptions!$G$21*((1+Assumptions!$G$22)^(C$2-Assumptions!$G$20))),0)</f>
        <v>1000</v>
      </c>
      <c r="D10" s="14" t="n">
        <f aca="false">IF((D$2&gt;=Assumptions!$G$20),(Assumptions!$G$21*((1+Assumptions!$G$22)^(D$2-Assumptions!$G$20))),0)</f>
        <v>1060</v>
      </c>
      <c r="E10" s="14" t="n">
        <f aca="false">IF((E$2&gt;=Assumptions!$G$20),(Assumptions!$G$21*((1+Assumptions!$G$22)^(E$2-Assumptions!$G$20))),0)</f>
        <v>1123.6</v>
      </c>
      <c r="F10" s="14" t="n">
        <f aca="false">IF((F$2&gt;=Assumptions!$G$20),(Assumptions!$G$21*((1+Assumptions!$G$22)^(F$2-Assumptions!$G$20))),0)</f>
        <v>1191.016</v>
      </c>
      <c r="G10" s="14" t="n">
        <f aca="false">IF((G$2&gt;=Assumptions!$G$20),(Assumptions!$G$21*((1+Assumptions!$G$22)^(G$2-Assumptions!$G$20))),0)</f>
        <v>1262.47696</v>
      </c>
      <c r="H10" s="14" t="n">
        <f aca="false">IF((H$2&gt;=Assumptions!$G$20),(Assumptions!$G$21*((1+Assumptions!$G$22)^(H$2-Assumptions!$G$20))),0)</f>
        <v>1338.2255776</v>
      </c>
      <c r="I10" s="14" t="n">
        <f aca="false">IF((I$2&gt;=Assumptions!$G$20),(Assumptions!$G$21*((1+Assumptions!$G$22)^(I$2-Assumptions!$G$20))),0)</f>
        <v>1418.519112256</v>
      </c>
      <c r="J10" s="14" t="n">
        <f aca="false">IF((J$2&gt;=Assumptions!$G$20),(Assumptions!$G$21*((1+Assumptions!$G$22)^(J$2-Assumptions!$G$20))),0)</f>
        <v>1503.63025899136</v>
      </c>
      <c r="K10" s="14" t="n">
        <f aca="false">IF((K$2&gt;=Assumptions!$G$20),(Assumptions!$G$21*((1+Assumptions!$G$22)^(K$2-Assumptions!$G$20))),0)</f>
        <v>1593.84807453084</v>
      </c>
      <c r="L10" s="14" t="n">
        <f aca="false">IF((L$2&gt;=Assumptions!$G$20),(Assumptions!$G$21*((1+Assumptions!$G$22)^(L$2-Assumptions!$G$20))),0)</f>
        <v>1689.47895900269</v>
      </c>
      <c r="M10" s="14" t="n">
        <f aca="false">IF((M$2&gt;=Assumptions!$G$20),(Assumptions!$G$21*((1+Assumptions!$G$22)^(M$2-Assumptions!$G$20))),0)</f>
        <v>1790.84769654285</v>
      </c>
      <c r="N10" s="14" t="n">
        <f aca="false">IF((N$2&gt;=Assumptions!$G$20),(Assumptions!$G$21*((1+Assumptions!$G$22)^(N$2-Assumptions!$G$20))),0)</f>
        <v>1898.29855833543</v>
      </c>
      <c r="O10" s="14" t="n">
        <f aca="false">IF((O$2&gt;=Assumptions!$G$20),(Assumptions!$G$21*((1+Assumptions!$G$22)^(O$2-Assumptions!$G$20))),0)</f>
        <v>2012.19647183555</v>
      </c>
      <c r="P10" s="14" t="n">
        <f aca="false">IF((P$2&gt;=Assumptions!$G$20),(Assumptions!$G$21*((1+Assumptions!$G$22)^(P$2-Assumptions!$G$20))),0)</f>
        <v>2132.92826014569</v>
      </c>
      <c r="Q10" s="14" t="n">
        <f aca="false">IF((Q$2&gt;=Assumptions!$G$20),(Assumptions!$G$21*((1+Assumptions!$G$22)^(Q$2-Assumptions!$G$20))),0)</f>
        <v>2260.90395575443</v>
      </c>
      <c r="R10" s="14" t="n">
        <f aca="false">IF((R$2&gt;=Assumptions!$G$20),(Assumptions!$G$21*((1+Assumptions!$G$22)^(R$2-Assumptions!$G$20))),0)</f>
        <v>2396.55819309969</v>
      </c>
      <c r="S10" s="14" t="n">
        <f aca="false">IF((S$2&gt;=Assumptions!$G$20),(Assumptions!$G$21*((1+Assumptions!$G$22)^(S$2-Assumptions!$G$20))),0)</f>
        <v>2540.35168468567</v>
      </c>
      <c r="T10" s="14" t="n">
        <f aca="false">IF((T$2&gt;=Assumptions!$G$20),(Assumptions!$G$21*((1+Assumptions!$G$22)^(T$2-Assumptions!$G$20))),0)</f>
        <v>2692.77278576681</v>
      </c>
      <c r="U10" s="14" t="n">
        <f aca="false">IF((U$2&gt;=Assumptions!$G$20),(Assumptions!$G$21*((1+Assumptions!$G$22)^(U$2-Assumptions!$G$20))),0)</f>
        <v>2854.33915291282</v>
      </c>
      <c r="V10" s="14" t="n">
        <f aca="false">IF((V$2&gt;=Assumptions!$G$20),(Assumptions!$G$21*((1+Assumptions!$G$22)^(V$2-Assumptions!$G$20))),0)</f>
        <v>3025.59950208759</v>
      </c>
      <c r="W10" s="14" t="n">
        <f aca="false">IF((W$2&gt;=Assumptions!$G$20),(Assumptions!$G$21*((1+Assumptions!$G$22)^(W$2-Assumptions!$G$20))),0)</f>
        <v>3207.13547221285</v>
      </c>
      <c r="X10" s="14" t="n">
        <f aca="false">IF((X$2&gt;=Assumptions!$G$20),(Assumptions!$G$21*((1+Assumptions!$G$22)^(X$2-Assumptions!$G$20))),0)</f>
        <v>3399.56360054562</v>
      </c>
      <c r="Y10" s="14" t="n">
        <f aca="false">IF((Y$2&gt;=Assumptions!$G$20),(Assumptions!$G$21*((1+Assumptions!$G$22)^(Y$2-Assumptions!$G$20))),0)</f>
        <v>3603.53741657836</v>
      </c>
      <c r="Z10" s="14" t="n">
        <f aca="false">IF((Z$2&gt;=Assumptions!$G$20),(Assumptions!$G$21*((1+Assumptions!$G$22)^(Z$2-Assumptions!$G$20))),0)</f>
        <v>3819.74966157306</v>
      </c>
      <c r="AA10" s="14" t="n">
        <f aca="false">IF((AA$2&gt;=Assumptions!$G$20),(Assumptions!$G$21*((1+Assumptions!$G$22)^(AA$2-Assumptions!$G$20))),0)</f>
        <v>4048.93464126744</v>
      </c>
      <c r="AB10" s="14" t="n">
        <f aca="false">IF((AB$2&gt;=Assumptions!$G$20),(Assumptions!$G$21*((1+Assumptions!$G$22)^(AB$2-Assumptions!$G$20))),0)</f>
        <v>4291.87071974349</v>
      </c>
      <c r="AC10" s="14" t="n">
        <f aca="false">IF((AC$2&gt;=Assumptions!$G$20),(Assumptions!$G$21*((1+Assumptions!$G$22)^(AC$2-Assumptions!$G$20))),0)</f>
        <v>4549.3829629281</v>
      </c>
      <c r="AD10" s="14" t="n">
        <f aca="false">IF((AD$2&gt;=Assumptions!$G$20),(Assumptions!$G$21*((1+Assumptions!$G$22)^(AD$2-Assumptions!$G$20))),0)</f>
        <v>4822.34594070378</v>
      </c>
      <c r="AE10" s="14" t="n">
        <f aca="false">IF((AE$2&gt;=Assumptions!$G$20),(Assumptions!$G$21*((1+Assumptions!$G$22)^(AE$2-Assumptions!$G$20))),0)</f>
        <v>5111.68669714601</v>
      </c>
      <c r="AF10" s="14" t="n">
        <f aca="false">IF((AF$2&gt;=Assumptions!$G$20),(Assumptions!$G$21*((1+Assumptions!$G$22)^(AF$2-Assumptions!$G$20))),0)</f>
        <v>5418.38789897477</v>
      </c>
      <c r="AG10" s="14" t="n">
        <f aca="false">IF((AG$2&gt;=Assumptions!$G$20),(Assumptions!$G$21*((1+Assumptions!$G$22)^(AG$2-Assumptions!$G$20))),0)</f>
        <v>5743.49117291326</v>
      </c>
      <c r="AH10" s="14" t="n">
        <f aca="false">IF((AH$2&gt;=Assumptions!$G$20),(Assumptions!$G$21*((1+Assumptions!$G$22)^(AH$2-Assumptions!$G$20))),0)</f>
        <v>6088.10064328806</v>
      </c>
      <c r="AI10" s="14" t="n">
        <f aca="false">IF((AI$2&gt;=Assumptions!$G$20),(Assumptions!$G$21*((1+Assumptions!$G$22)^(AI$2-Assumptions!$G$20))),0)</f>
        <v>6453.38668188534</v>
      </c>
      <c r="AJ10" s="14" t="n">
        <f aca="false">IF((AJ$2&gt;=Assumptions!$G$20),(Assumptions!$G$21*((1+Assumptions!$G$22)^(AJ$2-Assumptions!$G$20))),0)</f>
        <v>6840.58988279846</v>
      </c>
      <c r="AK10" s="14" t="n">
        <f aca="false">IF((AK$2&gt;=Assumptions!$G$20),(Assumptions!$G$21*((1+Assumptions!$G$22)^(AK$2-Assumptions!$G$20))),0)</f>
        <v>7251.02527576637</v>
      </c>
      <c r="AL10" s="14" t="n">
        <f aca="false">IF((AL$2&gt;=Assumptions!$G$20),(Assumptions!$G$21*((1+Assumptions!$G$22)^(AL$2-Assumptions!$G$20))),0)</f>
        <v>7686.08679231235</v>
      </c>
    </row>
    <row r="11" customFormat="false" ht="15" hidden="false" customHeight="false" outlineLevel="0" collapsed="false">
      <c r="A11" s="6" t="s">
        <v>361</v>
      </c>
      <c r="B11" s="2" t="s">
        <v>362</v>
      </c>
      <c r="C11" s="17" t="n">
        <f aca="false">IF(Assumptions!$G$23=0,0,C10/Assumptions!$G$23)</f>
        <v>250</v>
      </c>
      <c r="D11" s="17" t="n">
        <f aca="false">IF(Assumptions!$G$23=0,0,D10/Assumptions!$G$23)</f>
        <v>265</v>
      </c>
      <c r="E11" s="17" t="n">
        <f aca="false">IF(Assumptions!$G$23=0,0,E10/Assumptions!$G$23)</f>
        <v>280.9</v>
      </c>
      <c r="F11" s="17" t="n">
        <f aca="false">IF(Assumptions!$G$23=0,0,F10/Assumptions!$G$23)</f>
        <v>297.754</v>
      </c>
      <c r="G11" s="17" t="n">
        <f aca="false">IF(Assumptions!$G$23=0,0,G10/Assumptions!$G$23)</f>
        <v>315.61924</v>
      </c>
      <c r="H11" s="17" t="n">
        <f aca="false">IF(Assumptions!$G$23=0,0,H10/Assumptions!$G$23)</f>
        <v>334.5563944</v>
      </c>
      <c r="I11" s="17" t="n">
        <f aca="false">IF(Assumptions!$G$23=0,0,I10/Assumptions!$G$23)</f>
        <v>354.629778064</v>
      </c>
      <c r="J11" s="17" t="n">
        <f aca="false">IF(Assumptions!$G$23=0,0,J10/Assumptions!$G$23)</f>
        <v>375.90756474784</v>
      </c>
      <c r="K11" s="17" t="n">
        <f aca="false">IF(Assumptions!$G$23=0,0,K10/Assumptions!$G$23)</f>
        <v>398.462018632711</v>
      </c>
      <c r="L11" s="17" t="n">
        <f aca="false">IF(Assumptions!$G$23=0,0,L10/Assumptions!$G$23)</f>
        <v>422.369739750673</v>
      </c>
      <c r="M11" s="17" t="n">
        <f aca="false">IF(Assumptions!$G$23=0,0,M10/Assumptions!$G$23)</f>
        <v>447.711924135714</v>
      </c>
      <c r="N11" s="17" t="n">
        <f aca="false">IF(Assumptions!$G$23=0,0,N10/Assumptions!$G$23)</f>
        <v>474.574639583857</v>
      </c>
      <c r="O11" s="17" t="n">
        <f aca="false">IF(Assumptions!$G$23=0,0,O10/Assumptions!$G$23)</f>
        <v>503.049117958888</v>
      </c>
      <c r="P11" s="17" t="n">
        <f aca="false">IF(Assumptions!$G$23=0,0,P10/Assumptions!$G$23)</f>
        <v>533.232065036421</v>
      </c>
      <c r="Q11" s="17" t="n">
        <f aca="false">IF(Assumptions!$G$23=0,0,Q10/Assumptions!$G$23)</f>
        <v>565.225988938607</v>
      </c>
      <c r="R11" s="17" t="n">
        <f aca="false">IF(Assumptions!$G$23=0,0,R10/Assumptions!$G$23)</f>
        <v>599.139548274923</v>
      </c>
      <c r="S11" s="17" t="n">
        <f aca="false">IF(Assumptions!$G$23=0,0,S10/Assumptions!$G$23)</f>
        <v>635.087921171418</v>
      </c>
      <c r="T11" s="17" t="n">
        <f aca="false">IF(Assumptions!$G$23=0,0,T10/Assumptions!$G$23)</f>
        <v>673.193196441703</v>
      </c>
      <c r="U11" s="17" t="n">
        <f aca="false">IF(Assumptions!$G$23=0,0,U10/Assumptions!$G$23)</f>
        <v>713.584788228206</v>
      </c>
      <c r="V11" s="17" t="n">
        <f aca="false">IF(Assumptions!$G$23=0,0,V10/Assumptions!$G$23)</f>
        <v>756.399875521898</v>
      </c>
      <c r="W11" s="17" t="n">
        <f aca="false">IF(Assumptions!$G$23=0,0,W10/Assumptions!$G$23)</f>
        <v>801.783868053212</v>
      </c>
      <c r="X11" s="17" t="n">
        <f aca="false">IF(Assumptions!$G$23=0,0,X10/Assumptions!$G$23)</f>
        <v>849.890900136405</v>
      </c>
      <c r="Y11" s="17" t="n">
        <f aca="false">IF(Assumptions!$G$23=0,0,Y10/Assumptions!$G$23)</f>
        <v>900.884354144589</v>
      </c>
      <c r="Z11" s="17" t="n">
        <f aca="false">IF(Assumptions!$G$23=0,0,Z10/Assumptions!$G$23)</f>
        <v>954.937415393265</v>
      </c>
      <c r="AA11" s="17" t="n">
        <f aca="false">IF(Assumptions!$G$23=0,0,AA10/Assumptions!$G$23)</f>
        <v>1012.23366031686</v>
      </c>
      <c r="AB11" s="17" t="n">
        <f aca="false">IF(Assumptions!$G$23=0,0,AB10/Assumptions!$G$23)</f>
        <v>1072.96767993587</v>
      </c>
      <c r="AC11" s="17" t="n">
        <f aca="false">IF(Assumptions!$G$23=0,0,AC10/Assumptions!$G$23)</f>
        <v>1137.34574073202</v>
      </c>
      <c r="AD11" s="17" t="n">
        <f aca="false">IF(Assumptions!$G$23=0,0,AD10/Assumptions!$G$23)</f>
        <v>1205.58648517595</v>
      </c>
      <c r="AE11" s="17" t="n">
        <f aca="false">IF(Assumptions!$G$23=0,0,AE10/Assumptions!$G$23)</f>
        <v>1277.9216742865</v>
      </c>
      <c r="AF11" s="17" t="n">
        <f aca="false">IF(Assumptions!$G$23=0,0,AF10/Assumptions!$G$23)</f>
        <v>1354.59697474369</v>
      </c>
      <c r="AG11" s="17" t="n">
        <f aca="false">IF(Assumptions!$G$23=0,0,AG10/Assumptions!$G$23)</f>
        <v>1435.87279322831</v>
      </c>
      <c r="AH11" s="17" t="n">
        <f aca="false">IF(Assumptions!$G$23=0,0,AH10/Assumptions!$G$23)</f>
        <v>1522.02516082201</v>
      </c>
      <c r="AI11" s="17" t="n">
        <f aca="false">IF(Assumptions!$G$23=0,0,AI10/Assumptions!$G$23)</f>
        <v>1613.34667047133</v>
      </c>
      <c r="AJ11" s="17" t="n">
        <f aca="false">IF(Assumptions!$G$23=0,0,AJ10/Assumptions!$G$23)</f>
        <v>1710.14747069961</v>
      </c>
      <c r="AK11" s="17" t="n">
        <f aca="false">IF(Assumptions!$G$23=0,0,AK10/Assumptions!$G$23)</f>
        <v>1812.75631894159</v>
      </c>
      <c r="AL11" s="17" t="n">
        <f aca="false">IF(Assumptions!$G$23=0,0,AL10/Assumptions!$G$23)</f>
        <v>1921.52169807809</v>
      </c>
    </row>
    <row r="12" customFormat="false" ht="15" hidden="false" customHeight="false" outlineLevel="0" collapsed="false">
      <c r="A12" s="21" t="s">
        <v>363</v>
      </c>
      <c r="B12" s="2" t="s">
        <v>364</v>
      </c>
      <c r="C12" s="22" t="n">
        <f aca="false">(((C6+C7)+C9)+C11)</f>
        <v>2350</v>
      </c>
      <c r="D12" s="22" t="n">
        <f aca="false">(((D6+D7)+D9)+D11)</f>
        <v>2624.5</v>
      </c>
      <c r="E12" s="22" t="n">
        <f aca="false">(((E6+E7)+E9)+E11)</f>
        <v>2871.01688533132</v>
      </c>
      <c r="F12" s="22" t="n">
        <f aca="false">(((F6+F7)+F9)+F11)</f>
        <v>3337.20474361039</v>
      </c>
      <c r="G12" s="22" t="n">
        <f aca="false">(((G6+G7)+G9)+G11)</f>
        <v>3645.97745989867</v>
      </c>
      <c r="H12" s="22" t="n">
        <f aca="false">(((H6+H7)+H9)+H11)</f>
        <v>3976.37918942421</v>
      </c>
      <c r="I12" s="22" t="n">
        <f aca="false">(((I6+I7)+I9)+I11)</f>
        <v>4334.68500439859</v>
      </c>
      <c r="J12" s="22" t="n">
        <f aca="false">(((J6+J7)+J9)+J11)</f>
        <v>4723.48870681959</v>
      </c>
      <c r="K12" s="22" t="n">
        <f aca="false">(((K6+K7)+K9)+K11)</f>
        <v>5145.51575523885</v>
      </c>
      <c r="L12" s="22" t="n">
        <f aca="false">(((L6+L7)+L9)+L11)</f>
        <v>5603.72807418859</v>
      </c>
      <c r="M12" s="22" t="n">
        <f aca="false">(((M6+M7)+M9)+M11)</f>
        <v>6101.34733408856</v>
      </c>
      <c r="N12" s="22" t="n">
        <f aca="false">(((N6+N7)+N9)+N11)</f>
        <v>6641.87825546212</v>
      </c>
      <c r="O12" s="22" t="n">
        <f aca="false">(((O6+O7)+O9)+O11)</f>
        <v>7229.13393484375</v>
      </c>
      <c r="P12" s="22" t="n">
        <f aca="false">(((P6+P7)+P9)+P11)</f>
        <v>7866.27000342485</v>
      </c>
      <c r="Q12" s="22" t="n">
        <f aca="false">(((Q6+Q7)+Q9)+Q11)</f>
        <v>8558.64905707764</v>
      </c>
      <c r="R12" s="22" t="n">
        <f aca="false">(((R6+R7)+R9)+R11)</f>
        <v>9311.21512589479</v>
      </c>
      <c r="S12" s="22" t="n">
        <f aca="false">(((S6+S7)+S9)+S11)</f>
        <v>10129.223596008</v>
      </c>
      <c r="T12" s="22" t="n">
        <f aca="false">(((T6+T7)+T9)+T11)</f>
        <v>11018.5588739772</v>
      </c>
      <c r="U12" s="22" t="n">
        <f aca="false">(((U6+U7)+U9)+U11)</f>
        <v>11985.5490272519</v>
      </c>
      <c r="V12" s="22" t="n">
        <f aca="false">(((V6+V7)+V9)+V11)</f>
        <v>13037.0791152269</v>
      </c>
      <c r="W12" s="22" t="n">
        <f aca="false">(((W6+W7)+W9)+W11)</f>
        <v>14180.644346542</v>
      </c>
      <c r="X12" s="22" t="n">
        <f aca="false">(((X6+X7)+X9)+X11)</f>
        <v>15424.4046666493</v>
      </c>
      <c r="Y12" s="22" t="n">
        <f aca="false">(((Y6+Y7)+Y9)+Y11)</f>
        <v>16777.2441057215</v>
      </c>
      <c r="Z12" s="22" t="n">
        <f aca="false">(((Z6+Z7)+Z9)+Z11)</f>
        <v>18248.835423544</v>
      </c>
      <c r="AA12" s="22" t="n">
        <f aca="false">(((AA6+AA7)+AA9)+AA11)</f>
        <v>19849.7105294573</v>
      </c>
      <c r="AB12" s="22" t="n">
        <f aca="false">(((AB6+AB7)+AB9)+AB11)</f>
        <v>21590.8227360834</v>
      </c>
      <c r="AC12" s="22" t="n">
        <f aca="false">(((AC6+AC7)+AC9)+AC11)</f>
        <v>23485.0985985402</v>
      </c>
      <c r="AD12" s="22" t="n">
        <f aca="false">(((AD6+AD7)+AD9)+AD11)</f>
        <v>25546.1515763802</v>
      </c>
      <c r="AE12" s="22" t="n">
        <f aca="false">(((AE6+AE7)+AE9)+AE11)</f>
        <v>27788.7411041564</v>
      </c>
      <c r="AF12" s="22" t="n">
        <f aca="false">(((AF6+AF7)+AF9)+AF11)</f>
        <v>30229.0251282149</v>
      </c>
      <c r="AG12" s="22" t="n">
        <f aca="false">(((AG6+AG7)+AG9)+AG11)</f>
        <v>32884.5598951648</v>
      </c>
      <c r="AH12" s="22" t="n">
        <f aca="false">(((AH6+AH7)+AH9)+AH11)</f>
        <v>35774.4630973363</v>
      </c>
      <c r="AI12" s="22" t="n">
        <f aca="false">(((AI6+AI7)+AI9)+AI11)</f>
        <v>38919.5551807922</v>
      </c>
      <c r="AJ12" s="22" t="n">
        <f aca="false">(((AJ6+AJ7)+AJ9)+AJ11)</f>
        <v>42342.5115813128</v>
      </c>
      <c r="AK12" s="22" t="n">
        <f aca="false">(((AK6+AK7)+AK9)+AK11)</f>
        <v>46068.0285283126</v>
      </c>
      <c r="AL12" s="22" t="n">
        <f aca="false">(((AL6+AL7)+AL9)+AL11)</f>
        <v>50123.0036902927</v>
      </c>
    </row>
    <row r="14" customFormat="false" ht="15" hidden="false" customHeight="false" outlineLevel="0" collapsed="false">
      <c r="A14" s="4" t="s">
        <v>365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</row>
    <row r="15" customFormat="false" ht="15" hidden="false" customHeight="false" outlineLevel="0" collapsed="false">
      <c r="A15" s="6" t="s">
        <v>366</v>
      </c>
      <c r="B15" s="2" t="s">
        <v>367</v>
      </c>
      <c r="C15" s="17" t="n">
        <f aca="false">(C12*Assumptions!$G$25)</f>
        <v>1762.5</v>
      </c>
      <c r="D15" s="17" t="n">
        <f aca="false">(D12*Assumptions!$G$25)</f>
        <v>1968.375</v>
      </c>
      <c r="E15" s="17" t="n">
        <f aca="false">(E12*Assumptions!$G$25)</f>
        <v>2153.26266399849</v>
      </c>
      <c r="F15" s="17" t="n">
        <f aca="false">(F12*Assumptions!$G$25)</f>
        <v>2502.90355770779</v>
      </c>
      <c r="G15" s="17" t="n">
        <f aca="false">(G12*Assumptions!$G$25)</f>
        <v>2734.483094924</v>
      </c>
      <c r="H15" s="17" t="n">
        <f aca="false">(H12*Assumptions!$G$25)</f>
        <v>2982.28439206816</v>
      </c>
      <c r="I15" s="17" t="n">
        <f aca="false">(I12*Assumptions!$G$25)</f>
        <v>3251.01375329894</v>
      </c>
      <c r="J15" s="17" t="n">
        <f aca="false">(J12*Assumptions!$G$25)</f>
        <v>3542.6165301147</v>
      </c>
      <c r="K15" s="17" t="n">
        <f aca="false">(K12*Assumptions!$G$25)</f>
        <v>3859.13681642914</v>
      </c>
      <c r="L15" s="17" t="n">
        <f aca="false">(L12*Assumptions!$G$25)</f>
        <v>4202.79605564144</v>
      </c>
      <c r="M15" s="17" t="n">
        <f aca="false">(M12*Assumptions!$G$25)</f>
        <v>4576.01050056642</v>
      </c>
      <c r="N15" s="17" t="n">
        <f aca="false">(N12*Assumptions!$G$25)</f>
        <v>4981.40869159659</v>
      </c>
      <c r="O15" s="17" t="n">
        <f aca="false">(O12*Assumptions!$G$25)</f>
        <v>5421.85045113282</v>
      </c>
      <c r="P15" s="17" t="n">
        <f aca="false">(P12*Assumptions!$G$25)</f>
        <v>5899.70250256864</v>
      </c>
      <c r="Q15" s="17" t="n">
        <f aca="false">(Q12*Assumptions!$G$25)</f>
        <v>6418.98679280823</v>
      </c>
      <c r="R15" s="17" t="n">
        <f aca="false">(R12*Assumptions!$G$25)</f>
        <v>6983.41134442109</v>
      </c>
      <c r="S15" s="17" t="n">
        <f aca="false">(S12*Assumptions!$G$25)</f>
        <v>7596.91769700601</v>
      </c>
      <c r="T15" s="17" t="n">
        <f aca="false">(T12*Assumptions!$G$25)</f>
        <v>8263.91915548287</v>
      </c>
      <c r="U15" s="17" t="n">
        <f aca="false">(U12*Assumptions!$G$25)</f>
        <v>8989.16177043889</v>
      </c>
      <c r="V15" s="17" t="n">
        <f aca="false">(V12*Assumptions!$G$25)</f>
        <v>9777.80933642019</v>
      </c>
      <c r="W15" s="17" t="n">
        <f aca="false">(W12*Assumptions!$G$25)</f>
        <v>10635.4832599065</v>
      </c>
      <c r="X15" s="17" t="n">
        <f aca="false">(X12*Assumptions!$G$25)</f>
        <v>11568.303499987</v>
      </c>
      <c r="Y15" s="17" t="n">
        <f aca="false">(Y12*Assumptions!$G$25)</f>
        <v>12582.9330792912</v>
      </c>
      <c r="Z15" s="17" t="n">
        <f aca="false">(Z12*Assumptions!$G$25)</f>
        <v>13686.626567658</v>
      </c>
      <c r="AA15" s="17" t="n">
        <f aca="false">(AA12*Assumptions!$G$25)</f>
        <v>14887.2828970929</v>
      </c>
      <c r="AB15" s="17" t="n">
        <f aca="false">(AB12*Assumptions!$G$25)</f>
        <v>16193.1170520625</v>
      </c>
      <c r="AC15" s="17" t="n">
        <f aca="false">(AC12*Assumptions!$G$25)</f>
        <v>17613.8239489051</v>
      </c>
      <c r="AD15" s="17" t="n">
        <f aca="false">(AD12*Assumptions!$G$25)</f>
        <v>19159.6136822852</v>
      </c>
      <c r="AE15" s="17" t="n">
        <f aca="false">(AE12*Assumptions!$G$25)</f>
        <v>20841.5558281173</v>
      </c>
      <c r="AF15" s="17" t="n">
        <f aca="false">(AF12*Assumptions!$G$25)</f>
        <v>22671.7688461612</v>
      </c>
      <c r="AG15" s="17" t="n">
        <f aca="false">(AG12*Assumptions!$G$25)</f>
        <v>24663.4199213736</v>
      </c>
      <c r="AH15" s="17" t="n">
        <f aca="false">(AH12*Assumptions!$G$25)</f>
        <v>26830.8473230022</v>
      </c>
      <c r="AI15" s="17" t="n">
        <f aca="false">(AI12*Assumptions!$G$25)</f>
        <v>29189.6663855942</v>
      </c>
      <c r="AJ15" s="17" t="n">
        <f aca="false">(AJ12*Assumptions!$G$25)</f>
        <v>31756.8836859846</v>
      </c>
      <c r="AK15" s="17" t="n">
        <f aca="false">(AK12*Assumptions!$G$25)</f>
        <v>34551.0213962345</v>
      </c>
      <c r="AL15" s="17" t="n">
        <f aca="false">(AL12*Assumptions!$G$25)</f>
        <v>37592.2527677196</v>
      </c>
    </row>
    <row r="16" customFormat="false" ht="15" hidden="false" customHeight="false" outlineLevel="0" collapsed="false">
      <c r="A16" s="6" t="s">
        <v>368</v>
      </c>
      <c r="B16" s="2" t="s">
        <v>369</v>
      </c>
      <c r="C16" s="17" t="n">
        <f aca="false">(C15*Assumptions!$G$29)</f>
        <v>246.75</v>
      </c>
      <c r="D16" s="17" t="n">
        <f aca="false">(D15*Assumptions!$G$29)</f>
        <v>275.5725</v>
      </c>
      <c r="E16" s="17" t="n">
        <f aca="false">(E15*Assumptions!$G$29)</f>
        <v>301.456772959789</v>
      </c>
      <c r="F16" s="17" t="n">
        <f aca="false">(F15*Assumptions!$G$29)</f>
        <v>350.406498079091</v>
      </c>
      <c r="G16" s="17" t="n">
        <f aca="false">(G15*Assumptions!$G$29)</f>
        <v>382.827633289361</v>
      </c>
      <c r="H16" s="17" t="n">
        <f aca="false">(H15*Assumptions!$G$29)</f>
        <v>417.519814889542</v>
      </c>
      <c r="I16" s="17" t="n">
        <f aca="false">(I15*Assumptions!$G$29)</f>
        <v>455.141925461852</v>
      </c>
      <c r="J16" s="17" t="n">
        <f aca="false">(J15*Assumptions!$G$29)</f>
        <v>495.966314216057</v>
      </c>
      <c r="K16" s="17" t="n">
        <f aca="false">(K15*Assumptions!$G$29)</f>
        <v>540.279154300079</v>
      </c>
      <c r="L16" s="17" t="n">
        <f aca="false">(L15*Assumptions!$G$29)</f>
        <v>588.391447789802</v>
      </c>
      <c r="M16" s="17" t="n">
        <f aca="false">(M15*Assumptions!$G$29)</f>
        <v>640.641470079299</v>
      </c>
      <c r="N16" s="17" t="n">
        <f aca="false">(N15*Assumptions!$G$29)</f>
        <v>697.397216823522</v>
      </c>
      <c r="O16" s="17" t="n">
        <f aca="false">(O15*Assumptions!$G$29)</f>
        <v>759.059063158594</v>
      </c>
      <c r="P16" s="17" t="n">
        <f aca="false">(P15*Assumptions!$G$29)</f>
        <v>825.958350359609</v>
      </c>
      <c r="Q16" s="17" t="n">
        <f aca="false">(Q15*Assumptions!$G$29)</f>
        <v>898.658150993152</v>
      </c>
      <c r="R16" s="17" t="n">
        <f aca="false">(R15*Assumptions!$G$29)</f>
        <v>977.677588218953</v>
      </c>
      <c r="S16" s="17" t="n">
        <f aca="false">(S15*Assumptions!$G$29)</f>
        <v>1063.56847758084</v>
      </c>
      <c r="T16" s="17" t="n">
        <f aca="false">(T15*Assumptions!$G$29)</f>
        <v>1156.9486817676</v>
      </c>
      <c r="U16" s="17" t="n">
        <f aca="false">(U15*Assumptions!$G$29)</f>
        <v>1258.48264786145</v>
      </c>
      <c r="V16" s="17" t="n">
        <f aca="false">(V15*Assumptions!$G$29)</f>
        <v>1368.89330709883</v>
      </c>
      <c r="W16" s="17" t="n">
        <f aca="false">(W15*Assumptions!$G$29)</f>
        <v>1488.96765638691</v>
      </c>
      <c r="X16" s="17" t="n">
        <f aca="false">(X15*Assumptions!$G$29)</f>
        <v>1619.56248999818</v>
      </c>
      <c r="Y16" s="17" t="n">
        <f aca="false">(Y15*Assumptions!$G$29)</f>
        <v>1761.61063110076</v>
      </c>
      <c r="Z16" s="17" t="n">
        <f aca="false">(Z15*Assumptions!$G$29)</f>
        <v>1916.12771947212</v>
      </c>
      <c r="AA16" s="17" t="n">
        <f aca="false">(AA15*Assumptions!$G$29)</f>
        <v>2084.21960559301</v>
      </c>
      <c r="AB16" s="17" t="n">
        <f aca="false">(AB15*Assumptions!$G$29)</f>
        <v>2267.03638728875</v>
      </c>
      <c r="AC16" s="17" t="n">
        <f aca="false">(AC15*Assumptions!$G$29)</f>
        <v>2465.93535284672</v>
      </c>
      <c r="AD16" s="17" t="n">
        <f aca="false">(AD15*Assumptions!$G$29)</f>
        <v>2682.34591551992</v>
      </c>
      <c r="AE16" s="17" t="n">
        <f aca="false">(AE15*Assumptions!$G$29)</f>
        <v>2917.81781593642</v>
      </c>
      <c r="AF16" s="17" t="n">
        <f aca="false">(AF15*Assumptions!$G$29)</f>
        <v>3174.04763846257</v>
      </c>
      <c r="AG16" s="17" t="n">
        <f aca="false">(AG15*Assumptions!$G$29)</f>
        <v>3452.8787889923</v>
      </c>
      <c r="AH16" s="17" t="n">
        <f aca="false">(AH15*Assumptions!$G$29)</f>
        <v>3756.31862522031</v>
      </c>
      <c r="AI16" s="17" t="n">
        <f aca="false">(AI15*Assumptions!$G$29)</f>
        <v>4086.55329398318</v>
      </c>
      <c r="AJ16" s="17" t="n">
        <f aca="false">(AJ15*Assumptions!$G$29)</f>
        <v>4445.96371603784</v>
      </c>
      <c r="AK16" s="17" t="n">
        <f aca="false">(AK15*Assumptions!$G$29)</f>
        <v>4837.14299547282</v>
      </c>
      <c r="AL16" s="17" t="n">
        <f aca="false">(AL15*Assumptions!$G$29)</f>
        <v>5262.91538748074</v>
      </c>
    </row>
    <row r="17" customFormat="false" ht="15" hidden="false" customHeight="false" outlineLevel="0" collapsed="false">
      <c r="A17" s="21" t="s">
        <v>370</v>
      </c>
      <c r="B17" s="2" t="s">
        <v>371</v>
      </c>
      <c r="C17" s="22" t="n">
        <f aca="false">(C16*Assumptions!$G$30)</f>
        <v>98.7</v>
      </c>
      <c r="D17" s="22" t="n">
        <f aca="false">(D16*Assumptions!$G$30)</f>
        <v>110.229</v>
      </c>
      <c r="E17" s="22" t="n">
        <f aca="false">(E16*Assumptions!$G$30)</f>
        <v>120.582709183916</v>
      </c>
      <c r="F17" s="22" t="n">
        <f aca="false">(F16*Assumptions!$G$30)</f>
        <v>140.162599231636</v>
      </c>
      <c r="G17" s="22" t="n">
        <f aca="false">(G16*Assumptions!$G$30)</f>
        <v>153.131053315744</v>
      </c>
      <c r="H17" s="22" t="n">
        <f aca="false">(H16*Assumptions!$G$30)</f>
        <v>167.007925955817</v>
      </c>
      <c r="I17" s="22" t="n">
        <f aca="false">(I16*Assumptions!$G$30)</f>
        <v>182.056770184741</v>
      </c>
      <c r="J17" s="22" t="n">
        <f aca="false">(J16*Assumptions!$G$30)</f>
        <v>198.386525686423</v>
      </c>
      <c r="K17" s="22" t="n">
        <f aca="false">(K16*Assumptions!$G$30)</f>
        <v>216.111661720032</v>
      </c>
      <c r="L17" s="22" t="n">
        <f aca="false">(L16*Assumptions!$G$30)</f>
        <v>235.356579115921</v>
      </c>
      <c r="M17" s="22" t="n">
        <f aca="false">(M16*Assumptions!$G$30)</f>
        <v>256.25658803172</v>
      </c>
      <c r="N17" s="22" t="n">
        <f aca="false">(N16*Assumptions!$G$30)</f>
        <v>278.958886729409</v>
      </c>
      <c r="O17" s="22" t="n">
        <f aca="false">(O16*Assumptions!$G$30)</f>
        <v>303.623625263438</v>
      </c>
      <c r="P17" s="22" t="n">
        <f aca="false">(P16*Assumptions!$G$30)</f>
        <v>330.383340143844</v>
      </c>
      <c r="Q17" s="22" t="n">
        <f aca="false">(Q16*Assumptions!$G$30)</f>
        <v>359.463260397261</v>
      </c>
      <c r="R17" s="22" t="n">
        <f aca="false">(R16*Assumptions!$G$30)</f>
        <v>391.071035287581</v>
      </c>
      <c r="S17" s="22" t="n">
        <f aca="false">(S16*Assumptions!$G$30)</f>
        <v>425.427391032337</v>
      </c>
      <c r="T17" s="22" t="n">
        <f aca="false">(T16*Assumptions!$G$30)</f>
        <v>462.779472707041</v>
      </c>
      <c r="U17" s="22" t="n">
        <f aca="false">(U16*Assumptions!$G$30)</f>
        <v>503.393059144578</v>
      </c>
      <c r="V17" s="22" t="n">
        <f aca="false">(V16*Assumptions!$G$30)</f>
        <v>547.557322839531</v>
      </c>
      <c r="W17" s="22" t="n">
        <f aca="false">(W16*Assumptions!$G$30)</f>
        <v>595.587062554766</v>
      </c>
      <c r="X17" s="22" t="n">
        <f aca="false">(X16*Assumptions!$G$30)</f>
        <v>647.824995999272</v>
      </c>
      <c r="Y17" s="22" t="n">
        <f aca="false">(Y16*Assumptions!$G$30)</f>
        <v>704.644252440305</v>
      </c>
      <c r="Z17" s="22" t="n">
        <f aca="false">(Z16*Assumptions!$G$30)</f>
        <v>766.451087788847</v>
      </c>
      <c r="AA17" s="22" t="n">
        <f aca="false">(AA16*Assumptions!$G$30)</f>
        <v>833.687842237205</v>
      </c>
      <c r="AB17" s="22" t="n">
        <f aca="false">(AB16*Assumptions!$G$30)</f>
        <v>906.814554915501</v>
      </c>
      <c r="AC17" s="22" t="n">
        <f aca="false">(AC16*Assumptions!$G$30)</f>
        <v>986.374141138688</v>
      </c>
      <c r="AD17" s="22" t="n">
        <f aca="false">(AD16*Assumptions!$G$30)</f>
        <v>1072.93836620797</v>
      </c>
      <c r="AE17" s="22" t="n">
        <f aca="false">(AE16*Assumptions!$G$30)</f>
        <v>1167.12712637457</v>
      </c>
      <c r="AF17" s="22" t="n">
        <f aca="false">(AF16*Assumptions!$G$30)</f>
        <v>1269.61905538503</v>
      </c>
      <c r="AG17" s="22" t="n">
        <f aca="false">(AG16*Assumptions!$G$30)</f>
        <v>1381.15151559692</v>
      </c>
      <c r="AH17" s="22" t="n">
        <f aca="false">(AH16*Assumptions!$G$30)</f>
        <v>1502.52745008812</v>
      </c>
      <c r="AI17" s="22" t="n">
        <f aca="false">(AI16*Assumptions!$G$30)</f>
        <v>1634.62131759327</v>
      </c>
      <c r="AJ17" s="22" t="n">
        <f aca="false">(AJ16*Assumptions!$G$30)</f>
        <v>1778.38548641514</v>
      </c>
      <c r="AK17" s="22" t="n">
        <f aca="false">(AK16*Assumptions!$G$30)</f>
        <v>1934.85719818913</v>
      </c>
      <c r="AL17" s="22" t="n">
        <f aca="false">(AL16*Assumptions!$G$30)</f>
        <v>2105.1661549923</v>
      </c>
    </row>
    <row r="18" customFormat="false" ht="15" hidden="false" customHeight="false" outlineLevel="0" collapsed="false">
      <c r="A18" s="6" t="s">
        <v>372</v>
      </c>
      <c r="B18" s="2" t="s">
        <v>373</v>
      </c>
      <c r="C18" s="17" t="n">
        <f aca="false">(C17*Assumptions!$G$31)</f>
        <v>29.61</v>
      </c>
      <c r="D18" s="17" t="n">
        <f aca="false">(D17*Assumptions!$G$31)</f>
        <v>33.0687</v>
      </c>
      <c r="E18" s="17" t="n">
        <f aca="false">(E17*Assumptions!$G$31)</f>
        <v>36.1748127551747</v>
      </c>
      <c r="F18" s="17" t="n">
        <f aca="false">(F17*Assumptions!$G$31)</f>
        <v>42.0487797694909</v>
      </c>
      <c r="G18" s="17" t="n">
        <f aca="false">(G17*Assumptions!$G$31)</f>
        <v>45.9393159947233</v>
      </c>
      <c r="H18" s="17" t="n">
        <f aca="false">(H17*Assumptions!$G$31)</f>
        <v>50.102377786745</v>
      </c>
      <c r="I18" s="17" t="n">
        <f aca="false">(I17*Assumptions!$G$31)</f>
        <v>54.6170310554222</v>
      </c>
      <c r="J18" s="17" t="n">
        <f aca="false">(J17*Assumptions!$G$31)</f>
        <v>59.5159577059269</v>
      </c>
      <c r="K18" s="17" t="n">
        <f aca="false">(K17*Assumptions!$G$31)</f>
        <v>64.8334985160095</v>
      </c>
      <c r="L18" s="17" t="n">
        <f aca="false">(L17*Assumptions!$G$31)</f>
        <v>70.6069737347762</v>
      </c>
      <c r="M18" s="17" t="n">
        <f aca="false">(M17*Assumptions!$G$31)</f>
        <v>76.8769764095159</v>
      </c>
      <c r="N18" s="17" t="n">
        <f aca="false">(N17*Assumptions!$G$31)</f>
        <v>83.6876660188227</v>
      </c>
      <c r="O18" s="17" t="n">
        <f aca="false">(O17*Assumptions!$G$31)</f>
        <v>91.0870875790313</v>
      </c>
      <c r="P18" s="17" t="n">
        <f aca="false">(P17*Assumptions!$G$31)</f>
        <v>99.1150020431531</v>
      </c>
      <c r="Q18" s="17" t="n">
        <f aca="false">(Q17*Assumptions!$G$31)</f>
        <v>107.838978119178</v>
      </c>
      <c r="R18" s="17" t="n">
        <f aca="false">(R17*Assumptions!$G$31)</f>
        <v>117.321310586274</v>
      </c>
      <c r="S18" s="17" t="n">
        <f aca="false">(S17*Assumptions!$G$31)</f>
        <v>127.628217309701</v>
      </c>
      <c r="T18" s="17" t="n">
        <f aca="false">(T17*Assumptions!$G$31)</f>
        <v>138.833841812112</v>
      </c>
      <c r="U18" s="17" t="n">
        <f aca="false">(U17*Assumptions!$G$31)</f>
        <v>151.017917743373</v>
      </c>
      <c r="V18" s="17" t="n">
        <f aca="false">(V17*Assumptions!$G$31)</f>
        <v>164.267196851859</v>
      </c>
      <c r="W18" s="17" t="n">
        <f aca="false">(W17*Assumptions!$G$31)</f>
        <v>178.67611876643</v>
      </c>
      <c r="X18" s="17" t="n">
        <f aca="false">(X17*Assumptions!$G$31)</f>
        <v>194.347498799782</v>
      </c>
      <c r="Y18" s="17" t="n">
        <f aca="false">(Y17*Assumptions!$G$31)</f>
        <v>211.393275732091</v>
      </c>
      <c r="Z18" s="17" t="n">
        <f aca="false">(Z17*Assumptions!$G$31)</f>
        <v>229.935326336654</v>
      </c>
      <c r="AA18" s="17" t="n">
        <f aca="false">(AA17*Assumptions!$G$31)</f>
        <v>250.106352671161</v>
      </c>
      <c r="AB18" s="17" t="n">
        <f aca="false">(AB17*Assumptions!$G$31)</f>
        <v>272.04436647465</v>
      </c>
      <c r="AC18" s="17" t="n">
        <f aca="false">(AC17*Assumptions!$G$31)</f>
        <v>295.912242341606</v>
      </c>
      <c r="AD18" s="17" t="n">
        <f aca="false">(AD17*Assumptions!$G$31)</f>
        <v>321.881509862391</v>
      </c>
      <c r="AE18" s="17" t="n">
        <f aca="false">(AE17*Assumptions!$G$31)</f>
        <v>350.13813791237</v>
      </c>
      <c r="AF18" s="17" t="n">
        <f aca="false">(AF17*Assumptions!$G$31)</f>
        <v>380.885716615508</v>
      </c>
      <c r="AG18" s="17" t="n">
        <f aca="false">(AG17*Assumptions!$G$31)</f>
        <v>414.345454679076</v>
      </c>
      <c r="AH18" s="17" t="n">
        <f aca="false">(AH17*Assumptions!$G$31)</f>
        <v>450.758235026437</v>
      </c>
      <c r="AI18" s="17" t="n">
        <f aca="false">(AI17*Assumptions!$G$31)</f>
        <v>490.386395277982</v>
      </c>
      <c r="AJ18" s="17" t="n">
        <f aca="false">(AJ17*Assumptions!$G$31)</f>
        <v>533.515645924541</v>
      </c>
      <c r="AK18" s="17" t="n">
        <f aca="false">(AK17*Assumptions!$G$31)</f>
        <v>580.457159456739</v>
      </c>
      <c r="AL18" s="17" t="n">
        <f aca="false">(AL17*Assumptions!$G$31)</f>
        <v>631.549846497689</v>
      </c>
    </row>
    <row r="19" customFormat="false" ht="15" hidden="false" customHeight="false" outlineLevel="0" collapsed="false">
      <c r="A19" s="6" t="s">
        <v>374</v>
      </c>
      <c r="B19" s="2" t="s">
        <v>375</v>
      </c>
      <c r="C19" s="17" t="n">
        <f aca="false">(C17*Assumptions!$G$32)</f>
        <v>54.285</v>
      </c>
      <c r="D19" s="17" t="n">
        <f aca="false">(D17*Assumptions!$G$32)</f>
        <v>60.62595</v>
      </c>
      <c r="E19" s="17" t="n">
        <f aca="false">(E17*Assumptions!$G$32)</f>
        <v>66.3204900511536</v>
      </c>
      <c r="F19" s="17" t="n">
        <f aca="false">(F17*Assumptions!$G$32)</f>
        <v>77.0894295774</v>
      </c>
      <c r="G19" s="17" t="n">
        <f aca="false">(G17*Assumptions!$G$32)</f>
        <v>84.2220793236593</v>
      </c>
      <c r="H19" s="17" t="n">
        <f aca="false">(H17*Assumptions!$G$32)</f>
        <v>91.8543592756992</v>
      </c>
      <c r="I19" s="17" t="n">
        <f aca="false">(I17*Assumptions!$G$32)</f>
        <v>100.131223601607</v>
      </c>
      <c r="J19" s="17" t="n">
        <f aca="false">(J17*Assumptions!$G$32)</f>
        <v>109.112589127533</v>
      </c>
      <c r="K19" s="17" t="n">
        <f aca="false">(K17*Assumptions!$G$32)</f>
        <v>118.861413946017</v>
      </c>
      <c r="L19" s="17" t="n">
        <f aca="false">(L17*Assumptions!$G$32)</f>
        <v>129.446118513756</v>
      </c>
      <c r="M19" s="17" t="n">
        <f aca="false">(M17*Assumptions!$G$32)</f>
        <v>140.941123417446</v>
      </c>
      <c r="N19" s="17" t="n">
        <f aca="false">(N17*Assumptions!$G$32)</f>
        <v>153.427387701175</v>
      </c>
      <c r="O19" s="17" t="n">
        <f aca="false">(O17*Assumptions!$G$32)</f>
        <v>166.992993894891</v>
      </c>
      <c r="P19" s="17" t="n">
        <f aca="false">(P17*Assumptions!$G$32)</f>
        <v>181.710837079114</v>
      </c>
      <c r="Q19" s="17" t="n">
        <f aca="false">(Q17*Assumptions!$G$32)</f>
        <v>197.704793218494</v>
      </c>
      <c r="R19" s="17" t="n">
        <f aca="false">(R17*Assumptions!$G$32)</f>
        <v>215.08906940817</v>
      </c>
      <c r="S19" s="17" t="n">
        <f aca="false">(S17*Assumptions!$G$32)</f>
        <v>233.985065067785</v>
      </c>
      <c r="T19" s="17" t="n">
        <f aca="false">(T17*Assumptions!$G$32)</f>
        <v>254.528709988873</v>
      </c>
      <c r="U19" s="17" t="n">
        <f aca="false">(U17*Assumptions!$G$32)</f>
        <v>276.866182529518</v>
      </c>
      <c r="V19" s="17" t="n">
        <f aca="false">(V17*Assumptions!$G$32)</f>
        <v>301.156527561742</v>
      </c>
      <c r="W19" s="17" t="n">
        <f aca="false">(W17*Assumptions!$G$32)</f>
        <v>327.572884405121</v>
      </c>
      <c r="X19" s="17" t="n">
        <f aca="false">(X17*Assumptions!$G$32)</f>
        <v>356.3037477996</v>
      </c>
      <c r="Y19" s="17" t="n">
        <f aca="false">(Y17*Assumptions!$G$32)</f>
        <v>387.554338842168</v>
      </c>
      <c r="Z19" s="17" t="n">
        <f aca="false">(Z17*Assumptions!$G$32)</f>
        <v>421.548098283866</v>
      </c>
      <c r="AA19" s="17" t="n">
        <f aca="false">(AA17*Assumptions!$G$32)</f>
        <v>458.528313230463</v>
      </c>
      <c r="AB19" s="17" t="n">
        <f aca="false">(AB17*Assumptions!$G$32)</f>
        <v>498.748005203526</v>
      </c>
      <c r="AC19" s="17" t="n">
        <f aca="false">(AC17*Assumptions!$G$32)</f>
        <v>542.505777626279</v>
      </c>
      <c r="AD19" s="17" t="n">
        <f aca="false">(AD17*Assumptions!$G$32)</f>
        <v>590.116101414383</v>
      </c>
      <c r="AE19" s="17" t="n">
        <f aca="false">(AE17*Assumptions!$G$32)</f>
        <v>641.919919506012</v>
      </c>
      <c r="AF19" s="17" t="n">
        <f aca="false">(AF17*Assumptions!$G$32)</f>
        <v>698.290480461765</v>
      </c>
      <c r="AG19" s="17" t="n">
        <f aca="false">(AG17*Assumptions!$G$32)</f>
        <v>759.633333578306</v>
      </c>
      <c r="AH19" s="17" t="n">
        <f aca="false">(AH17*Assumptions!$G$32)</f>
        <v>826.390097548468</v>
      </c>
      <c r="AI19" s="17" t="n">
        <f aca="false">(AI17*Assumptions!$G$32)</f>
        <v>899.041724676301</v>
      </c>
      <c r="AJ19" s="17" t="n">
        <f aca="false">(AJ17*Assumptions!$G$32)</f>
        <v>978.112017528326</v>
      </c>
      <c r="AK19" s="17" t="n">
        <f aca="false">(AK17*Assumptions!$G$32)</f>
        <v>1064.17145900402</v>
      </c>
      <c r="AL19" s="17" t="n">
        <f aca="false">(AL17*Assumptions!$G$32)</f>
        <v>1157.84138524576</v>
      </c>
    </row>
    <row r="20" customFormat="false" ht="15" hidden="false" customHeight="false" outlineLevel="0" collapsed="false">
      <c r="A20" s="6" t="s">
        <v>376</v>
      </c>
      <c r="B20" s="2" t="s">
        <v>377</v>
      </c>
      <c r="C20" s="17" t="n">
        <f aca="false">(C17*Assumptions!$G$109)</f>
        <v>14.805</v>
      </c>
      <c r="D20" s="17" t="n">
        <f aca="false">(D17*Assumptions!$G$109)</f>
        <v>16.53435</v>
      </c>
      <c r="E20" s="17" t="n">
        <f aca="false">(E17*Assumptions!$G$109)</f>
        <v>18.0874063775873</v>
      </c>
      <c r="F20" s="17" t="n">
        <f aca="false">(F17*Assumptions!$G$109)</f>
        <v>21.0243898847454</v>
      </c>
      <c r="G20" s="17" t="n">
        <f aca="false">(G17*Assumptions!$G$109)</f>
        <v>22.9696579973616</v>
      </c>
      <c r="H20" s="17" t="n">
        <f aca="false">(H17*Assumptions!$G$109)</f>
        <v>25.0511888933725</v>
      </c>
      <c r="I20" s="17" t="n">
        <f aca="false">(I17*Assumptions!$G$109)</f>
        <v>27.3085155277111</v>
      </c>
      <c r="J20" s="17" t="n">
        <f aca="false">(J17*Assumptions!$G$109)</f>
        <v>29.7579788529634</v>
      </c>
      <c r="K20" s="17" t="n">
        <f aca="false">(K17*Assumptions!$G$109)</f>
        <v>32.4167492580047</v>
      </c>
      <c r="L20" s="17" t="n">
        <f aca="false">(L17*Assumptions!$G$109)</f>
        <v>35.3034868673881</v>
      </c>
      <c r="M20" s="17" t="n">
        <f aca="false">(M17*Assumptions!$G$109)</f>
        <v>38.4384882047579</v>
      </c>
      <c r="N20" s="17" t="n">
        <f aca="false">(N17*Assumptions!$G$109)</f>
        <v>41.8438330094113</v>
      </c>
      <c r="O20" s="17" t="n">
        <f aca="false">(O17*Assumptions!$G$109)</f>
        <v>45.5435437895156</v>
      </c>
      <c r="P20" s="17" t="n">
        <f aca="false">(P17*Assumptions!$G$109)</f>
        <v>49.5575010215765</v>
      </c>
      <c r="Q20" s="17" t="n">
        <f aca="false">(Q17*Assumptions!$G$109)</f>
        <v>53.9194890595891</v>
      </c>
      <c r="R20" s="17" t="n">
        <f aca="false">(R17*Assumptions!$G$109)</f>
        <v>58.6606552931372</v>
      </c>
      <c r="S20" s="17" t="n">
        <f aca="false">(S17*Assumptions!$G$109)</f>
        <v>63.8141086548505</v>
      </c>
      <c r="T20" s="17" t="n">
        <f aca="false">(T17*Assumptions!$G$109)</f>
        <v>69.4169209060561</v>
      </c>
      <c r="U20" s="17" t="n">
        <f aca="false">(U17*Assumptions!$G$109)</f>
        <v>75.5089588716867</v>
      </c>
      <c r="V20" s="17" t="n">
        <f aca="false">(V17*Assumptions!$G$109)</f>
        <v>82.1335984259295</v>
      </c>
      <c r="W20" s="17" t="n">
        <f aca="false">(W17*Assumptions!$G$109)</f>
        <v>89.3380593832148</v>
      </c>
      <c r="X20" s="17" t="n">
        <f aca="false">(X17*Assumptions!$G$109)</f>
        <v>97.1737493998907</v>
      </c>
      <c r="Y20" s="17" t="n">
        <f aca="false">(Y17*Assumptions!$G$109)</f>
        <v>105.696637866046</v>
      </c>
      <c r="Z20" s="17" t="n">
        <f aca="false">(Z17*Assumptions!$G$109)</f>
        <v>114.967663168327</v>
      </c>
      <c r="AA20" s="17" t="n">
        <f aca="false">(AA17*Assumptions!$G$109)</f>
        <v>125.053176335581</v>
      </c>
      <c r="AB20" s="17" t="n">
        <f aca="false">(AB17*Assumptions!$G$109)</f>
        <v>136.022183237325</v>
      </c>
      <c r="AC20" s="17" t="n">
        <f aca="false">(AC17*Assumptions!$G$109)</f>
        <v>147.956121170803</v>
      </c>
      <c r="AD20" s="17" t="n">
        <f aca="false">(AD17*Assumptions!$G$109)</f>
        <v>160.940754931195</v>
      </c>
      <c r="AE20" s="17" t="n">
        <f aca="false">(AE17*Assumptions!$G$109)</f>
        <v>175.069068956185</v>
      </c>
      <c r="AF20" s="17" t="n">
        <f aca="false">(AF17*Assumptions!$G$109)</f>
        <v>190.442858307754</v>
      </c>
      <c r="AG20" s="17" t="n">
        <f aca="false">(AG17*Assumptions!$G$109)</f>
        <v>207.172727339538</v>
      </c>
      <c r="AH20" s="17" t="n">
        <f aca="false">(AH17*Assumptions!$G$109)</f>
        <v>225.379117513218</v>
      </c>
      <c r="AI20" s="17" t="n">
        <f aca="false">(AI17*Assumptions!$G$109)</f>
        <v>245.193197638991</v>
      </c>
      <c r="AJ20" s="17" t="n">
        <f aca="false">(AJ17*Assumptions!$G$109)</f>
        <v>266.75782296227</v>
      </c>
      <c r="AK20" s="17" t="n">
        <f aca="false">(AK17*Assumptions!$G$109)</f>
        <v>290.228579728369</v>
      </c>
      <c r="AL20" s="17" t="n">
        <f aca="false">(AL17*Assumptions!$G$109)</f>
        <v>315.774923248844</v>
      </c>
    </row>
    <row r="21" customFormat="false" ht="15" hidden="false" customHeight="false" outlineLevel="0" collapsed="false">
      <c r="A21" s="6" t="s">
        <v>378</v>
      </c>
      <c r="B21" s="2" t="s">
        <v>379</v>
      </c>
      <c r="C21" s="17" t="n">
        <f aca="false">(C15*Assumptions!$G$33)</f>
        <v>14.1</v>
      </c>
      <c r="D21" s="17" t="n">
        <f aca="false">(D15*Assumptions!$G$33)</f>
        <v>15.747</v>
      </c>
      <c r="E21" s="17" t="n">
        <f aca="false">(E15*Assumptions!$G$33)</f>
        <v>17.2261013119879</v>
      </c>
      <c r="F21" s="17" t="n">
        <f aca="false">(F15*Assumptions!$G$33)</f>
        <v>20.0232284616623</v>
      </c>
      <c r="G21" s="17" t="n">
        <f aca="false">(G15*Assumptions!$G$33)</f>
        <v>21.875864759392</v>
      </c>
      <c r="H21" s="17" t="n">
        <f aca="false">(H15*Assumptions!$G$33)</f>
        <v>23.8582751365453</v>
      </c>
      <c r="I21" s="17" t="n">
        <f aca="false">(I15*Assumptions!$G$33)</f>
        <v>26.0081100263915</v>
      </c>
      <c r="J21" s="17" t="n">
        <f aca="false">(J15*Assumptions!$G$33)</f>
        <v>28.3409322409176</v>
      </c>
      <c r="K21" s="17" t="n">
        <f aca="false">(K15*Assumptions!$G$33)</f>
        <v>30.8730945314331</v>
      </c>
      <c r="L21" s="17" t="n">
        <f aca="false">(L15*Assumptions!$G$33)</f>
        <v>33.6223684451315</v>
      </c>
      <c r="M21" s="17" t="n">
        <f aca="false">(M15*Assumptions!$G$33)</f>
        <v>36.6080840045314</v>
      </c>
      <c r="N21" s="17" t="n">
        <f aca="false">(N15*Assumptions!$G$33)</f>
        <v>39.8512695327727</v>
      </c>
      <c r="O21" s="17" t="n">
        <f aca="false">(O15*Assumptions!$G$33)</f>
        <v>43.3748036090625</v>
      </c>
      <c r="P21" s="17" t="n">
        <f aca="false">(P15*Assumptions!$G$33)</f>
        <v>47.1976200205491</v>
      </c>
      <c r="Q21" s="17" t="n">
        <f aca="false">(Q15*Assumptions!$G$33)</f>
        <v>51.3518943424658</v>
      </c>
      <c r="R21" s="17" t="n">
        <f aca="false">(R15*Assumptions!$G$33)</f>
        <v>55.8672907553687</v>
      </c>
      <c r="S21" s="17" t="n">
        <f aca="false">(S15*Assumptions!$G$33)</f>
        <v>60.7753415760481</v>
      </c>
      <c r="T21" s="17" t="n">
        <f aca="false">(T15*Assumptions!$G$33)</f>
        <v>66.111353243863</v>
      </c>
      <c r="U21" s="17" t="n">
        <f aca="false">(U15*Assumptions!$G$33)</f>
        <v>71.9132941635112</v>
      </c>
      <c r="V21" s="17" t="n">
        <f aca="false">(V15*Assumptions!$G$33)</f>
        <v>78.2224746913615</v>
      </c>
      <c r="W21" s="17" t="n">
        <f aca="false">(W15*Assumptions!$G$33)</f>
        <v>85.0838660792523</v>
      </c>
      <c r="X21" s="17" t="n">
        <f aca="false">(X15*Assumptions!$G$33)</f>
        <v>92.546427999896</v>
      </c>
      <c r="Y21" s="17" t="n">
        <f aca="false">(Y15*Assumptions!$G$33)</f>
        <v>100.663464634329</v>
      </c>
      <c r="Z21" s="17" t="n">
        <f aca="false">(Z15*Assumptions!$G$33)</f>
        <v>109.493012541264</v>
      </c>
      <c r="AA21" s="17" t="n">
        <f aca="false">(AA15*Assumptions!$G$33)</f>
        <v>119.098263176744</v>
      </c>
      <c r="AB21" s="17" t="n">
        <f aca="false">(AB15*Assumptions!$G$33)</f>
        <v>129.5449364165</v>
      </c>
      <c r="AC21" s="17" t="n">
        <f aca="false">(AC15*Assumptions!$G$33)</f>
        <v>140.910591591241</v>
      </c>
      <c r="AD21" s="17" t="n">
        <f aca="false">(AD15*Assumptions!$G$33)</f>
        <v>153.276909458281</v>
      </c>
      <c r="AE21" s="17" t="n">
        <f aca="false">(AE15*Assumptions!$G$33)</f>
        <v>166.732446624938</v>
      </c>
      <c r="AF21" s="17" t="n">
        <f aca="false">(AF15*Assumptions!$G$33)</f>
        <v>181.37415076929</v>
      </c>
      <c r="AG21" s="17" t="n">
        <f aca="false">(AG15*Assumptions!$G$33)</f>
        <v>197.307359370989</v>
      </c>
      <c r="AH21" s="17" t="n">
        <f aca="false">(AH15*Assumptions!$G$33)</f>
        <v>214.646778584018</v>
      </c>
      <c r="AI21" s="17" t="n">
        <f aca="false">(AI15*Assumptions!$G$33)</f>
        <v>233.517331084753</v>
      </c>
      <c r="AJ21" s="17" t="n">
        <f aca="false">(AJ15*Assumptions!$G$33)</f>
        <v>254.055069487877</v>
      </c>
      <c r="AK21" s="17" t="n">
        <f aca="false">(AK15*Assumptions!$G$33)</f>
        <v>276.408171169876</v>
      </c>
      <c r="AL21" s="17" t="n">
        <f aca="false">(AL15*Assumptions!$G$33)</f>
        <v>300.738022141756</v>
      </c>
    </row>
    <row r="23" customFormat="false" ht="15" hidden="false" customHeight="false" outlineLevel="0" collapsed="false">
      <c r="A23" s="4" t="s">
        <v>380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</row>
    <row r="24" customFormat="false" ht="15" hidden="false" customHeight="false" outlineLevel="0" collapsed="false">
      <c r="A24" s="6" t="s">
        <v>381</v>
      </c>
      <c r="B24" s="2" t="s">
        <v>382</v>
      </c>
      <c r="C24" s="17" t="n">
        <f aca="false">((0*(1-Assumptions!$G$110))+C18)</f>
        <v>29.61</v>
      </c>
      <c r="D24" s="17" t="n">
        <f aca="false">((C24*(1-Assumptions!$G$110))+D18)</f>
        <v>59.4482110441355</v>
      </c>
      <c r="E24" s="17" t="n">
        <f aca="false">((D24*(1-Assumptions!$G$110))+E18)</f>
        <v>89.1371477701313</v>
      </c>
      <c r="F24" s="17" t="n">
        <f aca="false">((E24*(1-Assumptions!$G$110))+F18)</f>
        <v>121.460950456587</v>
      </c>
      <c r="G24" s="17" t="n">
        <f aca="false">((F24*(1-Assumptions!$G$110))+G18)</f>
        <v>154.148721060604</v>
      </c>
      <c r="H24" s="17" t="n">
        <f aca="false">((G24*(1-Assumptions!$G$110))+H18)</f>
        <v>187.43327578261</v>
      </c>
      <c r="I24" s="17" t="n">
        <f aca="false">((H24*(1-Assumptions!$G$110))+I18)</f>
        <v>221.601096186994</v>
      </c>
      <c r="J24" s="17" t="n">
        <f aca="false">((I24*(1-Assumptions!$G$110))+J18)</f>
        <v>256.940090237414</v>
      </c>
      <c r="K24" s="17" t="n">
        <f aca="false">((J24*(1-Assumptions!$G$110))+K18)</f>
        <v>293.741095547385</v>
      </c>
      <c r="L24" s="17" t="n">
        <f aca="false">((K24*(1-Assumptions!$G$110))+L18)</f>
        <v>332.30053922308</v>
      </c>
      <c r="M24" s="17" t="n">
        <f aca="false">((L24*(1-Assumptions!$G$110))+M18)</f>
        <v>372.923100840701</v>
      </c>
      <c r="N24" s="17" t="n">
        <f aca="false">((M24*(1-Assumptions!$G$110))+N18)</f>
        <v>415.924378522724</v>
      </c>
      <c r="O24" s="17" t="n">
        <f aca="false">((N24*(1-Assumptions!$G$110))+O18)</f>
        <v>461.633583248243</v>
      </c>
      <c r="P24" s="17" t="n">
        <f aca="false">((O24*(1-Assumptions!$G$110))+P18)</f>
        <v>510.383769609545</v>
      </c>
      <c r="Q24" s="17" t="n">
        <f aca="false">((P24*(1-Assumptions!$G$110))+Q18)</f>
        <v>562.539224223956</v>
      </c>
      <c r="R24" s="17" t="n">
        <f aca="false">((Q24*(1-Assumptions!$G$110))+R18)</f>
        <v>618.486784351058</v>
      </c>
      <c r="S24" s="17" t="n">
        <f aca="false">((R24*(1-Assumptions!$G$110))+S18)</f>
        <v>678.637300674799</v>
      </c>
      <c r="T24" s="17" t="n">
        <f aca="false">((S24*(1-Assumptions!$G$110))+T18)</f>
        <v>743.43094306551</v>
      </c>
      <c r="U24" s="17" t="n">
        <f aca="false">((T24*(1-Assumptions!$G$110))+U18)</f>
        <v>813.3395919463</v>
      </c>
      <c r="V24" s="17" t="n">
        <f aca="false">((U24*(1-Assumptions!$G$110))+V18)</f>
        <v>888.870396729605</v>
      </c>
      <c r="W24" s="17" t="n">
        <f aca="false">((V24*(1-Assumptions!$G$110))+W18)</f>
        <v>970.569615805729</v>
      </c>
      <c r="X24" s="17" t="n">
        <f aca="false">((W24*(1-Assumptions!$G$110))+X18)</f>
        <v>1059.02672538707</v>
      </c>
      <c r="Y24" s="17" t="n">
        <f aca="false">((X24*(1-Assumptions!$G$110))+Y18)</f>
        <v>1154.87882785579</v>
      </c>
      <c r="Z24" s="17" t="n">
        <f aca="false">((Y24*(1-Assumptions!$G$110))+Z18)</f>
        <v>1258.8153936808</v>
      </c>
      <c r="AA24" s="17" t="n">
        <f aca="false">((Z24*(1-Assumptions!$G$110))+AA18)</f>
        <v>1371.58337327671</v>
      </c>
      <c r="AB24" s="17" t="n">
        <f aca="false">((AA24*(1-Assumptions!$G$110))+AB18)</f>
        <v>1493.98623554947</v>
      </c>
      <c r="AC24" s="17" t="n">
        <f aca="false">((AB24*(1-Assumptions!$G$110))+AC18)</f>
        <v>1626.90266451194</v>
      </c>
      <c r="AD24" s="17" t="n">
        <f aca="false">((AC24*(1-Assumptions!$G$110))+AD18)</f>
        <v>1771.28700821518</v>
      </c>
      <c r="AE24" s="17" t="n">
        <f aca="false">((AD24*(1-Assumptions!$G$110))+AE18)</f>
        <v>1928.17546298991</v>
      </c>
      <c r="AF24" s="17" t="n">
        <f aca="false">((AE24*(1-Assumptions!$G$110))+AF18)</f>
        <v>2098.69476494288</v>
      </c>
      <c r="AG24" s="17" t="n">
        <f aca="false">((AF24*(1-Assumptions!$G$110))+AG18)</f>
        <v>2284.06993053453</v>
      </c>
      <c r="AH24" s="17" t="n">
        <f aca="false">((AG24*(1-Assumptions!$G$110))+AH18)</f>
        <v>2485.63320828254</v>
      </c>
      <c r="AI24" s="17" t="n">
        <f aca="false">((AH24*(1-Assumptions!$G$110))+AI18)</f>
        <v>2704.83383430396</v>
      </c>
      <c r="AJ24" s="17" t="n">
        <f aca="false">((AI24*(1-Assumptions!$G$110))+AJ18)</f>
        <v>2943.24864168855</v>
      </c>
      <c r="AK24" s="17" t="n">
        <f aca="false">((AJ24*(1-Assumptions!$G$110))+AK18)</f>
        <v>3202.59360150537</v>
      </c>
      <c r="AL24" s="17" t="n">
        <f aca="false">((AK24*(1-Assumptions!$G$110))+AL18)</f>
        <v>3484.73638080327</v>
      </c>
    </row>
    <row r="25" customFormat="false" ht="15" hidden="false" customHeight="false" outlineLevel="0" collapsed="false">
      <c r="A25" s="6" t="s">
        <v>383</v>
      </c>
      <c r="B25" s="2" t="s">
        <v>384</v>
      </c>
      <c r="C25" s="17" t="n">
        <f aca="false">(C19+0)</f>
        <v>54.285</v>
      </c>
      <c r="D25" s="17" t="n">
        <f aca="false">(D19+0)</f>
        <v>60.62595</v>
      </c>
      <c r="E25" s="17" t="n">
        <f aca="false">(E19+0)</f>
        <v>66.3204900511536</v>
      </c>
      <c r="F25" s="17" t="n">
        <f aca="false">(F19+0)</f>
        <v>77.0894295774</v>
      </c>
      <c r="G25" s="17" t="n">
        <f aca="false">(G19+0)</f>
        <v>84.2220793236593</v>
      </c>
      <c r="H25" s="17" t="n">
        <f aca="false">(H19+0)</f>
        <v>91.8543592756992</v>
      </c>
      <c r="I25" s="17" t="n">
        <f aca="false">(I19+0)</f>
        <v>100.131223601607</v>
      </c>
      <c r="J25" s="17" t="n">
        <f aca="false">(J19+0)</f>
        <v>109.112589127533</v>
      </c>
      <c r="K25" s="17" t="n">
        <f aca="false">(K19+0)</f>
        <v>118.861413946017</v>
      </c>
      <c r="L25" s="17" t="n">
        <f aca="false">(L19+0)</f>
        <v>129.446118513756</v>
      </c>
      <c r="M25" s="17" t="n">
        <f aca="false">(M19+0)</f>
        <v>140.941123417446</v>
      </c>
      <c r="N25" s="17" t="n">
        <f aca="false">(N19+0)</f>
        <v>153.427387701175</v>
      </c>
      <c r="O25" s="17" t="n">
        <f aca="false">(O19+(Assumptions!$G$43*C25))</f>
        <v>196.306893894891</v>
      </c>
      <c r="P25" s="17" t="n">
        <f aca="false">(P19+(Assumptions!$G$43*D25))</f>
        <v>214.448850079114</v>
      </c>
      <c r="Q25" s="17" t="n">
        <f aca="false">(Q19+(Assumptions!$G$43*E25))</f>
        <v>233.517857846116</v>
      </c>
      <c r="R25" s="17" t="n">
        <f aca="false">(R19+(Assumptions!$G$43*F25))</f>
        <v>256.717361379966</v>
      </c>
      <c r="S25" s="17" t="n">
        <f aca="false">(S19+(Assumptions!$G$43*G25))</f>
        <v>279.464987902561</v>
      </c>
      <c r="T25" s="17" t="n">
        <f aca="false">(T19+(Assumptions!$G$43*H25))</f>
        <v>304.13006399775</v>
      </c>
      <c r="U25" s="17" t="n">
        <f aca="false">(U19+(Assumptions!$G$43*I25))</f>
        <v>330.937043274386</v>
      </c>
      <c r="V25" s="17" t="n">
        <f aca="false">(V19+(Assumptions!$G$43*J25))</f>
        <v>360.077325690609</v>
      </c>
      <c r="W25" s="17" t="n">
        <f aca="false">(W19+(Assumptions!$G$43*K25))</f>
        <v>391.758047935971</v>
      </c>
      <c r="X25" s="17" t="n">
        <f aca="false">(X19+(Assumptions!$G$43*L25))</f>
        <v>426.204651797028</v>
      </c>
      <c r="Y25" s="17" t="n">
        <f aca="false">(Y19+(Assumptions!$G$43*M25))</f>
        <v>463.662545487588</v>
      </c>
      <c r="Z25" s="17" t="n">
        <f aca="false">(Z19+(Assumptions!$G$43*N25))</f>
        <v>504.398887642501</v>
      </c>
      <c r="AA25" s="17" t="n">
        <f aca="false">(AA19+(Assumptions!$G$43*O25))</f>
        <v>564.534035933704</v>
      </c>
      <c r="AB25" s="17" t="n">
        <f aca="false">(AB19+(Assumptions!$G$43*P25))</f>
        <v>614.550384246247</v>
      </c>
      <c r="AC25" s="17" t="n">
        <f aca="false">(AC19+(Assumptions!$G$43*Q25))</f>
        <v>668.605420863181</v>
      </c>
      <c r="AD25" s="17" t="n">
        <f aca="false">(AD19+(Assumptions!$G$43*R25))</f>
        <v>728.743476559564</v>
      </c>
      <c r="AE25" s="17" t="n">
        <f aca="false">(AE19+(Assumptions!$G$43*S25))</f>
        <v>792.831012973395</v>
      </c>
      <c r="AF25" s="17" t="n">
        <f aca="false">(AF19+(Assumptions!$G$43*T25))</f>
        <v>862.52071502055</v>
      </c>
      <c r="AG25" s="17" t="n">
        <f aca="false">(AG19+(Assumptions!$G$43*U25))</f>
        <v>938.339336946475</v>
      </c>
      <c r="AH25" s="17" t="n">
        <f aca="false">(AH19+(Assumptions!$G$43*V25))</f>
        <v>1020.8318534214</v>
      </c>
      <c r="AI25" s="17" t="n">
        <f aca="false">(AI19+(Assumptions!$G$43*W25))</f>
        <v>1110.59107056172</v>
      </c>
      <c r="AJ25" s="17" t="n">
        <f aca="false">(AJ19+(Assumptions!$G$43*X25))</f>
        <v>1208.26252949872</v>
      </c>
      <c r="AK25" s="17" t="n">
        <f aca="false">(AK19+(Assumptions!$G$43*Y25))</f>
        <v>1314.54923356732</v>
      </c>
      <c r="AL25" s="17" t="n">
        <f aca="false">(AL19+(Assumptions!$G$43*Z25))</f>
        <v>1430.21678457271</v>
      </c>
    </row>
    <row r="26" customFormat="false" ht="15" hidden="false" customHeight="false" outlineLevel="0" collapsed="false">
      <c r="A26" s="6" t="s">
        <v>385</v>
      </c>
      <c r="B26" s="2" t="s">
        <v>386</v>
      </c>
      <c r="C26" s="17" t="n">
        <f aca="false">SUM(C25:C25)</f>
        <v>54.285</v>
      </c>
      <c r="D26" s="17" t="n">
        <f aca="false">SUM(C25:D25)</f>
        <v>114.91095</v>
      </c>
      <c r="E26" s="17" t="n">
        <f aca="false">SUM(C25:E25)</f>
        <v>181.231440051154</v>
      </c>
      <c r="F26" s="17" t="n">
        <f aca="false">SUM(C25:F25)</f>
        <v>258.320869628554</v>
      </c>
      <c r="G26" s="17" t="n">
        <f aca="false">SUM(C25:G25)</f>
        <v>342.542948952213</v>
      </c>
      <c r="H26" s="17" t="n">
        <f aca="false">SUM(C25:H25)</f>
        <v>434.397308227912</v>
      </c>
      <c r="I26" s="17" t="n">
        <f aca="false">SUM(C25:I25)</f>
        <v>534.52853182952</v>
      </c>
      <c r="J26" s="17" t="n">
        <f aca="false">SUM(C25:J25)</f>
        <v>643.641120957052</v>
      </c>
      <c r="K26" s="17" t="n">
        <f aca="false">SUM(C25:K25)</f>
        <v>762.50253490307</v>
      </c>
      <c r="L26" s="17" t="n">
        <f aca="false">SUM(C25:L25)</f>
        <v>891.948653416826</v>
      </c>
      <c r="M26" s="17" t="n">
        <f aca="false">SUM(C25:M25)</f>
        <v>1032.88977683427</v>
      </c>
      <c r="N26" s="17" t="n">
        <f aca="false">SUM(C25:N25)</f>
        <v>1186.31716453545</v>
      </c>
      <c r="O26" s="17" t="n">
        <f aca="false">SUM(D25:O25)</f>
        <v>1328.33905843034</v>
      </c>
      <c r="P26" s="17" t="n">
        <f aca="false">SUM(E25:P25)</f>
        <v>1482.16195850945</v>
      </c>
      <c r="Q26" s="17" t="n">
        <f aca="false">SUM(F25:Q25)</f>
        <v>1649.35932630441</v>
      </c>
      <c r="R26" s="17" t="n">
        <f aca="false">SUM(G25:R25)</f>
        <v>1828.98725810698</v>
      </c>
      <c r="S26" s="17" t="n">
        <f aca="false">SUM(H25:S25)</f>
        <v>2024.23016668588</v>
      </c>
      <c r="T26" s="17" t="n">
        <f aca="false">SUM(I25:T25)</f>
        <v>2236.50587140793</v>
      </c>
      <c r="U26" s="17" t="n">
        <f aca="false">SUM(J25:U25)</f>
        <v>2467.31169108071</v>
      </c>
      <c r="V26" s="17" t="n">
        <f aca="false">SUM(K25:V25)</f>
        <v>2718.27642764379</v>
      </c>
      <c r="W26" s="17" t="n">
        <f aca="false">SUM(L25:W25)</f>
        <v>2991.17306163374</v>
      </c>
      <c r="X26" s="17" t="n">
        <f aca="false">SUM(M25:X25)</f>
        <v>3287.93159491701</v>
      </c>
      <c r="Y26" s="17" t="n">
        <f aca="false">SUM(N25:Y25)</f>
        <v>3610.65301698716</v>
      </c>
      <c r="Z26" s="17" t="n">
        <f aca="false">SUM(O25:Z25)</f>
        <v>3961.62451692848</v>
      </c>
      <c r="AA26" s="17" t="n">
        <f aca="false">SUM(P25:AA25)</f>
        <v>4329.85165896729</v>
      </c>
      <c r="AB26" s="17" t="n">
        <f aca="false">SUM(Q25:AB25)</f>
        <v>4729.95319313443</v>
      </c>
      <c r="AC26" s="17" t="n">
        <f aca="false">SUM(R25:AC25)</f>
        <v>5165.04075615149</v>
      </c>
      <c r="AD26" s="17" t="n">
        <f aca="false">SUM(S25:AD25)</f>
        <v>5637.06687133109</v>
      </c>
      <c r="AE26" s="17" t="n">
        <f aca="false">SUM(T25:AE25)</f>
        <v>6150.43289640193</v>
      </c>
      <c r="AF26" s="17" t="n">
        <f aca="false">SUM(U25:AF25)</f>
        <v>6708.82354742473</v>
      </c>
      <c r="AG26" s="17" t="n">
        <f aca="false">SUM(V25:AG25)</f>
        <v>7316.22584109681</v>
      </c>
      <c r="AH26" s="17" t="n">
        <f aca="false">SUM(W25:AH25)</f>
        <v>7976.9803688276</v>
      </c>
      <c r="AI26" s="17" t="n">
        <f aca="false">SUM(X25:AI25)</f>
        <v>8695.81339145336</v>
      </c>
      <c r="AJ26" s="17" t="n">
        <f aca="false">SUM(Y25:AJ25)</f>
        <v>9477.87126915505</v>
      </c>
      <c r="AK26" s="17" t="n">
        <f aca="false">SUM(Z25:AK25)</f>
        <v>10328.7579572348</v>
      </c>
      <c r="AL26" s="17" t="n">
        <f aca="false">SUM(AA25:AL25)</f>
        <v>11254.575854165</v>
      </c>
    </row>
    <row r="27" customFormat="false" ht="15" hidden="false" customHeight="false" outlineLevel="0" collapsed="false">
      <c r="A27" s="6" t="s">
        <v>387</v>
      </c>
      <c r="B27" s="2" t="s">
        <v>388</v>
      </c>
      <c r="C27" s="17" t="n">
        <f aca="false">(C20+0)</f>
        <v>14.805</v>
      </c>
      <c r="D27" s="17" t="n">
        <f aca="false">(D20+0)</f>
        <v>16.53435</v>
      </c>
      <c r="E27" s="17" t="n">
        <f aca="false">(E20+0)</f>
        <v>18.0874063775873</v>
      </c>
      <c r="F27" s="17" t="n">
        <f aca="false">(F20+0)</f>
        <v>21.0243898847454</v>
      </c>
      <c r="G27" s="17" t="n">
        <f aca="false">(G20+0)</f>
        <v>22.9696579973616</v>
      </c>
      <c r="H27" s="17" t="n">
        <f aca="false">(H20+0)</f>
        <v>25.0511888933725</v>
      </c>
      <c r="I27" s="17" t="n">
        <f aca="false">(I20+0)</f>
        <v>27.3085155277111</v>
      </c>
      <c r="J27" s="17" t="n">
        <f aca="false">(J20+0)</f>
        <v>29.7579788529634</v>
      </c>
      <c r="K27" s="17" t="n">
        <f aca="false">(K20+0)</f>
        <v>32.4167492580047</v>
      </c>
      <c r="L27" s="17" t="n">
        <f aca="false">(L20+0)</f>
        <v>35.3034868673881</v>
      </c>
      <c r="M27" s="17" t="n">
        <f aca="false">(M20+0)</f>
        <v>38.4384882047579</v>
      </c>
      <c r="N27" s="17" t="n">
        <f aca="false">(N20+0)</f>
        <v>41.8438330094113</v>
      </c>
      <c r="O27" s="17" t="n">
        <f aca="false">(O20+(Assumptions!$G$44*C27))</f>
        <v>52.2057937895156</v>
      </c>
      <c r="P27" s="17" t="n">
        <f aca="false">(P20+(Assumptions!$G$44*D27))</f>
        <v>56.9979585215765</v>
      </c>
      <c r="Q27" s="17" t="n">
        <f aca="false">(Q20+(Assumptions!$G$44*E27))</f>
        <v>62.0588219295034</v>
      </c>
      <c r="R27" s="17" t="n">
        <f aca="false">(R20+(Assumptions!$G$44*F27))</f>
        <v>68.1216307412726</v>
      </c>
      <c r="S27" s="17" t="n">
        <f aca="false">(S20+(Assumptions!$G$44*G27))</f>
        <v>74.1504547536632</v>
      </c>
      <c r="T27" s="17" t="n">
        <f aca="false">(T20+(Assumptions!$G$44*H27))</f>
        <v>80.6899559080737</v>
      </c>
      <c r="U27" s="17" t="n">
        <f aca="false">(U20+(Assumptions!$G$44*I27))</f>
        <v>87.7977908591567</v>
      </c>
      <c r="V27" s="17" t="n">
        <f aca="false">(V20+(Assumptions!$G$44*J27))</f>
        <v>95.5246889097631</v>
      </c>
      <c r="W27" s="17" t="n">
        <f aca="false">(W20+(Assumptions!$G$44*K27))</f>
        <v>103.925596549317</v>
      </c>
      <c r="X27" s="17" t="n">
        <f aca="false">(X20+(Assumptions!$G$44*L27))</f>
        <v>113.060318490215</v>
      </c>
      <c r="Y27" s="17" t="n">
        <f aca="false">(Y20+(Assumptions!$G$44*M27))</f>
        <v>122.993957558187</v>
      </c>
      <c r="Z27" s="17" t="n">
        <f aca="false">(Z20+(Assumptions!$G$44*N27))</f>
        <v>133.797388022562</v>
      </c>
      <c r="AA27" s="17" t="n">
        <f aca="false">(AA20+(Assumptions!$G$44*O27))</f>
        <v>148.545783540863</v>
      </c>
      <c r="AB27" s="17" t="n">
        <f aca="false">(AB20+(Assumptions!$G$44*P27))</f>
        <v>161.671264572035</v>
      </c>
      <c r="AC27" s="17" t="n">
        <f aca="false">(AC20+(Assumptions!$G$44*Q27))</f>
        <v>175.88259103908</v>
      </c>
      <c r="AD27" s="17" t="n">
        <f aca="false">(AD20+(Assumptions!$G$44*R27))</f>
        <v>191.595488764768</v>
      </c>
      <c r="AE27" s="17" t="n">
        <f aca="false">(AE20+(Assumptions!$G$44*S27))</f>
        <v>208.436773595333</v>
      </c>
      <c r="AF27" s="17" t="n">
        <f aca="false">(AF20+(Assumptions!$G$44*T27))</f>
        <v>226.753338466387</v>
      </c>
      <c r="AG27" s="17" t="n">
        <f aca="false">(AG20+(Assumptions!$G$44*U27))</f>
        <v>246.681733226158</v>
      </c>
      <c r="AH27" s="17" t="n">
        <f aca="false">(AH20+(Assumptions!$G$44*V27))</f>
        <v>268.365227522612</v>
      </c>
      <c r="AI27" s="17" t="n">
        <f aca="false">(AI20+(Assumptions!$G$44*W27))</f>
        <v>291.959716086184</v>
      </c>
      <c r="AJ27" s="17" t="n">
        <f aca="false">(AJ20+(Assumptions!$G$44*X27))</f>
        <v>317.634966282867</v>
      </c>
      <c r="AK27" s="17" t="n">
        <f aca="false">(AK20+(Assumptions!$G$44*Y27))</f>
        <v>345.575860629553</v>
      </c>
      <c r="AL27" s="17" t="n">
        <f aca="false">(AL20+(Assumptions!$G$44*Z27))</f>
        <v>375.983747858997</v>
      </c>
    </row>
    <row r="28" customFormat="false" ht="15" hidden="false" customHeight="false" outlineLevel="0" collapsed="false">
      <c r="A28" s="6" t="s">
        <v>389</v>
      </c>
      <c r="B28" s="2" t="s">
        <v>390</v>
      </c>
      <c r="C28" s="17" t="n">
        <f aca="false">SUM(C27:C27)</f>
        <v>14.805</v>
      </c>
      <c r="D28" s="17" t="n">
        <f aca="false">SUM(C27:D27)</f>
        <v>31.33935</v>
      </c>
      <c r="E28" s="17" t="n">
        <f aca="false">SUM(C27:E27)</f>
        <v>49.4267563775873</v>
      </c>
      <c r="F28" s="17" t="n">
        <f aca="false">SUM(C27:F27)</f>
        <v>70.4511462623328</v>
      </c>
      <c r="G28" s="17" t="n">
        <f aca="false">SUM(C27:G27)</f>
        <v>93.4208042596944</v>
      </c>
      <c r="H28" s="17" t="n">
        <f aca="false">SUM(C27:H27)</f>
        <v>118.471993153067</v>
      </c>
      <c r="I28" s="17" t="n">
        <f aca="false">SUM(C27:I27)</f>
        <v>145.780508680778</v>
      </c>
      <c r="J28" s="17" t="n">
        <f aca="false">SUM(C27:J27)</f>
        <v>175.538487533741</v>
      </c>
      <c r="K28" s="17" t="n">
        <f aca="false">SUM(C27:K27)</f>
        <v>207.955236791746</v>
      </c>
      <c r="L28" s="17" t="n">
        <f aca="false">SUM(C27:L27)</f>
        <v>243.258723659134</v>
      </c>
      <c r="M28" s="17" t="n">
        <f aca="false">SUM(C27:M27)</f>
        <v>281.697211863892</v>
      </c>
      <c r="N28" s="17" t="n">
        <f aca="false">SUM(C27:N27)</f>
        <v>323.541044873303</v>
      </c>
      <c r="O28" s="17" t="n">
        <f aca="false">SUM(D27:O27)</f>
        <v>360.941838662819</v>
      </c>
      <c r="P28" s="17" t="n">
        <f aca="false">SUM(E27:P27)</f>
        <v>401.405447184396</v>
      </c>
      <c r="Q28" s="17" t="n">
        <f aca="false">SUM(F27:Q27)</f>
        <v>445.376862736312</v>
      </c>
      <c r="R28" s="17" t="n">
        <f aca="false">SUM(G27:R27)</f>
        <v>492.474103592839</v>
      </c>
      <c r="S28" s="17" t="n">
        <f aca="false">SUM(H27:S27)</f>
        <v>543.654900349141</v>
      </c>
      <c r="T28" s="17" t="n">
        <f aca="false">SUM(I27:T27)</f>
        <v>599.293667363842</v>
      </c>
      <c r="U28" s="17" t="n">
        <f aca="false">SUM(J27:U27)</f>
        <v>659.782942695287</v>
      </c>
      <c r="V28" s="17" t="n">
        <f aca="false">SUM(K27:V27)</f>
        <v>725.549652752087</v>
      </c>
      <c r="W28" s="17" t="n">
        <f aca="false">SUM(L27:W27)</f>
        <v>797.058500043399</v>
      </c>
      <c r="X28" s="17" t="n">
        <f aca="false">SUM(M27:X27)</f>
        <v>874.815331666226</v>
      </c>
      <c r="Y28" s="17" t="n">
        <f aca="false">SUM(N27:Y27)</f>
        <v>959.370801019655</v>
      </c>
      <c r="Z28" s="17" t="n">
        <f aca="false">SUM(O27:Z27)</f>
        <v>1051.32435603281</v>
      </c>
      <c r="AA28" s="17" t="n">
        <f aca="false">SUM(P27:AA27)</f>
        <v>1147.66434578415</v>
      </c>
      <c r="AB28" s="17" t="n">
        <f aca="false">SUM(Q27:AB27)</f>
        <v>1252.33765183461</v>
      </c>
      <c r="AC28" s="17" t="n">
        <f aca="false">SUM(R27:AC27)</f>
        <v>1366.16142094419</v>
      </c>
      <c r="AD28" s="17" t="n">
        <f aca="false">SUM(S27:AD27)</f>
        <v>1489.63527896768</v>
      </c>
      <c r="AE28" s="17" t="n">
        <f aca="false">SUM(T27:AE27)</f>
        <v>1623.92159780935</v>
      </c>
      <c r="AF28" s="17" t="n">
        <f aca="false">SUM(U27:AF27)</f>
        <v>1769.98498036767</v>
      </c>
      <c r="AG28" s="17" t="n">
        <f aca="false">SUM(V27:AG27)</f>
        <v>1928.86892273467</v>
      </c>
      <c r="AH28" s="17" t="n">
        <f aca="false">SUM(W27:AH27)</f>
        <v>2101.70946134752</v>
      </c>
      <c r="AI28" s="17" t="n">
        <f aca="false">SUM(X27:AI27)</f>
        <v>2289.74358088438</v>
      </c>
      <c r="AJ28" s="17" t="n">
        <f aca="false">SUM(Y27:AJ27)</f>
        <v>2494.31822867704</v>
      </c>
      <c r="AK28" s="17" t="n">
        <f aca="false">SUM(Z27:AK27)</f>
        <v>2716.9001317484</v>
      </c>
      <c r="AL28" s="17" t="n">
        <f aca="false">SUM(AA27:AL27)</f>
        <v>2959.08649158484</v>
      </c>
    </row>
    <row r="29" customFormat="false" ht="15" hidden="false" customHeight="false" outlineLevel="0" collapsed="false">
      <c r="A29" s="21" t="s">
        <v>391</v>
      </c>
      <c r="B29" s="2" t="s">
        <v>392</v>
      </c>
      <c r="C29" s="22" t="n">
        <f aca="false">((C24+C26)+C28)</f>
        <v>98.7</v>
      </c>
      <c r="D29" s="22" t="n">
        <f aca="false">((D24+D26)+D28)</f>
        <v>205.698511044135</v>
      </c>
      <c r="E29" s="22" t="n">
        <f aca="false">((E24+E26)+E28)</f>
        <v>319.795344198872</v>
      </c>
      <c r="F29" s="22" t="n">
        <f aca="false">((F24+F26)+F28)</f>
        <v>450.232966347473</v>
      </c>
      <c r="G29" s="22" t="n">
        <f aca="false">((G24+G26)+G28)</f>
        <v>590.112474272511</v>
      </c>
      <c r="H29" s="22" t="n">
        <f aca="false">((H24+H26)+H28)</f>
        <v>740.302577163589</v>
      </c>
      <c r="I29" s="22" t="n">
        <f aca="false">((I24+I26)+I28)</f>
        <v>901.910136697292</v>
      </c>
      <c r="J29" s="22" t="n">
        <f aca="false">((J24+J26)+J28)</f>
        <v>1076.11969872821</v>
      </c>
      <c r="K29" s="22" t="n">
        <f aca="false">((K24+K26)+K28)</f>
        <v>1264.1988672422</v>
      </c>
      <c r="L29" s="22" t="n">
        <f aca="false">((L24+L26)+L28)</f>
        <v>1467.50791629904</v>
      </c>
      <c r="M29" s="22" t="n">
        <f aca="false">((M24+M26)+M28)</f>
        <v>1687.51008953887</v>
      </c>
      <c r="N29" s="22" t="n">
        <f aca="false">((N24+N26)+N28)</f>
        <v>1925.78258793147</v>
      </c>
      <c r="O29" s="22" t="n">
        <f aca="false">((O24+O26)+O28)</f>
        <v>2150.9144803414</v>
      </c>
      <c r="P29" s="22" t="n">
        <f aca="false">((P24+P26)+P28)</f>
        <v>2393.95117530339</v>
      </c>
      <c r="Q29" s="22" t="n">
        <f aca="false">((Q24+Q26)+Q28)</f>
        <v>2657.27541326468</v>
      </c>
      <c r="R29" s="22" t="n">
        <f aca="false">((R24+R26)+R28)</f>
        <v>2939.94814605088</v>
      </c>
      <c r="S29" s="22" t="n">
        <f aca="false">((S24+S26)+S28)</f>
        <v>3246.52236770982</v>
      </c>
      <c r="T29" s="22" t="n">
        <f aca="false">((T24+T26)+T28)</f>
        <v>3579.23048183729</v>
      </c>
      <c r="U29" s="22" t="n">
        <f aca="false">((U24+U26)+U28)</f>
        <v>3940.4342257223</v>
      </c>
      <c r="V29" s="22" t="n">
        <f aca="false">((V24+V26)+V28)</f>
        <v>4332.69647712548</v>
      </c>
      <c r="W29" s="22" t="n">
        <f aca="false">((W24+W26)+W28)</f>
        <v>4758.80117748287</v>
      </c>
      <c r="X29" s="22" t="n">
        <f aca="false">((X24+X26)+X28)</f>
        <v>5221.77365197031</v>
      </c>
      <c r="Y29" s="22" t="n">
        <f aca="false">((Y24+Y26)+Y28)</f>
        <v>5724.9026458626</v>
      </c>
      <c r="Z29" s="22" t="n">
        <f aca="false">((Z24+Z26)+Z28)</f>
        <v>6271.76426664208</v>
      </c>
      <c r="AA29" s="22" t="n">
        <f aca="false">((AA24+AA26)+AA28)</f>
        <v>6849.09937802816</v>
      </c>
      <c r="AB29" s="22" t="n">
        <f aca="false">((AB24+AB26)+AB28)</f>
        <v>7476.27708051851</v>
      </c>
      <c r="AC29" s="22" t="n">
        <f aca="false">((AC24+AC26)+AC28)</f>
        <v>8158.10484160762</v>
      </c>
      <c r="AD29" s="22" t="n">
        <f aca="false">((AD24+AD26)+AD28)</f>
        <v>8897.98915851396</v>
      </c>
      <c r="AE29" s="22" t="n">
        <f aca="false">((AE24+AE26)+AE28)</f>
        <v>9702.52995720119</v>
      </c>
      <c r="AF29" s="22" t="n">
        <f aca="false">((AF24+AF26)+AF28)</f>
        <v>10577.5032927353</v>
      </c>
      <c r="AG29" s="22" t="n">
        <f aca="false">((AG24+AG26)+AG28)</f>
        <v>11529.164694366</v>
      </c>
      <c r="AH29" s="22" t="n">
        <f aca="false">((AH24+AH26)+AH28)</f>
        <v>12564.3230384577</v>
      </c>
      <c r="AI29" s="22" t="n">
        <f aca="false">((AI24+AI26)+AI28)</f>
        <v>13690.3908066417</v>
      </c>
      <c r="AJ29" s="22" t="n">
        <f aca="false">((AJ24+AJ26)+AJ28)</f>
        <v>14915.4381395206</v>
      </c>
      <c r="AK29" s="22" t="n">
        <f aca="false">((AK24+AK26)+AK28)</f>
        <v>16248.2516904885</v>
      </c>
      <c r="AL29" s="22" t="n">
        <f aca="false">((AL24+AL26)+AL28)</f>
        <v>17698.3987265531</v>
      </c>
    </row>
    <row r="30" customFormat="false" ht="15" hidden="false" customHeight="false" outlineLevel="0" collapsed="false">
      <c r="A30" s="6" t="s">
        <v>393</v>
      </c>
      <c r="B30" s="2" t="s">
        <v>394</v>
      </c>
      <c r="C30" s="14" t="n">
        <f aca="false">((((C24*Assumptions!$G$35)+(C25*Assumptions!$G$36))+(C27*Assumptions!$G$37))+(C21*Assumptions!$G$38))</f>
        <v>7154.763</v>
      </c>
      <c r="D30" s="14" t="n">
        <f aca="false">((((D24*Assumptions!$G$35)+(D25*Assumptions!$G$36))+(D27*Assumptions!$G$37))+(D21*Assumptions!$G$38))</f>
        <v>8385.92908055159</v>
      </c>
      <c r="E30" s="14" t="n">
        <f aca="false">((((E24*Assumptions!$G$35)+(E25*Assumptions!$G$36))+(E27*Assumptions!$G$37))+(E21*Assumptions!$G$38))</f>
        <v>9534.94599061625</v>
      </c>
      <c r="F30" s="14" t="n">
        <f aca="false">((((F24*Assumptions!$G$35)+(F25*Assumptions!$G$36))+(F27*Assumptions!$G$37))+(F21*Assumptions!$G$38))</f>
        <v>11350.7752569009</v>
      </c>
      <c r="G30" s="14" t="n">
        <f aca="false">((((G24*Assumptions!$G$35)+(G25*Assumptions!$G$36))+(G27*Assumptions!$G$37))+(G21*Assumptions!$G$38))</f>
        <v>12722.5290367958</v>
      </c>
      <c r="H30" s="14" t="n">
        <f aca="false">((((H24*Assumptions!$G$35)+(H25*Assumptions!$G$36))+(H27*Assumptions!$G$37))+(H21*Assumptions!$G$38))</f>
        <v>14164.9947134952</v>
      </c>
      <c r="I30" s="14" t="n">
        <f aca="false">((((I24*Assumptions!$G$35)+(I25*Assumptions!$G$36))+(I27*Assumptions!$G$37))+(I21*Assumptions!$G$38))</f>
        <v>15700.3864070141</v>
      </c>
      <c r="J30" s="14" t="n">
        <f aca="false">((((J24*Assumptions!$G$35)+(J25*Assumptions!$G$36))+(J27*Assumptions!$G$37))+(J21*Assumptions!$G$38))</f>
        <v>17340.4269936558</v>
      </c>
      <c r="K30" s="14" t="n">
        <f aca="false">((((K24*Assumptions!$G$35)+(K25*Assumptions!$G$36))+(K27*Assumptions!$G$37))+(K21*Assumptions!$G$38))</f>
        <v>19097.2592375854</v>
      </c>
      <c r="L30" s="14" t="n">
        <f aca="false">((((L24*Assumptions!$G$35)+(L25*Assumptions!$G$36))+(L27*Assumptions!$G$37))+(L21*Assumptions!$G$38))</f>
        <v>20983.7849667828</v>
      </c>
      <c r="M30" s="14" t="n">
        <f aca="false">((((M24*Assumptions!$G$35)+(M25*Assumptions!$G$36))+(M27*Assumptions!$G$37))+(M21*Assumptions!$G$38))</f>
        <v>23013.7714716428</v>
      </c>
      <c r="N30" s="14" t="n">
        <f aca="false">((((N24*Assumptions!$G$35)+(N25*Assumptions!$G$36))+(N27*Assumptions!$G$37))+(N21*Assumptions!$G$38))</f>
        <v>25201.9580194483</v>
      </c>
      <c r="O30" s="14" t="n">
        <f aca="false">((((O24*Assumptions!$G$35)+(O25*Assumptions!$G$36))+(O27*Assumptions!$G$37))+(O21*Assumptions!$G$38))</f>
        <v>30761.6888039281</v>
      </c>
      <c r="P30" s="14" t="n">
        <f aca="false">((((P24*Assumptions!$G$35)+(P25*Assumptions!$G$36))+(P27*Assumptions!$G$37))+(P21*Assumptions!$G$38))</f>
        <v>33685.4249681424</v>
      </c>
      <c r="Q30" s="14" t="n">
        <f aca="false">((((Q24*Assumptions!$G$35)+(Q25*Assumptions!$G$36))+(Q27*Assumptions!$G$37))+(Q21*Assumptions!$G$38))</f>
        <v>36779.8886888919</v>
      </c>
      <c r="R30" s="14" t="n">
        <f aca="false">((((R24*Assumptions!$G$35)+(R25*Assumptions!$G$36))+(R27*Assumptions!$G$37))+(R21*Assumptions!$G$38))</f>
        <v>40401.9671221617</v>
      </c>
      <c r="S30" s="14" t="n">
        <f aca="false">((((S24*Assumptions!$G$35)+(S25*Assumptions!$G$36))+(S27*Assumptions!$G$37))+(S21*Assumptions!$G$38))</f>
        <v>44059.7457003177</v>
      </c>
      <c r="T30" s="14" t="n">
        <f aca="false">((((T24*Assumptions!$G$35)+(T25*Assumptions!$G$36))+(T27*Assumptions!$G$37))+(T21*Assumptions!$G$38))</f>
        <v>48020.2425814002</v>
      </c>
      <c r="U30" s="14" t="n">
        <f aca="false">((((U24*Assumptions!$G$35)+(U25*Assumptions!$G$36))+(U27*Assumptions!$G$37))+(U21*Assumptions!$G$38))</f>
        <v>52317.1405107506</v>
      </c>
      <c r="V30" s="14" t="n">
        <f aca="false">((((V24*Assumptions!$G$35)+(V25*Assumptions!$G$36))+(V27*Assumptions!$G$37))+(V21*Assumptions!$G$38))</f>
        <v>56981.2326121589</v>
      </c>
      <c r="W30" s="14" t="n">
        <f aca="false">((((W24*Assumptions!$G$35)+(W25*Assumptions!$G$36))+(W27*Assumptions!$G$37))+(W21*Assumptions!$G$38))</f>
        <v>62045.8197979361</v>
      </c>
      <c r="X30" s="14" t="n">
        <f aca="false">((((X24*Assumptions!$G$35)+(X25*Assumptions!$G$36))+(X27*Assumptions!$G$37))+(X21*Assumptions!$G$38))</f>
        <v>67547.0708551556</v>
      </c>
      <c r="Y30" s="14" t="n">
        <f aca="false">((((Y24*Assumptions!$G$35)+(Y25*Assumptions!$G$36))+(Y27*Assumptions!$G$37))+(Y21*Assumptions!$G$38))</f>
        <v>73524.2896826963</v>
      </c>
      <c r="Z30" s="14" t="n">
        <f aca="false">((((Z24*Assumptions!$G$35)+(Z25*Assumptions!$G$36))+(Z27*Assumptions!$G$37))+(Z21*Assumptions!$G$38))</f>
        <v>80020.202688193</v>
      </c>
      <c r="AA30" s="14" t="n">
        <f aca="false">((((AA24*Assumptions!$G$35)+(AA25*Assumptions!$G$36))+(AA27*Assumptions!$G$37))+(AA21*Assumptions!$G$38))</f>
        <v>88783.9537978884</v>
      </c>
      <c r="AB30" s="14" t="n">
        <f aca="false">((((AB24*Assumptions!$G$35)+(AB25*Assumptions!$G$36))+(AB27*Assumptions!$G$37))+(AB21*Assumptions!$G$38))</f>
        <v>96656.682346313</v>
      </c>
      <c r="AC30" s="14" t="n">
        <f aca="false">((((AC24*Assumptions!$G$35)+(AC25*Assumptions!$G$36))+(AC27*Assumptions!$G$37))+(AC21*Assumptions!$G$38))</f>
        <v>105179.290776767</v>
      </c>
      <c r="AD30" s="14" t="n">
        <f aca="false">((((AD24*Assumptions!$G$35)+(AD25*Assumptions!$G$36))+(AD27*Assumptions!$G$37))+(AD21*Assumptions!$G$38))</f>
        <v>114591.124633495</v>
      </c>
      <c r="AE30" s="14" t="n">
        <f aca="false">((((AE24*Assumptions!$G$35)+(AE25*Assumptions!$G$36))+(AE27*Assumptions!$G$37))+(AE21*Assumptions!$G$38))</f>
        <v>124683.799638128</v>
      </c>
      <c r="AF30" s="14" t="n">
        <f aca="false">((((AF24*Assumptions!$G$35)+(AF25*Assumptions!$G$36))+(AF27*Assumptions!$G$37))+(AF21*Assumptions!$G$38))</f>
        <v>135658.080214365</v>
      </c>
      <c r="AG30" s="14" t="n">
        <f aca="false">((((AG24*Assumptions!$G$35)+(AG25*Assumptions!$G$36))+(AG27*Assumptions!$G$37))+(AG21*Assumptions!$G$38))</f>
        <v>147595.621680883</v>
      </c>
      <c r="AH30" s="14" t="n">
        <f aca="false">((((AH24*Assumptions!$G$35)+(AH25*Assumptions!$G$36))+(AH27*Assumptions!$G$37))+(AH21*Assumptions!$G$38))</f>
        <v>160582.236415007</v>
      </c>
      <c r="AI30" s="14" t="n">
        <f aca="false">((((AI24*Assumptions!$G$35)+(AI25*Assumptions!$G$36))+(AI27*Assumptions!$G$37))+(AI21*Assumptions!$G$38))</f>
        <v>174711.278591123</v>
      </c>
      <c r="AJ30" s="14" t="n">
        <f aca="false">((((AJ24*Assumptions!$G$35)+(AJ25*Assumptions!$G$36))+(AJ27*Assumptions!$G$37))+(AJ21*Assumptions!$G$38))</f>
        <v>190084.388170046</v>
      </c>
      <c r="AK30" s="14" t="n">
        <f aca="false">((((AK24*Assumptions!$G$35)+(AK25*Assumptions!$G$36))+(AK27*Assumptions!$G$37))+(AK21*Assumptions!$G$38))</f>
        <v>206812.235004861</v>
      </c>
      <c r="AL30" s="14" t="n">
        <f aca="false">((((AL24*Assumptions!$G$35)+(AL25*Assumptions!$G$36))+(AL27*Assumptions!$G$37))+(AL21*Assumptions!$G$38))</f>
        <v>225015.327799494</v>
      </c>
    </row>
    <row r="32" customFormat="false" ht="15" hidden="false" customHeight="false" outlineLevel="0" collapsed="false">
      <c r="A32" s="4" t="s">
        <v>395</v>
      </c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</row>
    <row r="33" customFormat="false" ht="15" hidden="false" customHeight="false" outlineLevel="0" collapsed="false">
      <c r="A33" s="6" t="s">
        <v>396</v>
      </c>
      <c r="B33" s="2" t="s">
        <v>397</v>
      </c>
      <c r="C33" s="17" t="n">
        <f aca="false">(C12-C17)</f>
        <v>2251.3</v>
      </c>
      <c r="D33" s="17" t="n">
        <f aca="false">(D12-D17)</f>
        <v>2514.271</v>
      </c>
      <c r="E33" s="17" t="n">
        <f aca="false">(E12-E17)</f>
        <v>2750.43417614741</v>
      </c>
      <c r="F33" s="17" t="n">
        <f aca="false">(F12-F17)</f>
        <v>3197.04214437875</v>
      </c>
      <c r="G33" s="17" t="n">
        <f aca="false">(G12-G17)</f>
        <v>3492.84640658293</v>
      </c>
      <c r="H33" s="17" t="n">
        <f aca="false">(H12-H17)</f>
        <v>3809.37126346839</v>
      </c>
      <c r="I33" s="17" t="n">
        <f aca="false">(I12-I17)</f>
        <v>4152.62823421385</v>
      </c>
      <c r="J33" s="17" t="n">
        <f aca="false">(J12-J17)</f>
        <v>4525.10218113317</v>
      </c>
      <c r="K33" s="17" t="n">
        <f aca="false">(K12-K17)</f>
        <v>4929.40409351882</v>
      </c>
      <c r="L33" s="17" t="n">
        <f aca="false">(L12-L17)</f>
        <v>5368.37149507267</v>
      </c>
      <c r="M33" s="17" t="n">
        <f aca="false">(M12-M17)</f>
        <v>5845.09074605684</v>
      </c>
      <c r="N33" s="17" t="n">
        <f aca="false">(N12-N17)</f>
        <v>6362.91936873271</v>
      </c>
      <c r="O33" s="17" t="n">
        <f aca="false">(O12-O17)</f>
        <v>6925.51030958032</v>
      </c>
      <c r="P33" s="17" t="n">
        <f aca="false">(P12-P17)</f>
        <v>7535.88666328101</v>
      </c>
      <c r="Q33" s="17" t="n">
        <f aca="false">(Q12-Q17)</f>
        <v>8199.18579668038</v>
      </c>
      <c r="R33" s="17" t="n">
        <f aca="false">(R12-R17)</f>
        <v>8920.14409060721</v>
      </c>
      <c r="S33" s="17" t="n">
        <f aca="false">(S12-S17)</f>
        <v>9703.79620497568</v>
      </c>
      <c r="T33" s="17" t="n">
        <f aca="false">(T12-T17)</f>
        <v>10555.7794012701</v>
      </c>
      <c r="U33" s="17" t="n">
        <f aca="false">(U12-U17)</f>
        <v>11482.1559681073</v>
      </c>
      <c r="V33" s="17" t="n">
        <f aca="false">(V12-V17)</f>
        <v>12489.5217923874</v>
      </c>
      <c r="W33" s="17" t="n">
        <f aca="false">(W12-W17)</f>
        <v>13585.0572839873</v>
      </c>
      <c r="X33" s="17" t="n">
        <f aca="false">(X12-X17)</f>
        <v>14776.5796706501</v>
      </c>
      <c r="Y33" s="17" t="n">
        <f aca="false">(Y12-Y17)</f>
        <v>16072.5998532812</v>
      </c>
      <c r="Z33" s="17" t="n">
        <f aca="false">(Z12-Z17)</f>
        <v>17482.3843357551</v>
      </c>
      <c r="AA33" s="17" t="n">
        <f aca="false">(AA12-AA17)</f>
        <v>19016.02268722</v>
      </c>
      <c r="AB33" s="17" t="n">
        <f aca="false">(AB12-AB17)</f>
        <v>20684.0081811679</v>
      </c>
      <c r="AC33" s="17" t="n">
        <f aca="false">(AC12-AC17)</f>
        <v>22498.7244574015</v>
      </c>
      <c r="AD33" s="17" t="n">
        <f aca="false">(AD12-AD17)</f>
        <v>24473.2132101722</v>
      </c>
      <c r="AE33" s="17" t="n">
        <f aca="false">(AE12-AE17)</f>
        <v>26621.6139777818</v>
      </c>
      <c r="AF33" s="17" t="n">
        <f aca="false">(AF12-AF17)</f>
        <v>28959.4060728299</v>
      </c>
      <c r="AG33" s="17" t="n">
        <f aca="false">(AG12-AG17)</f>
        <v>31503.4083795678</v>
      </c>
      <c r="AH33" s="17" t="n">
        <f aca="false">(AH12-AH17)</f>
        <v>34271.9356472482</v>
      </c>
      <c r="AI33" s="17" t="n">
        <f aca="false">(AI12-AI17)</f>
        <v>37284.933863199</v>
      </c>
      <c r="AJ33" s="17" t="n">
        <f aca="false">(AJ12-AJ17)</f>
        <v>40564.1260948976</v>
      </c>
      <c r="AK33" s="17" t="n">
        <f aca="false">(AK12-AK17)</f>
        <v>44133.1713301235</v>
      </c>
      <c r="AL33" s="17" t="n">
        <f aca="false">(AL12-AL17)</f>
        <v>48017.8375353004</v>
      </c>
    </row>
    <row r="34" customFormat="false" ht="15" hidden="false" customHeight="false" outlineLevel="0" collapsed="false">
      <c r="A34" s="6" t="s">
        <v>398</v>
      </c>
      <c r="B34" s="2" t="s">
        <v>399</v>
      </c>
      <c r="C34" s="17" t="n">
        <f aca="false">((0*(1-Assumptions!$G$27))+(0*Assumptions!$G$26))</f>
        <v>0</v>
      </c>
      <c r="D34" s="17" t="n">
        <f aca="false">((C34*(1-Assumptions!$G$27))+(C33*Assumptions!$G$26))</f>
        <v>450.26</v>
      </c>
      <c r="E34" s="17" t="n">
        <f aca="false">((D34*(1-Assumptions!$G$27))+(D33*Assumptions!$G$26))</f>
        <v>926.0986</v>
      </c>
      <c r="F34" s="17" t="n">
        <f aca="false">((E34*(1-Assumptions!$G$27))+(E33*Assumptions!$G$26))</f>
        <v>1420.61951922948</v>
      </c>
      <c r="G34" s="17" t="n">
        <f aca="false">((F34*(1-Assumptions!$G$27))+(F33*Assumptions!$G$26))</f>
        <v>1974.79077695146</v>
      </c>
      <c r="H34" s="17" t="n">
        <f aca="false">((G34*(1-Assumptions!$G$27))+(G33*Assumptions!$G$26))</f>
        <v>2554.87261165096</v>
      </c>
      <c r="I34" s="17" t="n">
        <f aca="false">((H34*(1-Assumptions!$G$27))+(H33*Assumptions!$G$26))</f>
        <v>3163.45450764558</v>
      </c>
      <c r="J34" s="17" t="n">
        <f aca="false">((I34*(1-Assumptions!$G$27))+(I33*Assumptions!$G$26))</f>
        <v>3804.17288402962</v>
      </c>
      <c r="K34" s="17" t="n">
        <f aca="false">((J34*(1-Assumptions!$G$27))+(J33*Assumptions!$G$26))</f>
        <v>4480.94294721447</v>
      </c>
      <c r="L34" s="17" t="n">
        <f aca="false">((K34*(1-Assumptions!$G$27))+(K33*Assumptions!$G$26))</f>
        <v>5197.96718908537</v>
      </c>
      <c r="M34" s="17" t="n">
        <f aca="false">((L34*(1-Assumptions!$G$27))+(L33*Assumptions!$G$26))</f>
        <v>5959.76345675478</v>
      </c>
      <c r="N34" s="17" t="n">
        <f aca="false">((M34*(1-Assumptions!$G$27))+(M33*Assumptions!$G$26))</f>
        <v>6771.19579856086</v>
      </c>
      <c r="O34" s="17" t="n">
        <f aca="false">((N34*(1-Assumptions!$G$27))+(N33*Assumptions!$G$26))</f>
        <v>7637.50792439375</v>
      </c>
      <c r="P34" s="17" t="n">
        <f aca="false">((O34*(1-Assumptions!$G$27))+(O33*Assumptions!$G$26))</f>
        <v>8564.35951084619</v>
      </c>
      <c r="Q34" s="17" t="n">
        <f aca="false">((P34*(1-Assumptions!$G$27))+(P33*Assumptions!$G$26))</f>
        <v>9557.67527285162</v>
      </c>
      <c r="R34" s="17" t="n">
        <f aca="false">((Q34*(1-Assumptions!$G$27))+(Q33*Assumptions!$G$26))</f>
        <v>10624.0519158166</v>
      </c>
      <c r="S34" s="17" t="n">
        <f aca="false">((R34*(1-Assumptions!$G$27))+(R33*Assumptions!$G$26))</f>
        <v>11770.637618989</v>
      </c>
      <c r="T34" s="17" t="n">
        <f aca="false">((S34*(1-Assumptions!$G$27))+(S33*Assumptions!$G$26))</f>
        <v>13005.1586028448</v>
      </c>
      <c r="U34" s="17" t="n">
        <f aca="false">((T34*(1-Assumptions!$G$27))+(T33*Assumptions!$G$26))</f>
        <v>14336.0049669282</v>
      </c>
      <c r="V34" s="17" t="n">
        <f aca="false">((U34*(1-Assumptions!$G$27))+(U33*Assumptions!$G$26))</f>
        <v>15772.2758625339</v>
      </c>
      <c r="W34" s="17" t="n">
        <f aca="false">((V34*(1-Assumptions!$G$27))+(V33*Assumptions!$G$26))</f>
        <v>17323.8436692594</v>
      </c>
      <c r="X34" s="17" t="n">
        <f aca="false">((W34*(1-Assumptions!$G$27))+(W33*Assumptions!$G$26))</f>
        <v>19001.4245059013</v>
      </c>
      <c r="Y34" s="17" t="n">
        <f aca="false">((X34*(1-Assumptions!$G$27))+(X33*Assumptions!$G$26))</f>
        <v>20816.6549696772</v>
      </c>
      <c r="Z34" s="17" t="n">
        <f aca="false">((Y34*(1-Assumptions!$G$27))+(Y33*Assumptions!$G$26))</f>
        <v>22782.1756421528</v>
      </c>
      <c r="AA34" s="17" t="n">
        <f aca="false">((Z34*(1-Assumptions!$G$27))+(Z33*Assumptions!$G$26))</f>
        <v>24911.7219707747</v>
      </c>
      <c r="AB34" s="17" t="n">
        <f aca="false">((AA34*(1-Assumptions!$G$27))+(AA33*Assumptions!$G$26))</f>
        <v>27220.2231899722</v>
      </c>
      <c r="AC34" s="17" t="n">
        <f aca="false">((AB34*(1-Assumptions!$G$27))+(AB33*Assumptions!$G$26))</f>
        <v>29723.8114348074</v>
      </c>
      <c r="AD34" s="17" t="n">
        <f aca="false">((AC34*(1-Assumptions!$G$27))+(AC33*Assumptions!$G$26))</f>
        <v>32440.1276401993</v>
      </c>
      <c r="AE34" s="17" t="n">
        <f aca="false">((AD34*(1-Assumptions!$G$27))+(AD33*Assumptions!$G$26))</f>
        <v>35388.3626238218</v>
      </c>
      <c r="AF34" s="17" t="n">
        <f aca="false">((AE34*(1-Assumptions!$G$27))+(AE33*Assumptions!$G$26))</f>
        <v>38589.3836619488</v>
      </c>
      <c r="AG34" s="17" t="n">
        <f aca="false">((AF34*(1-Assumptions!$G$27))+(AF33*Assumptions!$G$26))</f>
        <v>42065.9018567979</v>
      </c>
      <c r="AH34" s="17" t="n">
        <f aca="false">((AG34*(1-Assumptions!$G$27))+(AG33*Assumptions!$G$26))</f>
        <v>45842.6294213036</v>
      </c>
      <c r="AI34" s="17" t="n">
        <f aca="false">((AH34*(1-Assumptions!$G$27))+(AH33*Assumptions!$G$26))</f>
        <v>49946.458785475</v>
      </c>
      <c r="AJ34" s="17" t="n">
        <f aca="false">((AI34*(1-Assumptions!$G$27))+(AI33*Assumptions!$G$26))</f>
        <v>54406.6580309863</v>
      </c>
      <c r="AK34" s="17" t="n">
        <f aca="false">((AJ34*(1-Assumptions!$G$27))+(AJ33*Assumptions!$G$26))</f>
        <v>59255.0837681066</v>
      </c>
      <c r="AL34" s="17" t="n">
        <f aca="false">((AK34*(1-Assumptions!$G$27))+(AK33*Assumptions!$G$26))</f>
        <v>64526.4130080449</v>
      </c>
    </row>
    <row r="35" customFormat="false" ht="15" hidden="false" customHeight="false" outlineLevel="0" collapsed="false">
      <c r="A35" s="6" t="s">
        <v>400</v>
      </c>
      <c r="B35" s="2" t="s">
        <v>401</v>
      </c>
      <c r="C35" s="17" t="n">
        <f aca="false">(C33+C34)</f>
        <v>2251.3</v>
      </c>
      <c r="D35" s="17" t="n">
        <f aca="false">(D33+D34)</f>
        <v>2964.531</v>
      </c>
      <c r="E35" s="17" t="n">
        <f aca="false">(E33+E34)</f>
        <v>3676.53277614741</v>
      </c>
      <c r="F35" s="17" t="n">
        <f aca="false">(F33+F34)</f>
        <v>4617.66166360823</v>
      </c>
      <c r="G35" s="17" t="n">
        <f aca="false">(G33+G34)</f>
        <v>5467.63718353439</v>
      </c>
      <c r="H35" s="17" t="n">
        <f aca="false">(H33+H34)</f>
        <v>6364.24387511935</v>
      </c>
      <c r="I35" s="17" t="n">
        <f aca="false">(I33+I34)</f>
        <v>7316.08274185943</v>
      </c>
      <c r="J35" s="17" t="n">
        <f aca="false">(J33+J34)</f>
        <v>8329.27506516279</v>
      </c>
      <c r="K35" s="17" t="n">
        <f aca="false">(K33+K34)</f>
        <v>9410.34704073329</v>
      </c>
      <c r="L35" s="17" t="n">
        <f aca="false">(L33+L34)</f>
        <v>10566.338684158</v>
      </c>
      <c r="M35" s="17" t="n">
        <f aca="false">(M33+M34)</f>
        <v>11804.8542028116</v>
      </c>
      <c r="N35" s="17" t="n">
        <f aca="false">(N33+N34)</f>
        <v>13134.1151672936</v>
      </c>
      <c r="O35" s="17" t="n">
        <f aca="false">(O33+O34)</f>
        <v>14563.0182339741</v>
      </c>
      <c r="P35" s="17" t="n">
        <f aca="false">(P33+P34)</f>
        <v>16100.2461741272</v>
      </c>
      <c r="Q35" s="17" t="n">
        <f aca="false">(Q33+Q34)</f>
        <v>17756.861069532</v>
      </c>
      <c r="R35" s="17" t="n">
        <f aca="false">(R33+R34)</f>
        <v>19544.1960064238</v>
      </c>
      <c r="S35" s="17" t="n">
        <f aca="false">(S33+S34)</f>
        <v>21474.4338239647</v>
      </c>
      <c r="T35" s="17" t="n">
        <f aca="false">(T33+T34)</f>
        <v>23560.938004115</v>
      </c>
      <c r="U35" s="17" t="n">
        <f aca="false">(U33+U34)</f>
        <v>25818.1609350355</v>
      </c>
      <c r="V35" s="17" t="n">
        <f aca="false">(V33+V34)</f>
        <v>28261.7976549213</v>
      </c>
      <c r="W35" s="17" t="n">
        <f aca="false">(W33+W34)</f>
        <v>30908.9009532467</v>
      </c>
      <c r="X35" s="17" t="n">
        <f aca="false">(X33+X34)</f>
        <v>33778.0041765513</v>
      </c>
      <c r="Y35" s="17" t="n">
        <f aca="false">(Y33+Y34)</f>
        <v>36889.2548229584</v>
      </c>
      <c r="Z35" s="17" t="n">
        <f aca="false">(Z33+Z34)</f>
        <v>40264.559977908</v>
      </c>
      <c r="AA35" s="17" t="n">
        <f aca="false">(AA33+AA34)</f>
        <v>43927.7446579947</v>
      </c>
      <c r="AB35" s="17" t="n">
        <f aca="false">(AB33+AB34)</f>
        <v>47904.2313711401</v>
      </c>
      <c r="AC35" s="17" t="n">
        <f aca="false">(AC33+AC34)</f>
        <v>52222.535892209</v>
      </c>
      <c r="AD35" s="17" t="n">
        <f aca="false">(AD33+AD34)</f>
        <v>56913.3408503715</v>
      </c>
      <c r="AE35" s="17" t="n">
        <f aca="false">(AE33+AE34)</f>
        <v>62009.9766016036</v>
      </c>
      <c r="AF35" s="17" t="n">
        <f aca="false">(AF33+AF34)</f>
        <v>67548.7897347787</v>
      </c>
      <c r="AG35" s="17" t="n">
        <f aca="false">(AG33+AG34)</f>
        <v>73569.3102363657</v>
      </c>
      <c r="AH35" s="17" t="n">
        <f aca="false">(AH33+AH34)</f>
        <v>80114.5650685517</v>
      </c>
      <c r="AI35" s="17" t="n">
        <f aca="false">(AI33+AI34)</f>
        <v>87231.3926486739</v>
      </c>
      <c r="AJ35" s="17" t="n">
        <f aca="false">(AJ33+AJ34)</f>
        <v>94970.7841258839</v>
      </c>
      <c r="AK35" s="17" t="n">
        <f aca="false">(AK33+AK34)</f>
        <v>103388.25509823</v>
      </c>
      <c r="AL35" s="17" t="n">
        <f aca="false">(AL33+AL34)</f>
        <v>112544.250543345</v>
      </c>
    </row>
    <row r="36" customFormat="false" ht="15" hidden="false" customHeight="false" outlineLevel="0" collapsed="false">
      <c r="A36" s="21" t="s">
        <v>402</v>
      </c>
      <c r="B36" s="2" t="s">
        <v>403</v>
      </c>
      <c r="C36" s="22" t="n">
        <f aca="false">(C35+C29)</f>
        <v>2350</v>
      </c>
      <c r="D36" s="22" t="n">
        <f aca="false">(D35+D29)</f>
        <v>3170.22951104414</v>
      </c>
      <c r="E36" s="22" t="n">
        <f aca="false">(E35+E29)</f>
        <v>3996.32812034628</v>
      </c>
      <c r="F36" s="22" t="n">
        <f aca="false">(F35+F29)</f>
        <v>5067.89462995571</v>
      </c>
      <c r="G36" s="22" t="n">
        <f aca="false">(G35+G29)</f>
        <v>6057.7496578069</v>
      </c>
      <c r="H36" s="22" t="n">
        <f aca="false">(H35+H29)</f>
        <v>7104.54645228294</v>
      </c>
      <c r="I36" s="22" t="n">
        <f aca="false">(I35+I29)</f>
        <v>8217.99287855672</v>
      </c>
      <c r="J36" s="22" t="n">
        <f aca="false">(J35+J29)</f>
        <v>9405.39476389099</v>
      </c>
      <c r="K36" s="22" t="n">
        <f aca="false">(K35+K29)</f>
        <v>10674.5459079755</v>
      </c>
      <c r="L36" s="22" t="n">
        <f aca="false">(L35+L29)</f>
        <v>12033.8466004571</v>
      </c>
      <c r="M36" s="22" t="n">
        <f aca="false">(M35+M29)</f>
        <v>13492.3642923505</v>
      </c>
      <c r="N36" s="22" t="n">
        <f aca="false">(N35+N29)</f>
        <v>15059.897755225</v>
      </c>
      <c r="O36" s="22" t="n">
        <f aca="false">(O35+O29)</f>
        <v>16713.9327143155</v>
      </c>
      <c r="P36" s="22" t="n">
        <f aca="false">(P35+P29)</f>
        <v>18494.1973494306</v>
      </c>
      <c r="Q36" s="22" t="n">
        <f aca="false">(Q35+Q29)</f>
        <v>20414.1364827967</v>
      </c>
      <c r="R36" s="22" t="n">
        <f aca="false">(R35+R29)</f>
        <v>22484.1441524747</v>
      </c>
      <c r="S36" s="22" t="n">
        <f aca="false">(S35+S29)</f>
        <v>24720.9561916745</v>
      </c>
      <c r="T36" s="22" t="n">
        <f aca="false">(T35+T29)</f>
        <v>27140.1684859522</v>
      </c>
      <c r="U36" s="22" t="n">
        <f aca="false">(U35+U29)</f>
        <v>29758.5951607577</v>
      </c>
      <c r="V36" s="22" t="n">
        <f aca="false">(V35+V29)</f>
        <v>32594.4941320468</v>
      </c>
      <c r="W36" s="22" t="n">
        <f aca="false">(W35+W29)</f>
        <v>35667.7021307295</v>
      </c>
      <c r="X36" s="22" t="n">
        <f aca="false">(X35+X29)</f>
        <v>38999.7778285216</v>
      </c>
      <c r="Y36" s="22" t="n">
        <f aca="false">(Y35+Y29)</f>
        <v>42614.157468821</v>
      </c>
      <c r="Z36" s="22" t="n">
        <f aca="false">(Z35+Z29)</f>
        <v>46536.32424455</v>
      </c>
      <c r="AA36" s="22" t="n">
        <f aca="false">(AA35+AA29)</f>
        <v>50776.8440360229</v>
      </c>
      <c r="AB36" s="22" t="n">
        <f aca="false">(AB35+AB29)</f>
        <v>55380.5084516586</v>
      </c>
      <c r="AC36" s="22" t="n">
        <f aca="false">(AC35+AC29)</f>
        <v>60380.6407338166</v>
      </c>
      <c r="AD36" s="22" t="n">
        <f aca="false">(AD35+AD29)</f>
        <v>65811.3300088855</v>
      </c>
      <c r="AE36" s="22" t="n">
        <f aca="false">(AE35+AE29)</f>
        <v>71712.5065588048</v>
      </c>
      <c r="AF36" s="22" t="n">
        <f aca="false">(AF35+AF29)</f>
        <v>78126.293027514</v>
      </c>
      <c r="AG36" s="22" t="n">
        <f aca="false">(AG35+AG29)</f>
        <v>85098.4749307317</v>
      </c>
      <c r="AH36" s="22" t="n">
        <f aca="false">(AH35+AH29)</f>
        <v>92678.8881070094</v>
      </c>
      <c r="AI36" s="22" t="n">
        <f aca="false">(AI35+AI29)</f>
        <v>100921.783455316</v>
      </c>
      <c r="AJ36" s="22" t="n">
        <f aca="false">(AJ35+AJ29)</f>
        <v>109886.222265405</v>
      </c>
      <c r="AK36" s="22" t="n">
        <f aca="false">(AK35+AK29)</f>
        <v>119636.506788719</v>
      </c>
      <c r="AL36" s="22" t="n">
        <f aca="false">(AL35+AL29)</f>
        <v>130242.649269898</v>
      </c>
    </row>
    <row r="37" customFormat="false" ht="15" hidden="false" customHeight="false" outlineLevel="0" collapsed="false">
      <c r="A37" s="6" t="s">
        <v>404</v>
      </c>
      <c r="B37" s="2" t="s">
        <v>405</v>
      </c>
      <c r="C37" s="16" t="n">
        <f aca="false">IF(C36=0,0,C29/C36)</f>
        <v>0.042</v>
      </c>
      <c r="D37" s="16" t="n">
        <f aca="false">IF(D36=0,0,D29/D36)</f>
        <v>0.0648844225086995</v>
      </c>
      <c r="E37" s="16" t="n">
        <f aca="false">IF(E36=0,0,E29/E36)</f>
        <v>0.0800222941081129</v>
      </c>
      <c r="F37" s="16" t="n">
        <f aca="false">IF(F36=0,0,F29/F36)</f>
        <v>0.0888402382492724</v>
      </c>
      <c r="G37" s="16" t="n">
        <f aca="false">IF(G36=0,0,G29/G36)</f>
        <v>0.097414470324307</v>
      </c>
      <c r="H37" s="16" t="n">
        <f aca="false">IF(H36=0,0,H29/H36)</f>
        <v>0.104201243828268</v>
      </c>
      <c r="I37" s="16" t="n">
        <f aca="false">IF(I36=0,0,I29/I36)</f>
        <v>0.109748225634346</v>
      </c>
      <c r="J37" s="16" t="n">
        <f aca="false">IF(J36=0,0,J29/J36)</f>
        <v>0.114415154891704</v>
      </c>
      <c r="K37" s="16" t="n">
        <f aca="false">IF(K36=0,0,K29/K36)</f>
        <v>0.118431161207303</v>
      </c>
      <c r="L37" s="16" t="n">
        <f aca="false">IF(L36=0,0,L29/L36)</f>
        <v>0.121948364893009</v>
      </c>
      <c r="M37" s="16" t="n">
        <f aca="false">IF(M36=0,0,M29/M36)</f>
        <v>0.125071488804642</v>
      </c>
      <c r="N37" s="16" t="n">
        <f aca="false">IF(N36=0,0,N29/N36)</f>
        <v>0.127874877986029</v>
      </c>
      <c r="O37" s="16" t="n">
        <f aca="false">IF(O36=0,0,O29/O36)</f>
        <v>0.12868990901819</v>
      </c>
      <c r="P37" s="16" t="n">
        <f aca="false">IF(P36=0,0,P29/P36)</f>
        <v>0.129443367023284</v>
      </c>
      <c r="Q37" s="16" t="n">
        <f aca="false">IF(Q36=0,0,Q29/Q36)</f>
        <v>0.130168396566958</v>
      </c>
      <c r="R37" s="16" t="n">
        <f aca="false">IF(R36=0,0,R29/R36)</f>
        <v>0.130756506723753</v>
      </c>
      <c r="S37" s="16" t="n">
        <f aca="false">IF(S36=0,0,S29/S36)</f>
        <v>0.131326731156264</v>
      </c>
      <c r="T37" s="16" t="n">
        <f aca="false">IF(T36=0,0,T29/T36)</f>
        <v>0.131879449594791</v>
      </c>
      <c r="U37" s="16" t="n">
        <f aca="false">IF(U36=0,0,U29/U36)</f>
        <v>0.132413314688944</v>
      </c>
      <c r="V37" s="16" t="n">
        <f aca="false">IF(V36=0,0,V29/V36)</f>
        <v>0.132927250215109</v>
      </c>
      <c r="W37" s="16" t="n">
        <f aca="false">IF(W36=0,0,W29/W36)</f>
        <v>0.13342045865587</v>
      </c>
      <c r="X37" s="16" t="n">
        <f aca="false">IF(X36=0,0,X29/X36)</f>
        <v>0.133892394847221</v>
      </c>
      <c r="Y37" s="16" t="n">
        <f aca="false">IF(Y36=0,0,Y29/Y36)</f>
        <v>0.13434273926573</v>
      </c>
      <c r="Z37" s="16" t="n">
        <f aca="false">IF(Z36=0,0,Z29/Z36)</f>
        <v>0.134771372007891</v>
      </c>
      <c r="AA37" s="16" t="n">
        <f aca="false">IF(AA36=0,0,AA29/AA36)</f>
        <v>0.134886275585957</v>
      </c>
      <c r="AB37" s="16" t="n">
        <f aca="false">IF(AB36=0,0,AB29/AB36)</f>
        <v>0.134998346702514</v>
      </c>
      <c r="AC37" s="16" t="n">
        <f aca="false">IF(AC36=0,0,AC29/AC36)</f>
        <v>0.135111266499672</v>
      </c>
      <c r="AD37" s="16" t="n">
        <f aca="false">IF(AD36=0,0,AD29/AD36)</f>
        <v>0.135204518086971</v>
      </c>
      <c r="AE37" s="16" t="n">
        <f aca="false">IF(AE36=0,0,AE29/AE36)</f>
        <v>0.13529759902124</v>
      </c>
      <c r="AF37" s="16" t="n">
        <f aca="false">IF(AF36=0,0,AF29/AF36)</f>
        <v>0.135389801343962</v>
      </c>
      <c r="AG37" s="16" t="n">
        <f aca="false">IF(AG36=0,0,AG29/AG36)</f>
        <v>0.135480273926771</v>
      </c>
      <c r="AH37" s="16" t="n">
        <f aca="false">IF(AH36=0,0,AH29/AH36)</f>
        <v>0.135568340266993</v>
      </c>
      <c r="AI37" s="16" t="n">
        <f aca="false">IF(AI36=0,0,AI29/AI36)</f>
        <v>0.135653476761073</v>
      </c>
      <c r="AJ37" s="16" t="n">
        <f aca="false">IF(AJ36=0,0,AJ29/AJ36)</f>
        <v>0.135735289029191</v>
      </c>
      <c r="AK37" s="16" t="n">
        <f aca="false">IF(AK36=0,0,AK29/AK36)</f>
        <v>0.135813491438557</v>
      </c>
      <c r="AL37" s="16" t="n">
        <f aca="false">IF(AL36=0,0,AL29/AL36)</f>
        <v>0.135887889456834</v>
      </c>
    </row>
    <row r="39" customFormat="false" ht="15" hidden="false" customHeight="false" outlineLevel="0" collapsed="false">
      <c r="A39" s="4" t="s">
        <v>406</v>
      </c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</row>
    <row r="40" customFormat="false" ht="15" hidden="false" customHeight="false" outlineLevel="0" collapsed="false">
      <c r="A40" s="6" t="s">
        <v>407</v>
      </c>
      <c r="B40" s="2" t="s">
        <v>408</v>
      </c>
      <c r="C40" s="17" t="n">
        <f aca="false">IF(AND((Assumptions!$G$5=1),(C$2&gt;=Assumptions!$G$46)),(C35*Assumptions!$G$47),0)</f>
        <v>0</v>
      </c>
      <c r="D40" s="17" t="n">
        <f aca="false">IF(AND((Assumptions!$G$5=1),(D$2&gt;=Assumptions!$G$46)),(D35*Assumptions!$G$47),0)</f>
        <v>0</v>
      </c>
      <c r="E40" s="17" t="n">
        <f aca="false">IF(AND((Assumptions!$G$5=1),(E$2&gt;=Assumptions!$G$46)),(E35*Assumptions!$G$47),0)</f>
        <v>0</v>
      </c>
      <c r="F40" s="17" t="n">
        <f aca="false">IF(AND((Assumptions!$G$5=1),(F$2&gt;=Assumptions!$G$46)),(F35*Assumptions!$G$47),0)</f>
        <v>3694.12933088659</v>
      </c>
      <c r="G40" s="17" t="n">
        <f aca="false">IF(AND((Assumptions!$G$5=1),(G$2&gt;=Assumptions!$G$46)),(G35*Assumptions!$G$47),0)</f>
        <v>4374.10974682751</v>
      </c>
      <c r="H40" s="17" t="n">
        <f aca="false">IF(AND((Assumptions!$G$5=1),(H$2&gt;=Assumptions!$G$46)),(H35*Assumptions!$G$47),0)</f>
        <v>5091.39510009548</v>
      </c>
      <c r="I40" s="17" t="n">
        <f aca="false">IF(AND((Assumptions!$G$5=1),(I$2&gt;=Assumptions!$G$46)),(I35*Assumptions!$G$47),0)</f>
        <v>5852.86619348755</v>
      </c>
      <c r="J40" s="17" t="n">
        <f aca="false">IF(AND((Assumptions!$G$5=1),(J$2&gt;=Assumptions!$G$46)),(J35*Assumptions!$G$47),0)</f>
        <v>6663.42005213023</v>
      </c>
      <c r="K40" s="17" t="n">
        <f aca="false">IF(AND((Assumptions!$G$5=1),(K$2&gt;=Assumptions!$G$46)),(K35*Assumptions!$G$47),0)</f>
        <v>7528.27763258663</v>
      </c>
      <c r="L40" s="17" t="n">
        <f aca="false">IF(AND((Assumptions!$G$5=1),(L$2&gt;=Assumptions!$G$46)),(L35*Assumptions!$G$47),0)</f>
        <v>8453.07094732643</v>
      </c>
      <c r="M40" s="17" t="n">
        <f aca="false">IF(AND((Assumptions!$G$5=1),(M$2&gt;=Assumptions!$G$46)),(M35*Assumptions!$G$47),0)</f>
        <v>9443.8833622493</v>
      </c>
      <c r="N40" s="17" t="n">
        <f aca="false">IF(AND((Assumptions!$G$5=1),(N$2&gt;=Assumptions!$G$46)),(N35*Assumptions!$G$47),0)</f>
        <v>10507.2921338349</v>
      </c>
      <c r="O40" s="17" t="n">
        <f aca="false">IF(AND((Assumptions!$G$5=1),(O$2&gt;=Assumptions!$G$46)),(O35*Assumptions!$G$47),0)</f>
        <v>11650.4145871793</v>
      </c>
      <c r="P40" s="17" t="n">
        <f aca="false">IF(AND((Assumptions!$G$5=1),(P$2&gt;=Assumptions!$G$46)),(P35*Assumptions!$G$47),0)</f>
        <v>12880.1969393018</v>
      </c>
      <c r="Q40" s="17" t="n">
        <f aca="false">IF(AND((Assumptions!$G$5=1),(Q$2&gt;=Assumptions!$G$46)),(Q35*Assumptions!$G$47),0)</f>
        <v>14205.4888556256</v>
      </c>
      <c r="R40" s="17" t="n">
        <f aca="false">IF(AND((Assumptions!$G$5=1),(R$2&gt;=Assumptions!$G$46)),(R35*Assumptions!$G$47),0)</f>
        <v>15635.356805139</v>
      </c>
      <c r="S40" s="17" t="n">
        <f aca="false">IF(AND((Assumptions!$G$5=1),(S$2&gt;=Assumptions!$G$46)),(S35*Assumptions!$G$47),0)</f>
        <v>17179.5470591718</v>
      </c>
      <c r="T40" s="17" t="n">
        <f aca="false">IF(AND((Assumptions!$G$5=1),(T$2&gt;=Assumptions!$G$46)),(T35*Assumptions!$G$47),0)</f>
        <v>18848.750403292</v>
      </c>
      <c r="U40" s="17" t="n">
        <f aca="false">IF(AND((Assumptions!$G$5=1),(U$2&gt;=Assumptions!$G$46)),(U35*Assumptions!$G$47),0)</f>
        <v>20654.5287480284</v>
      </c>
      <c r="V40" s="17" t="n">
        <f aca="false">IF(AND((Assumptions!$G$5=1),(V$2&gt;=Assumptions!$G$46)),(V35*Assumptions!$G$47),0)</f>
        <v>22609.4381239371</v>
      </c>
      <c r="W40" s="17" t="n">
        <f aca="false">IF(AND((Assumptions!$G$5=1),(W$2&gt;=Assumptions!$G$46)),(W35*Assumptions!$G$47),0)</f>
        <v>24727.1207625973</v>
      </c>
      <c r="X40" s="17" t="n">
        <f aca="false">IF(AND((Assumptions!$G$5=1),(X$2&gt;=Assumptions!$G$46)),(X35*Assumptions!$G$47),0)</f>
        <v>27022.4033412411</v>
      </c>
      <c r="Y40" s="17" t="n">
        <f aca="false">IF(AND((Assumptions!$G$5=1),(Y$2&gt;=Assumptions!$G$46)),(Y35*Assumptions!$G$47),0)</f>
        <v>29511.4038583668</v>
      </c>
      <c r="Z40" s="17" t="n">
        <f aca="false">IF(AND((Assumptions!$G$5=1),(Z$2&gt;=Assumptions!$G$46)),(Z35*Assumptions!$G$47),0)</f>
        <v>32211.6479823264</v>
      </c>
      <c r="AA40" s="17" t="n">
        <f aca="false">IF(AND((Assumptions!$G$5=1),(AA$2&gt;=Assumptions!$G$46)),(AA35*Assumptions!$G$47),0)</f>
        <v>35142.1957263958</v>
      </c>
      <c r="AB40" s="17" t="n">
        <f aca="false">IF(AND((Assumptions!$G$5=1),(AB$2&gt;=Assumptions!$G$46)),(AB35*Assumptions!$G$47),0)</f>
        <v>38323.3850969121</v>
      </c>
      <c r="AC40" s="17" t="n">
        <f aca="false">IF(AND((Assumptions!$G$5=1),(AC$2&gt;=Assumptions!$G$46)),(AC35*Assumptions!$G$47),0)</f>
        <v>41778.0287137672</v>
      </c>
      <c r="AD40" s="17" t="n">
        <f aca="false">IF(AND((Assumptions!$G$5=1),(AD$2&gt;=Assumptions!$G$46)),(AD35*Assumptions!$G$47),0)</f>
        <v>45530.6726802972</v>
      </c>
      <c r="AE40" s="17" t="n">
        <f aca="false">IF(AND((Assumptions!$G$5=1),(AE$2&gt;=Assumptions!$G$46)),(AE35*Assumptions!$G$47),0)</f>
        <v>49607.9812812829</v>
      </c>
      <c r="AF40" s="17" t="n">
        <f aca="false">IF(AND((Assumptions!$G$5=1),(AF$2&gt;=Assumptions!$G$46)),(AF35*Assumptions!$G$47),0)</f>
        <v>54039.031787823</v>
      </c>
      <c r="AG40" s="17" t="n">
        <f aca="false">IF(AND((Assumptions!$G$5=1),(AG$2&gt;=Assumptions!$G$46)),(AG35*Assumptions!$G$47),0)</f>
        <v>58855.4481890926</v>
      </c>
      <c r="AH40" s="17" t="n">
        <f aca="false">IF(AND((Assumptions!$G$5=1),(AH$2&gt;=Assumptions!$G$46)),(AH35*Assumptions!$G$47),0)</f>
        <v>64091.6520548414</v>
      </c>
      <c r="AI40" s="17" t="n">
        <f aca="false">IF(AND((Assumptions!$G$5=1),(AI$2&gt;=Assumptions!$G$46)),(AI35*Assumptions!$G$47),0)</f>
        <v>69785.1141189392</v>
      </c>
      <c r="AJ40" s="17" t="n">
        <f aca="false">IF(AND((Assumptions!$G$5=1),(AJ$2&gt;=Assumptions!$G$46)),(AJ35*Assumptions!$G$47),0)</f>
        <v>75976.6273007071</v>
      </c>
      <c r="AK40" s="17" t="n">
        <f aca="false">IF(AND((Assumptions!$G$5=1),(AK$2&gt;=Assumptions!$G$46)),(AK35*Assumptions!$G$47),0)</f>
        <v>82710.6040785841</v>
      </c>
      <c r="AL40" s="17" t="n">
        <f aca="false">IF(AND((Assumptions!$G$5=1),(AL$2&gt;=Assumptions!$G$46)),(AL35*Assumptions!$G$47),0)</f>
        <v>90035.4004346763</v>
      </c>
    </row>
    <row r="41" customFormat="false" ht="15" hidden="false" customHeight="false" outlineLevel="0" collapsed="false">
      <c r="A41" s="6" t="s">
        <v>409</v>
      </c>
      <c r="B41" s="2" t="s">
        <v>142</v>
      </c>
      <c r="C41" s="17" t="n">
        <f aca="false">(C40*Assumptions!$G$48)</f>
        <v>0</v>
      </c>
      <c r="D41" s="17" t="n">
        <f aca="false">(D40*Assumptions!$G$48)</f>
        <v>0</v>
      </c>
      <c r="E41" s="17" t="n">
        <f aca="false">(E40*Assumptions!$G$48)</f>
        <v>0</v>
      </c>
      <c r="F41" s="17" t="n">
        <f aca="false">(F40*Assumptions!$G$48)</f>
        <v>44329.5519706391</v>
      </c>
      <c r="G41" s="17" t="n">
        <f aca="false">(G40*Assumptions!$G$48)</f>
        <v>52489.3169619302</v>
      </c>
      <c r="H41" s="17" t="n">
        <f aca="false">(H40*Assumptions!$G$48)</f>
        <v>61096.7412011458</v>
      </c>
      <c r="I41" s="17" t="n">
        <f aca="false">(I40*Assumptions!$G$48)</f>
        <v>70234.3943218505</v>
      </c>
      <c r="J41" s="17" t="n">
        <f aca="false">(J40*Assumptions!$G$48)</f>
        <v>79961.0406255628</v>
      </c>
      <c r="K41" s="17" t="n">
        <f aca="false">(K40*Assumptions!$G$48)</f>
        <v>90339.3315910396</v>
      </c>
      <c r="L41" s="17" t="n">
        <f aca="false">(L40*Assumptions!$G$48)</f>
        <v>101436.851367917</v>
      </c>
      <c r="M41" s="17" t="n">
        <f aca="false">(M40*Assumptions!$G$48)</f>
        <v>113326.600346992</v>
      </c>
      <c r="N41" s="17" t="n">
        <f aca="false">(N40*Assumptions!$G$48)</f>
        <v>126087.505606018</v>
      </c>
      <c r="O41" s="17" t="n">
        <f aca="false">(O40*Assumptions!$G$48)</f>
        <v>139804.975046151</v>
      </c>
      <c r="P41" s="17" t="n">
        <f aca="false">(P40*Assumptions!$G$48)</f>
        <v>154562.363271621</v>
      </c>
      <c r="Q41" s="17" t="n">
        <f aca="false">(Q40*Assumptions!$G$48)</f>
        <v>170465.866267507</v>
      </c>
      <c r="R41" s="17" t="n">
        <f aca="false">(R40*Assumptions!$G$48)</f>
        <v>187624.281661669</v>
      </c>
      <c r="S41" s="17" t="n">
        <f aca="false">(S40*Assumptions!$G$48)</f>
        <v>206154.564710061</v>
      </c>
      <c r="T41" s="17" t="n">
        <f aca="false">(T40*Assumptions!$G$48)</f>
        <v>226185.004839504</v>
      </c>
      <c r="U41" s="17" t="n">
        <f aca="false">(U40*Assumptions!$G$48)</f>
        <v>247854.34497634</v>
      </c>
      <c r="V41" s="17" t="n">
        <f aca="false">(V40*Assumptions!$G$48)</f>
        <v>271313.257487245</v>
      </c>
      <c r="W41" s="17" t="n">
        <f aca="false">(W40*Assumptions!$G$48)</f>
        <v>296725.449151168</v>
      </c>
      <c r="X41" s="17" t="n">
        <f aca="false">(X40*Assumptions!$G$48)</f>
        <v>324268.840094893</v>
      </c>
      <c r="Y41" s="17" t="n">
        <f aca="false">(Y40*Assumptions!$G$48)</f>
        <v>354136.846300401</v>
      </c>
      <c r="Z41" s="17" t="n">
        <f aca="false">(Z40*Assumptions!$G$48)</f>
        <v>386539.775787916</v>
      </c>
      <c r="AA41" s="17" t="n">
        <f aca="false">(AA40*Assumptions!$G$48)</f>
        <v>421706.348716749</v>
      </c>
      <c r="AB41" s="17" t="n">
        <f aca="false">(AB40*Assumptions!$G$48)</f>
        <v>459880.621162945</v>
      </c>
      <c r="AC41" s="17" t="n">
        <f aca="false">(AC40*Assumptions!$G$48)</f>
        <v>501336.344565206</v>
      </c>
      <c r="AD41" s="17" t="n">
        <f aca="false">(AD40*Assumptions!$G$48)</f>
        <v>546368.072163567</v>
      </c>
      <c r="AE41" s="17" t="n">
        <f aca="false">(AE40*Assumptions!$G$48)</f>
        <v>595295.775375394</v>
      </c>
      <c r="AF41" s="17" t="n">
        <f aca="false">(AF40*Assumptions!$G$48)</f>
        <v>648468.381453876</v>
      </c>
      <c r="AG41" s="17" t="n">
        <f aca="false">(AG40*Assumptions!$G$48)</f>
        <v>706265.378269111</v>
      </c>
      <c r="AH41" s="17" t="n">
        <f aca="false">(AH40*Assumptions!$G$48)</f>
        <v>769099.824658097</v>
      </c>
      <c r="AI41" s="17" t="n">
        <f aca="false">(AI40*Assumptions!$G$48)</f>
        <v>837421.36942727</v>
      </c>
      <c r="AJ41" s="17" t="n">
        <f aca="false">(AJ40*Assumptions!$G$48)</f>
        <v>911719.527608486</v>
      </c>
      <c r="AK41" s="17" t="n">
        <f aca="false">(AK40*Assumptions!$G$48)</f>
        <v>992527.248943009</v>
      </c>
      <c r="AL41" s="17" t="n">
        <f aca="false">(AL40*Assumptions!$G$48)</f>
        <v>1080424.80521612</v>
      </c>
    </row>
    <row r="42" customFormat="false" ht="15" hidden="false" customHeight="false" outlineLevel="0" collapsed="false">
      <c r="A42" s="6" t="s">
        <v>410</v>
      </c>
      <c r="B42" s="2" t="s">
        <v>145</v>
      </c>
      <c r="C42" s="17" t="n">
        <f aca="false">(C40*Assumptions!$G$49)</f>
        <v>0</v>
      </c>
      <c r="D42" s="17" t="n">
        <f aca="false">(D40*Assumptions!$G$49)</f>
        <v>0</v>
      </c>
      <c r="E42" s="17" t="n">
        <f aca="false">(E40*Assumptions!$G$49)</f>
        <v>0</v>
      </c>
      <c r="F42" s="17" t="n">
        <f aca="false">(F40*Assumptions!$G$49)</f>
        <v>22164.7759853195</v>
      </c>
      <c r="G42" s="17" t="n">
        <f aca="false">(G40*Assumptions!$G$49)</f>
        <v>26244.6584809651</v>
      </c>
      <c r="H42" s="17" t="n">
        <f aca="false">(H40*Assumptions!$G$49)</f>
        <v>30548.3706005729</v>
      </c>
      <c r="I42" s="17" t="n">
        <f aca="false">(I40*Assumptions!$G$49)</f>
        <v>35117.1971609253</v>
      </c>
      <c r="J42" s="17" t="n">
        <f aca="false">(J40*Assumptions!$G$49)</f>
        <v>39980.5203127814</v>
      </c>
      <c r="K42" s="17" t="n">
        <f aca="false">(K40*Assumptions!$G$49)</f>
        <v>45169.6657955198</v>
      </c>
      <c r="L42" s="17" t="n">
        <f aca="false">(L40*Assumptions!$G$49)</f>
        <v>50718.4256839586</v>
      </c>
      <c r="M42" s="17" t="n">
        <f aca="false">(M40*Assumptions!$G$49)</f>
        <v>56663.3001734958</v>
      </c>
      <c r="N42" s="17" t="n">
        <f aca="false">(N40*Assumptions!$G$49)</f>
        <v>63043.7528030091</v>
      </c>
      <c r="O42" s="17" t="n">
        <f aca="false">(O40*Assumptions!$G$49)</f>
        <v>69902.4875230755</v>
      </c>
      <c r="P42" s="17" t="n">
        <f aca="false">(P40*Assumptions!$G$49)</f>
        <v>77281.1816358105</v>
      </c>
      <c r="Q42" s="17" t="n">
        <f aca="false">(Q40*Assumptions!$G$49)</f>
        <v>85232.9331337536</v>
      </c>
      <c r="R42" s="17" t="n">
        <f aca="false">(R40*Assumptions!$G$49)</f>
        <v>93812.1408308343</v>
      </c>
      <c r="S42" s="17" t="n">
        <f aca="false">(S40*Assumptions!$G$49)</f>
        <v>103077.282355031</v>
      </c>
      <c r="T42" s="17" t="n">
        <f aca="false">(T40*Assumptions!$G$49)</f>
        <v>113092.502419752</v>
      </c>
      <c r="U42" s="17" t="n">
        <f aca="false">(U40*Assumptions!$G$49)</f>
        <v>123927.17248817</v>
      </c>
      <c r="V42" s="17" t="n">
        <f aca="false">(V40*Assumptions!$G$49)</f>
        <v>135656.628743622</v>
      </c>
      <c r="W42" s="17" t="n">
        <f aca="false">(W40*Assumptions!$G$49)</f>
        <v>148362.724575584</v>
      </c>
      <c r="X42" s="17" t="n">
        <f aca="false">(X40*Assumptions!$G$49)</f>
        <v>162134.420047446</v>
      </c>
      <c r="Y42" s="17" t="n">
        <f aca="false">(Y40*Assumptions!$G$49)</f>
        <v>177068.423150201</v>
      </c>
      <c r="Z42" s="17" t="n">
        <f aca="false">(Z40*Assumptions!$G$49)</f>
        <v>193269.887893958</v>
      </c>
      <c r="AA42" s="17" t="n">
        <f aca="false">(AA40*Assumptions!$G$49)</f>
        <v>210853.174358375</v>
      </c>
      <c r="AB42" s="17" t="n">
        <f aca="false">(AB40*Assumptions!$G$49)</f>
        <v>229940.310581472</v>
      </c>
      <c r="AC42" s="17" t="n">
        <f aca="false">(AC40*Assumptions!$G$49)</f>
        <v>250668.172282603</v>
      </c>
      <c r="AD42" s="17" t="n">
        <f aca="false">(AD40*Assumptions!$G$49)</f>
        <v>273184.036081783</v>
      </c>
      <c r="AE42" s="17" t="n">
        <f aca="false">(AE40*Assumptions!$G$49)</f>
        <v>297647.887687697</v>
      </c>
      <c r="AF42" s="17" t="n">
        <f aca="false">(AF40*Assumptions!$G$49)</f>
        <v>324234.190726938</v>
      </c>
      <c r="AG42" s="17" t="n">
        <f aca="false">(AG40*Assumptions!$G$49)</f>
        <v>353132.689134555</v>
      </c>
      <c r="AH42" s="17" t="n">
        <f aca="false">(AH40*Assumptions!$G$49)</f>
        <v>384549.912329048</v>
      </c>
      <c r="AI42" s="17" t="n">
        <f aca="false">(AI40*Assumptions!$G$49)</f>
        <v>418710.684713635</v>
      </c>
      <c r="AJ42" s="17" t="n">
        <f aca="false">(AJ40*Assumptions!$G$49)</f>
        <v>455859.763804243</v>
      </c>
      <c r="AK42" s="17" t="n">
        <f aca="false">(AK40*Assumptions!$G$49)</f>
        <v>496263.624471505</v>
      </c>
      <c r="AL42" s="17" t="n">
        <f aca="false">(AL40*Assumptions!$G$49)</f>
        <v>540212.402608058</v>
      </c>
    </row>
    <row r="43" customFormat="false" ht="15" hidden="false" customHeight="false" outlineLevel="0" collapsed="false">
      <c r="A43" s="6" t="s">
        <v>411</v>
      </c>
      <c r="B43" s="2" t="s">
        <v>147</v>
      </c>
      <c r="C43" s="17" t="n">
        <f aca="false">(C40*Assumptions!$G$50)</f>
        <v>0</v>
      </c>
      <c r="D43" s="17" t="n">
        <f aca="false">(D40*Assumptions!$G$50)</f>
        <v>0</v>
      </c>
      <c r="E43" s="17" t="n">
        <f aca="false">(E40*Assumptions!$G$50)</f>
        <v>0</v>
      </c>
      <c r="F43" s="17" t="n">
        <f aca="false">(F40*Assumptions!$G$50)</f>
        <v>7388.25866177318</v>
      </c>
      <c r="G43" s="17" t="n">
        <f aca="false">(G40*Assumptions!$G$50)</f>
        <v>8748.21949365503</v>
      </c>
      <c r="H43" s="17" t="n">
        <f aca="false">(H40*Assumptions!$G$50)</f>
        <v>10182.790200191</v>
      </c>
      <c r="I43" s="17" t="n">
        <f aca="false">(I40*Assumptions!$G$50)</f>
        <v>11705.7323869751</v>
      </c>
      <c r="J43" s="17" t="n">
        <f aca="false">(J40*Assumptions!$G$50)</f>
        <v>13326.8401042605</v>
      </c>
      <c r="K43" s="17" t="n">
        <f aca="false">(K40*Assumptions!$G$50)</f>
        <v>15056.5552651733</v>
      </c>
      <c r="L43" s="17" t="n">
        <f aca="false">(L40*Assumptions!$G$50)</f>
        <v>16906.1418946529</v>
      </c>
      <c r="M43" s="17" t="n">
        <f aca="false">(M40*Assumptions!$G$50)</f>
        <v>18887.7667244986</v>
      </c>
      <c r="N43" s="17" t="n">
        <f aca="false">(N40*Assumptions!$G$50)</f>
        <v>21014.5842676697</v>
      </c>
      <c r="O43" s="17" t="n">
        <f aca="false">(O40*Assumptions!$G$50)</f>
        <v>23300.8291743585</v>
      </c>
      <c r="P43" s="17" t="n">
        <f aca="false">(P40*Assumptions!$G$50)</f>
        <v>25760.3938786035</v>
      </c>
      <c r="Q43" s="17" t="n">
        <f aca="false">(Q40*Assumptions!$G$50)</f>
        <v>28410.9777112512</v>
      </c>
      <c r="R43" s="17" t="n">
        <f aca="false">(R40*Assumptions!$G$50)</f>
        <v>31270.7136102781</v>
      </c>
      <c r="S43" s="17" t="n">
        <f aca="false">(S40*Assumptions!$G$50)</f>
        <v>34359.0941183436</v>
      </c>
      <c r="T43" s="17" t="n">
        <f aca="false">(T40*Assumptions!$G$50)</f>
        <v>37697.5008065839</v>
      </c>
      <c r="U43" s="17" t="n">
        <f aca="false">(U40*Assumptions!$G$50)</f>
        <v>41309.0574960567</v>
      </c>
      <c r="V43" s="17" t="n">
        <f aca="false">(V40*Assumptions!$G$50)</f>
        <v>45218.8762478741</v>
      </c>
      <c r="W43" s="17" t="n">
        <f aca="false">(W40*Assumptions!$G$50)</f>
        <v>49454.2415251946</v>
      </c>
      <c r="X43" s="17" t="n">
        <f aca="false">(X40*Assumptions!$G$50)</f>
        <v>54044.8066824821</v>
      </c>
      <c r="Y43" s="17" t="n">
        <f aca="false">(Y40*Assumptions!$G$50)</f>
        <v>59022.8077167335</v>
      </c>
      <c r="Z43" s="17" t="n">
        <f aca="false">(Z40*Assumptions!$G$50)</f>
        <v>64423.2959646527</v>
      </c>
      <c r="AA43" s="17" t="n">
        <f aca="false">(AA40*Assumptions!$G$50)</f>
        <v>70284.3914527916</v>
      </c>
      <c r="AB43" s="17" t="n">
        <f aca="false">(AB40*Assumptions!$G$50)</f>
        <v>76646.7701938241</v>
      </c>
      <c r="AC43" s="17" t="n">
        <f aca="false">(AC40*Assumptions!$G$50)</f>
        <v>83556.0574275343</v>
      </c>
      <c r="AD43" s="17" t="n">
        <f aca="false">(AD40*Assumptions!$G$50)</f>
        <v>91061.3453605945</v>
      </c>
      <c r="AE43" s="17" t="n">
        <f aca="false">(AE40*Assumptions!$G$50)</f>
        <v>99215.9625625657</v>
      </c>
      <c r="AF43" s="17" t="n">
        <f aca="false">(AF40*Assumptions!$G$50)</f>
        <v>108078.063575646</v>
      </c>
      <c r="AG43" s="17" t="n">
        <f aca="false">(AG40*Assumptions!$G$50)</f>
        <v>117710.896378185</v>
      </c>
      <c r="AH43" s="17" t="n">
        <f aca="false">(AH40*Assumptions!$G$50)</f>
        <v>128183.304109683</v>
      </c>
      <c r="AI43" s="17" t="n">
        <f aca="false">(AI40*Assumptions!$G$50)</f>
        <v>139570.228237878</v>
      </c>
      <c r="AJ43" s="17" t="n">
        <f aca="false">(AJ40*Assumptions!$G$50)</f>
        <v>151953.254601414</v>
      </c>
      <c r="AK43" s="17" t="n">
        <f aca="false">(AK40*Assumptions!$G$50)</f>
        <v>165421.208157168</v>
      </c>
      <c r="AL43" s="17" t="n">
        <f aca="false">(AL40*Assumptions!$G$50)</f>
        <v>180070.800869353</v>
      </c>
    </row>
    <row r="44" customFormat="false" ht="15" hidden="false" customHeight="false" outlineLevel="0" collapsed="false">
      <c r="A44" s="6" t="s">
        <v>412</v>
      </c>
      <c r="B44" s="2" t="s">
        <v>413</v>
      </c>
      <c r="C44" s="17" t="n">
        <f aca="false">IF(AND((Assumptions!$G$6=1),(C$2&gt;=Assumptions!$G$56)),((C36/1000)*Assumptions!$G$57),0)</f>
        <v>0</v>
      </c>
      <c r="D44" s="17" t="n">
        <f aca="false">IF(AND((Assumptions!$G$6=1),(D$2&gt;=Assumptions!$G$56)),((D36/1000)*Assumptions!$G$57),0)</f>
        <v>0</v>
      </c>
      <c r="E44" s="17" t="n">
        <f aca="false">IF(AND((Assumptions!$G$6=1),(E$2&gt;=Assumptions!$G$56)),((E36/1000)*Assumptions!$G$57),0)</f>
        <v>0</v>
      </c>
      <c r="F44" s="17" t="n">
        <f aca="false">IF(AND((Assumptions!$G$6=1),(F$2&gt;=Assumptions!$G$56)),((F36/1000)*Assumptions!$G$57),0)</f>
        <v>0</v>
      </c>
      <c r="G44" s="17" t="n">
        <f aca="false">IF(AND((Assumptions!$G$6=1),(G$2&gt;=Assumptions!$G$56)),((G36/1000)*Assumptions!$G$57),0)</f>
        <v>0</v>
      </c>
      <c r="H44" s="17" t="n">
        <f aca="false">IF(AND((Assumptions!$G$6=1),(H$2&gt;=Assumptions!$G$56)),((H36/1000)*Assumptions!$G$57),0)</f>
        <v>0</v>
      </c>
      <c r="I44" s="17" t="n">
        <f aca="false">IF(AND((Assumptions!$G$6=1),(I$2&gt;=Assumptions!$G$56)),((I36/1000)*Assumptions!$G$57),0)</f>
        <v>82.1799287855672</v>
      </c>
      <c r="J44" s="17" t="n">
        <f aca="false">IF(AND((Assumptions!$G$6=1),(J$2&gt;=Assumptions!$G$56)),((J36/1000)*Assumptions!$G$57),0)</f>
        <v>94.05394763891</v>
      </c>
      <c r="K44" s="17" t="n">
        <f aca="false">IF(AND((Assumptions!$G$6=1),(K$2&gt;=Assumptions!$G$56)),((K36/1000)*Assumptions!$G$57),0)</f>
        <v>106.745459079755</v>
      </c>
      <c r="L44" s="17" t="n">
        <f aca="false">IF(AND((Assumptions!$G$6=1),(L$2&gt;=Assumptions!$G$56)),((L36/1000)*Assumptions!$G$57),0)</f>
        <v>120.338466004571</v>
      </c>
      <c r="M44" s="17" t="n">
        <f aca="false">IF(AND((Assumptions!$G$6=1),(M$2&gt;=Assumptions!$G$56)),((M36/1000)*Assumptions!$G$57),0)</f>
        <v>134.923642923505</v>
      </c>
      <c r="N44" s="17" t="n">
        <f aca="false">IF(AND((Assumptions!$G$6=1),(N$2&gt;=Assumptions!$G$56)),((N36/1000)*Assumptions!$G$57),0)</f>
        <v>150.59897755225</v>
      </c>
      <c r="O44" s="17" t="n">
        <f aca="false">IF(AND((Assumptions!$G$6=1),(O$2&gt;=Assumptions!$G$56)),((O36/1000)*Assumptions!$G$57),0)</f>
        <v>167.139327143155</v>
      </c>
      <c r="P44" s="17" t="n">
        <f aca="false">IF(AND((Assumptions!$G$6=1),(P$2&gt;=Assumptions!$G$56)),((P36/1000)*Assumptions!$G$57),0)</f>
        <v>184.941973494306</v>
      </c>
      <c r="Q44" s="17" t="n">
        <f aca="false">IF(AND((Assumptions!$G$6=1),(Q$2&gt;=Assumptions!$G$56)),((Q36/1000)*Assumptions!$G$57),0)</f>
        <v>204.141364827967</v>
      </c>
      <c r="R44" s="17" t="n">
        <f aca="false">IF(AND((Assumptions!$G$6=1),(R$2&gt;=Assumptions!$G$56)),((R36/1000)*Assumptions!$G$57),0)</f>
        <v>224.841441524747</v>
      </c>
      <c r="S44" s="17" t="n">
        <f aca="false">IF(AND((Assumptions!$G$6=1),(S$2&gt;=Assumptions!$G$56)),((S36/1000)*Assumptions!$G$57),0)</f>
        <v>247.209561916745</v>
      </c>
      <c r="T44" s="17" t="n">
        <f aca="false">IF(AND((Assumptions!$G$6=1),(T$2&gt;=Assumptions!$G$56)),((T36/1000)*Assumptions!$G$57),0)</f>
        <v>271.401684859522</v>
      </c>
      <c r="U44" s="17" t="n">
        <f aca="false">IF(AND((Assumptions!$G$6=1),(U$2&gt;=Assumptions!$G$56)),((U36/1000)*Assumptions!$G$57),0)</f>
        <v>297.585951607577</v>
      </c>
      <c r="V44" s="17" t="n">
        <f aca="false">IF(AND((Assumptions!$G$6=1),(V$2&gt;=Assumptions!$G$56)),((V36/1000)*Assumptions!$G$57),0)</f>
        <v>325.944941320468</v>
      </c>
      <c r="W44" s="17" t="n">
        <f aca="false">IF(AND((Assumptions!$G$6=1),(W$2&gt;=Assumptions!$G$56)),((W36/1000)*Assumptions!$G$57),0)</f>
        <v>356.677021307295</v>
      </c>
      <c r="X44" s="17" t="n">
        <f aca="false">IF(AND((Assumptions!$G$6=1),(X$2&gt;=Assumptions!$G$56)),((X36/1000)*Assumptions!$G$57),0)</f>
        <v>389.997778285216</v>
      </c>
      <c r="Y44" s="17" t="n">
        <f aca="false">IF(AND((Assumptions!$G$6=1),(Y$2&gt;=Assumptions!$G$56)),((Y36/1000)*Assumptions!$G$57),0)</f>
        <v>426.141574688211</v>
      </c>
      <c r="Z44" s="17" t="n">
        <f aca="false">IF(AND((Assumptions!$G$6=1),(Z$2&gt;=Assumptions!$G$56)),((Z36/1000)*Assumptions!$G$57),0)</f>
        <v>465.3632424455</v>
      </c>
      <c r="AA44" s="17" t="n">
        <f aca="false">IF(AND((Assumptions!$G$6=1),(AA$2&gt;=Assumptions!$G$56)),((AA36/1000)*Assumptions!$G$57),0)</f>
        <v>507.768440360229</v>
      </c>
      <c r="AB44" s="17" t="n">
        <f aca="false">IF(AND((Assumptions!$G$6=1),(AB$2&gt;=Assumptions!$G$56)),((AB36/1000)*Assumptions!$G$57),0)</f>
        <v>553.805084516586</v>
      </c>
      <c r="AC44" s="17" t="n">
        <f aca="false">IF(AND((Assumptions!$G$6=1),(AC$2&gt;=Assumptions!$G$56)),((AC36/1000)*Assumptions!$G$57),0)</f>
        <v>603.806407338166</v>
      </c>
      <c r="AD44" s="17" t="n">
        <f aca="false">IF(AND((Assumptions!$G$6=1),(AD$2&gt;=Assumptions!$G$56)),((AD36/1000)*Assumptions!$G$57),0)</f>
        <v>658.113300088855</v>
      </c>
      <c r="AE44" s="17" t="n">
        <f aca="false">IF(AND((Assumptions!$G$6=1),(AE$2&gt;=Assumptions!$G$56)),((AE36/1000)*Assumptions!$G$57),0)</f>
        <v>717.125065588048</v>
      </c>
      <c r="AF44" s="17" t="n">
        <f aca="false">IF(AND((Assumptions!$G$6=1),(AF$2&gt;=Assumptions!$G$56)),((AF36/1000)*Assumptions!$G$57),0)</f>
        <v>781.26293027514</v>
      </c>
      <c r="AG44" s="17" t="n">
        <f aca="false">IF(AND((Assumptions!$G$6=1),(AG$2&gt;=Assumptions!$G$56)),((AG36/1000)*Assumptions!$G$57),0)</f>
        <v>850.984749307317</v>
      </c>
      <c r="AH44" s="17" t="n">
        <f aca="false">IF(AND((Assumptions!$G$6=1),(AH$2&gt;=Assumptions!$G$56)),((AH36/1000)*Assumptions!$G$57),0)</f>
        <v>926.788881070094</v>
      </c>
      <c r="AI44" s="17" t="n">
        <f aca="false">IF(AND((Assumptions!$G$6=1),(AI$2&gt;=Assumptions!$G$56)),((AI36/1000)*Assumptions!$G$57),0)</f>
        <v>1009.21783455316</v>
      </c>
      <c r="AJ44" s="17" t="n">
        <f aca="false">IF(AND((Assumptions!$G$6=1),(AJ$2&gt;=Assumptions!$G$56)),((AJ36/1000)*Assumptions!$G$57),0)</f>
        <v>1098.86222265405</v>
      </c>
      <c r="AK44" s="17" t="n">
        <f aca="false">IF(AND((Assumptions!$G$6=1),(AK$2&gt;=Assumptions!$G$56)),((AK36/1000)*Assumptions!$G$57),0)</f>
        <v>1196.36506788719</v>
      </c>
      <c r="AL44" s="17" t="n">
        <f aca="false">IF(AND((Assumptions!$G$6=1),(AL$2&gt;=Assumptions!$G$56)),((AL36/1000)*Assumptions!$G$57),0)</f>
        <v>1302.42649269898</v>
      </c>
    </row>
    <row r="45" customFormat="false" ht="15" hidden="false" customHeight="false" outlineLevel="0" collapsed="false">
      <c r="A45" s="6" t="s">
        <v>414</v>
      </c>
      <c r="B45" s="2" t="s">
        <v>415</v>
      </c>
      <c r="C45" s="17" t="n">
        <f aca="false">(C44*Assumptions!$G$58)</f>
        <v>0</v>
      </c>
      <c r="D45" s="17" t="n">
        <f aca="false">(D44*Assumptions!$G$58)</f>
        <v>0</v>
      </c>
      <c r="E45" s="17" t="n">
        <f aca="false">(E44*Assumptions!$G$58)</f>
        <v>0</v>
      </c>
      <c r="F45" s="17" t="n">
        <f aca="false">(F44*Assumptions!$G$58)</f>
        <v>0</v>
      </c>
      <c r="G45" s="17" t="n">
        <f aca="false">(G44*Assumptions!$G$58)</f>
        <v>0</v>
      </c>
      <c r="H45" s="17" t="n">
        <f aca="false">(H44*Assumptions!$G$58)</f>
        <v>0</v>
      </c>
      <c r="I45" s="17" t="n">
        <f aca="false">(I44*Assumptions!$G$58)</f>
        <v>4.93079572713403</v>
      </c>
      <c r="J45" s="17" t="n">
        <f aca="false">(J44*Assumptions!$G$58)</f>
        <v>5.6432368583346</v>
      </c>
      <c r="K45" s="17" t="n">
        <f aca="false">(K44*Assumptions!$G$58)</f>
        <v>6.40472754478529</v>
      </c>
      <c r="L45" s="17" t="n">
        <f aca="false">(L44*Assumptions!$G$58)</f>
        <v>7.22030796027425</v>
      </c>
      <c r="M45" s="17" t="n">
        <f aca="false">(M44*Assumptions!$G$58)</f>
        <v>8.09541857541029</v>
      </c>
      <c r="N45" s="17" t="n">
        <f aca="false">(N44*Assumptions!$G$58)</f>
        <v>9.03593865313503</v>
      </c>
      <c r="O45" s="17" t="n">
        <f aca="false">(O44*Assumptions!$G$58)</f>
        <v>10.0283596285893</v>
      </c>
      <c r="P45" s="17" t="n">
        <f aca="false">(P44*Assumptions!$G$58)</f>
        <v>11.0965184096584</v>
      </c>
      <c r="Q45" s="17" t="n">
        <f aca="false">(Q44*Assumptions!$G$58)</f>
        <v>12.248481889678</v>
      </c>
      <c r="R45" s="17" t="n">
        <f aca="false">(R44*Assumptions!$G$58)</f>
        <v>13.4904864914848</v>
      </c>
      <c r="S45" s="17" t="n">
        <f aca="false">(S44*Assumptions!$G$58)</f>
        <v>14.8325737150047</v>
      </c>
      <c r="T45" s="17" t="n">
        <f aca="false">(T44*Assumptions!$G$58)</f>
        <v>16.2841010915713</v>
      </c>
      <c r="U45" s="17" t="n">
        <f aca="false">(U44*Assumptions!$G$58)</f>
        <v>17.8551570964546</v>
      </c>
      <c r="V45" s="17" t="n">
        <f aca="false">(V44*Assumptions!$G$58)</f>
        <v>19.5566964792281</v>
      </c>
      <c r="W45" s="17" t="n">
        <f aca="false">(W44*Assumptions!$G$58)</f>
        <v>21.4006212784377</v>
      </c>
      <c r="X45" s="17" t="n">
        <f aca="false">(X44*Assumptions!$G$58)</f>
        <v>23.399866697113</v>
      </c>
      <c r="Y45" s="17" t="n">
        <f aca="false">(Y44*Assumptions!$G$58)</f>
        <v>25.5684944812926</v>
      </c>
      <c r="Z45" s="17" t="n">
        <f aca="false">(Z44*Assumptions!$G$58)</f>
        <v>27.92179454673</v>
      </c>
      <c r="AA45" s="17" t="n">
        <f aca="false">(AA44*Assumptions!$G$58)</f>
        <v>30.4661064216137</v>
      </c>
      <c r="AB45" s="17" t="n">
        <f aca="false">(AB44*Assumptions!$G$58)</f>
        <v>33.2283050709952</v>
      </c>
      <c r="AC45" s="17" t="n">
        <f aca="false">(AC44*Assumptions!$G$58)</f>
        <v>36.2283844402899</v>
      </c>
      <c r="AD45" s="17" t="n">
        <f aca="false">(AD44*Assumptions!$G$58)</f>
        <v>39.4867980053313</v>
      </c>
      <c r="AE45" s="17" t="n">
        <f aca="false">(AE44*Assumptions!$G$58)</f>
        <v>43.0275039352829</v>
      </c>
      <c r="AF45" s="17" t="n">
        <f aca="false">(AF44*Assumptions!$G$58)</f>
        <v>46.8757758165084</v>
      </c>
      <c r="AG45" s="17" t="n">
        <f aca="false">(AG44*Assumptions!$G$58)</f>
        <v>51.059084958439</v>
      </c>
      <c r="AH45" s="17" t="n">
        <f aca="false">(AH44*Assumptions!$G$58)</f>
        <v>55.6073328642056</v>
      </c>
      <c r="AI45" s="17" t="n">
        <f aca="false">(AI44*Assumptions!$G$58)</f>
        <v>60.5530700731894</v>
      </c>
      <c r="AJ45" s="17" t="n">
        <f aca="false">(AJ44*Assumptions!$G$58)</f>
        <v>65.9317333592427</v>
      </c>
      <c r="AK45" s="17" t="n">
        <f aca="false">(AK44*Assumptions!$G$58)</f>
        <v>71.7819040732312</v>
      </c>
      <c r="AL45" s="17" t="n">
        <f aca="false">(AL44*Assumptions!$G$58)</f>
        <v>78.1455895619391</v>
      </c>
    </row>
    <row r="46" customFormat="false" ht="15" hidden="false" customHeight="false" outlineLevel="0" collapsed="false">
      <c r="A46" s="6" t="s">
        <v>416</v>
      </c>
      <c r="B46" s="2" t="s">
        <v>417</v>
      </c>
      <c r="C46" s="17" t="n">
        <f aca="false">IF(AND((Assumptions!$G$7=1),(C$2&gt;=Assumptions!$G$61)),(Assumptions!$G$62+(Assumptions!$G$63*(C$2-Assumptions!$G$61))),0)</f>
        <v>0</v>
      </c>
      <c r="D46" s="17" t="n">
        <f aca="false">IF(AND((Assumptions!$G$7=1),(D$2&gt;=Assumptions!$G$61)),(Assumptions!$G$62+(Assumptions!$G$63*(D$2-Assumptions!$G$61))),0)</f>
        <v>0</v>
      </c>
      <c r="E46" s="17" t="n">
        <f aca="false">IF(AND((Assumptions!$G$7=1),(E$2&gt;=Assumptions!$G$61)),(Assumptions!$G$62+(Assumptions!$G$63*(E$2-Assumptions!$G$61))),0)</f>
        <v>0</v>
      </c>
      <c r="F46" s="17" t="n">
        <f aca="false">IF(AND((Assumptions!$G$7=1),(F$2&gt;=Assumptions!$G$61)),(Assumptions!$G$62+(Assumptions!$G$63*(F$2-Assumptions!$G$61))),0)</f>
        <v>0</v>
      </c>
      <c r="G46" s="17" t="n">
        <f aca="false">IF(AND((Assumptions!$G$7=1),(G$2&gt;=Assumptions!$G$61)),(Assumptions!$G$62+(Assumptions!$G$63*(G$2-Assumptions!$G$61))),0)</f>
        <v>0</v>
      </c>
      <c r="H46" s="17" t="n">
        <f aca="false">IF(AND((Assumptions!$G$7=1),(H$2&gt;=Assumptions!$G$61)),(Assumptions!$G$62+(Assumptions!$G$63*(H$2-Assumptions!$G$61))),0)</f>
        <v>0</v>
      </c>
      <c r="I46" s="17" t="n">
        <f aca="false">IF(AND((Assumptions!$G$7=1),(I$2&gt;=Assumptions!$G$61)),(Assumptions!$G$62+(Assumptions!$G$63*(I$2-Assumptions!$G$61))),0)</f>
        <v>0</v>
      </c>
      <c r="J46" s="17" t="n">
        <f aca="false">IF(AND((Assumptions!$G$7=1),(J$2&gt;=Assumptions!$G$61)),(Assumptions!$G$62+(Assumptions!$G$63*(J$2-Assumptions!$G$61))),0)</f>
        <v>0</v>
      </c>
      <c r="K46" s="17" t="n">
        <f aca="false">IF(AND((Assumptions!$G$7=1),(K$2&gt;=Assumptions!$G$61)),(Assumptions!$G$62+(Assumptions!$G$63*(K$2-Assumptions!$G$61))),0)</f>
        <v>0</v>
      </c>
      <c r="L46" s="17" t="n">
        <f aca="false">IF(AND((Assumptions!$G$7=1),(L$2&gt;=Assumptions!$G$61)),(Assumptions!$G$62+(Assumptions!$G$63*(L$2-Assumptions!$G$61))),0)</f>
        <v>0</v>
      </c>
      <c r="M46" s="17" t="n">
        <f aca="false">IF(AND((Assumptions!$G$7=1),(M$2&gt;=Assumptions!$G$61)),(Assumptions!$G$62+(Assumptions!$G$63*(M$2-Assumptions!$G$61))),0)</f>
        <v>0</v>
      </c>
      <c r="N46" s="17" t="n">
        <f aca="false">IF(AND((Assumptions!$G$7=1),(N$2&gt;=Assumptions!$G$61)),(Assumptions!$G$62+(Assumptions!$G$63*(N$2-Assumptions!$G$61))),0)</f>
        <v>0</v>
      </c>
      <c r="O46" s="17" t="n">
        <f aca="false">IF(AND((Assumptions!$G$7=1),(O$2&gt;=Assumptions!$G$61)),(Assumptions!$G$62+(Assumptions!$G$63*(O$2-Assumptions!$G$61))),0)</f>
        <v>0</v>
      </c>
      <c r="P46" s="17" t="n">
        <f aca="false">IF(AND((Assumptions!$G$7=1),(P$2&gt;=Assumptions!$G$61)),(Assumptions!$G$62+(Assumptions!$G$63*(P$2-Assumptions!$G$61))),0)</f>
        <v>0</v>
      </c>
      <c r="Q46" s="17" t="n">
        <f aca="false">IF(AND((Assumptions!$G$7=1),(Q$2&gt;=Assumptions!$G$61)),(Assumptions!$G$62+(Assumptions!$G$63*(Q$2-Assumptions!$G$61))),0)</f>
        <v>0</v>
      </c>
      <c r="R46" s="17" t="n">
        <f aca="false">IF(AND((Assumptions!$G$7=1),(R$2&gt;=Assumptions!$G$61)),(Assumptions!$G$62+(Assumptions!$G$63*(R$2-Assumptions!$G$61))),0)</f>
        <v>0</v>
      </c>
      <c r="S46" s="17" t="n">
        <f aca="false">IF(AND((Assumptions!$G$7=1),(S$2&gt;=Assumptions!$G$61)),(Assumptions!$G$62+(Assumptions!$G$63*(S$2-Assumptions!$G$61))),0)</f>
        <v>0</v>
      </c>
      <c r="T46" s="17" t="n">
        <f aca="false">IF(AND((Assumptions!$G$7=1),(T$2&gt;=Assumptions!$G$61)),(Assumptions!$G$62+(Assumptions!$G$63*(T$2-Assumptions!$G$61))),0)</f>
        <v>0</v>
      </c>
      <c r="U46" s="17" t="n">
        <f aca="false">IF(AND((Assumptions!$G$7=1),(U$2&gt;=Assumptions!$G$61)),(Assumptions!$G$62+(Assumptions!$G$63*(U$2-Assumptions!$G$61))),0)</f>
        <v>0</v>
      </c>
      <c r="V46" s="17" t="n">
        <f aca="false">IF(AND((Assumptions!$G$7=1),(V$2&gt;=Assumptions!$G$61)),(Assumptions!$G$62+(Assumptions!$G$63*(V$2-Assumptions!$G$61))),0)</f>
        <v>0</v>
      </c>
      <c r="W46" s="17" t="n">
        <f aca="false">IF(AND((Assumptions!$G$7=1),(W$2&gt;=Assumptions!$G$61)),(Assumptions!$G$62+(Assumptions!$G$63*(W$2-Assumptions!$G$61))),0)</f>
        <v>0</v>
      </c>
      <c r="X46" s="17" t="n">
        <f aca="false">IF(AND((Assumptions!$G$7=1),(X$2&gt;=Assumptions!$G$61)),(Assumptions!$G$62+(Assumptions!$G$63*(X$2-Assumptions!$G$61))),0)</f>
        <v>0</v>
      </c>
      <c r="Y46" s="17" t="n">
        <f aca="false">IF(AND((Assumptions!$G$7=1),(Y$2&gt;=Assumptions!$G$61)),(Assumptions!$G$62+(Assumptions!$G$63*(Y$2-Assumptions!$G$61))),0)</f>
        <v>0</v>
      </c>
      <c r="Z46" s="17" t="n">
        <f aca="false">IF(AND((Assumptions!$G$7=1),(Z$2&gt;=Assumptions!$G$61)),(Assumptions!$G$62+(Assumptions!$G$63*(Z$2-Assumptions!$G$61))),0)</f>
        <v>0</v>
      </c>
      <c r="AA46" s="17" t="n">
        <f aca="false">IF(AND((Assumptions!$G$7=1),(AA$2&gt;=Assumptions!$G$61)),(Assumptions!$G$62+(Assumptions!$G$63*(AA$2-Assumptions!$G$61))),0)</f>
        <v>0</v>
      </c>
      <c r="AB46" s="17" t="n">
        <f aca="false">IF(AND((Assumptions!$G$7=1),(AB$2&gt;=Assumptions!$G$61)),(Assumptions!$G$62+(Assumptions!$G$63*(AB$2-Assumptions!$G$61))),0)</f>
        <v>0</v>
      </c>
      <c r="AC46" s="17" t="n">
        <f aca="false">IF(AND((Assumptions!$G$7=1),(AC$2&gt;=Assumptions!$G$61)),(Assumptions!$G$62+(Assumptions!$G$63*(AC$2-Assumptions!$G$61))),0)</f>
        <v>0</v>
      </c>
      <c r="AD46" s="17" t="n">
        <f aca="false">IF(AND((Assumptions!$G$7=1),(AD$2&gt;=Assumptions!$G$61)),(Assumptions!$G$62+(Assumptions!$G$63*(AD$2-Assumptions!$G$61))),0)</f>
        <v>0</v>
      </c>
      <c r="AE46" s="17" t="n">
        <f aca="false">IF(AND((Assumptions!$G$7=1),(AE$2&gt;=Assumptions!$G$61)),(Assumptions!$G$62+(Assumptions!$G$63*(AE$2-Assumptions!$G$61))),0)</f>
        <v>0</v>
      </c>
      <c r="AF46" s="17" t="n">
        <f aca="false">IF(AND((Assumptions!$G$7=1),(AF$2&gt;=Assumptions!$G$61)),(Assumptions!$G$62+(Assumptions!$G$63*(AF$2-Assumptions!$G$61))),0)</f>
        <v>0</v>
      </c>
      <c r="AG46" s="17" t="n">
        <f aca="false">IF(AND((Assumptions!$G$7=1),(AG$2&gt;=Assumptions!$G$61)),(Assumptions!$G$62+(Assumptions!$G$63*(AG$2-Assumptions!$G$61))),0)</f>
        <v>0</v>
      </c>
      <c r="AH46" s="17" t="n">
        <f aca="false">IF(AND((Assumptions!$G$7=1),(AH$2&gt;=Assumptions!$G$61)),(Assumptions!$G$62+(Assumptions!$G$63*(AH$2-Assumptions!$G$61))),0)</f>
        <v>0</v>
      </c>
      <c r="AI46" s="17" t="n">
        <f aca="false">IF(AND((Assumptions!$G$7=1),(AI$2&gt;=Assumptions!$G$61)),(Assumptions!$G$62+(Assumptions!$G$63*(AI$2-Assumptions!$G$61))),0)</f>
        <v>0</v>
      </c>
      <c r="AJ46" s="17" t="n">
        <f aca="false">IF(AND((Assumptions!$G$7=1),(AJ$2&gt;=Assumptions!$G$61)),(Assumptions!$G$62+(Assumptions!$G$63*(AJ$2-Assumptions!$G$61))),0)</f>
        <v>0</v>
      </c>
      <c r="AK46" s="17" t="n">
        <f aca="false">IF(AND((Assumptions!$G$7=1),(AK$2&gt;=Assumptions!$G$61)),(Assumptions!$G$62+(Assumptions!$G$63*(AK$2-Assumptions!$G$61))),0)</f>
        <v>0</v>
      </c>
      <c r="AL46" s="17" t="n">
        <f aca="false">IF(AND((Assumptions!$G$7=1),(AL$2&gt;=Assumptions!$G$61)),(Assumptions!$G$62+(Assumptions!$G$63*(AL$2-Assumptions!$G$61))),0)</f>
        <v>0</v>
      </c>
    </row>
    <row r="47" customFormat="false" ht="15" hidden="false" customHeight="false" outlineLevel="0" collapsed="false">
      <c r="A47" s="6" t="s">
        <v>418</v>
      </c>
      <c r="B47" s="2" t="s">
        <v>419</v>
      </c>
      <c r="C47" s="17" t="n">
        <f aca="false">IF(AND((Assumptions!$G$7=1),(C$2&gt;=Assumptions!$G$61)),(Assumptions!$G$65+(Assumptions!$G$66*(C$2-Assumptions!$G$61))),0)</f>
        <v>0</v>
      </c>
      <c r="D47" s="17" t="n">
        <f aca="false">IF(AND((Assumptions!$G$7=1),(D$2&gt;=Assumptions!$G$61)),(Assumptions!$G$65+(Assumptions!$G$66*(D$2-Assumptions!$G$61))),0)</f>
        <v>0</v>
      </c>
      <c r="E47" s="17" t="n">
        <f aca="false">IF(AND((Assumptions!$G$7=1),(E$2&gt;=Assumptions!$G$61)),(Assumptions!$G$65+(Assumptions!$G$66*(E$2-Assumptions!$G$61))),0)</f>
        <v>0</v>
      </c>
      <c r="F47" s="17" t="n">
        <f aca="false">IF(AND((Assumptions!$G$7=1),(F$2&gt;=Assumptions!$G$61)),(Assumptions!$G$65+(Assumptions!$G$66*(F$2-Assumptions!$G$61))),0)</f>
        <v>0</v>
      </c>
      <c r="G47" s="17" t="n">
        <f aca="false">IF(AND((Assumptions!$G$7=1),(G$2&gt;=Assumptions!$G$61)),(Assumptions!$G$65+(Assumptions!$G$66*(G$2-Assumptions!$G$61))),0)</f>
        <v>0</v>
      </c>
      <c r="H47" s="17" t="n">
        <f aca="false">IF(AND((Assumptions!$G$7=1),(H$2&gt;=Assumptions!$G$61)),(Assumptions!$G$65+(Assumptions!$G$66*(H$2-Assumptions!$G$61))),0)</f>
        <v>0</v>
      </c>
      <c r="I47" s="17" t="n">
        <f aca="false">IF(AND((Assumptions!$G$7=1),(I$2&gt;=Assumptions!$G$61)),(Assumptions!$G$65+(Assumptions!$G$66*(I$2-Assumptions!$G$61))),0)</f>
        <v>0</v>
      </c>
      <c r="J47" s="17" t="n">
        <f aca="false">IF(AND((Assumptions!$G$7=1),(J$2&gt;=Assumptions!$G$61)),(Assumptions!$G$65+(Assumptions!$G$66*(J$2-Assumptions!$G$61))),0)</f>
        <v>0</v>
      </c>
      <c r="K47" s="17" t="n">
        <f aca="false">IF(AND((Assumptions!$G$7=1),(K$2&gt;=Assumptions!$G$61)),(Assumptions!$G$65+(Assumptions!$G$66*(K$2-Assumptions!$G$61))),0)</f>
        <v>0</v>
      </c>
      <c r="L47" s="17" t="n">
        <f aca="false">IF(AND((Assumptions!$G$7=1),(L$2&gt;=Assumptions!$G$61)),(Assumptions!$G$65+(Assumptions!$G$66*(L$2-Assumptions!$G$61))),0)</f>
        <v>0</v>
      </c>
      <c r="M47" s="17" t="n">
        <f aca="false">IF(AND((Assumptions!$G$7=1),(M$2&gt;=Assumptions!$G$61)),(Assumptions!$G$65+(Assumptions!$G$66*(M$2-Assumptions!$G$61))),0)</f>
        <v>0</v>
      </c>
      <c r="N47" s="17" t="n">
        <f aca="false">IF(AND((Assumptions!$G$7=1),(N$2&gt;=Assumptions!$G$61)),(Assumptions!$G$65+(Assumptions!$G$66*(N$2-Assumptions!$G$61))),0)</f>
        <v>0</v>
      </c>
      <c r="O47" s="17" t="n">
        <f aca="false">IF(AND((Assumptions!$G$7=1),(O$2&gt;=Assumptions!$G$61)),(Assumptions!$G$65+(Assumptions!$G$66*(O$2-Assumptions!$G$61))),0)</f>
        <v>0</v>
      </c>
      <c r="P47" s="17" t="n">
        <f aca="false">IF(AND((Assumptions!$G$7=1),(P$2&gt;=Assumptions!$G$61)),(Assumptions!$G$65+(Assumptions!$G$66*(P$2-Assumptions!$G$61))),0)</f>
        <v>0</v>
      </c>
      <c r="Q47" s="17" t="n">
        <f aca="false">IF(AND((Assumptions!$G$7=1),(Q$2&gt;=Assumptions!$G$61)),(Assumptions!$G$65+(Assumptions!$G$66*(Q$2-Assumptions!$G$61))),0)</f>
        <v>0</v>
      </c>
      <c r="R47" s="17" t="n">
        <f aca="false">IF(AND((Assumptions!$G$7=1),(R$2&gt;=Assumptions!$G$61)),(Assumptions!$G$65+(Assumptions!$G$66*(R$2-Assumptions!$G$61))),0)</f>
        <v>0</v>
      </c>
      <c r="S47" s="17" t="n">
        <f aca="false">IF(AND((Assumptions!$G$7=1),(S$2&gt;=Assumptions!$G$61)),(Assumptions!$G$65+(Assumptions!$G$66*(S$2-Assumptions!$G$61))),0)</f>
        <v>0</v>
      </c>
      <c r="T47" s="17" t="n">
        <f aca="false">IF(AND((Assumptions!$G$7=1),(T$2&gt;=Assumptions!$G$61)),(Assumptions!$G$65+(Assumptions!$G$66*(T$2-Assumptions!$G$61))),0)</f>
        <v>0</v>
      </c>
      <c r="U47" s="17" t="n">
        <f aca="false">IF(AND((Assumptions!$G$7=1),(U$2&gt;=Assumptions!$G$61)),(Assumptions!$G$65+(Assumptions!$G$66*(U$2-Assumptions!$G$61))),0)</f>
        <v>0</v>
      </c>
      <c r="V47" s="17" t="n">
        <f aca="false">IF(AND((Assumptions!$G$7=1),(V$2&gt;=Assumptions!$G$61)),(Assumptions!$G$65+(Assumptions!$G$66*(V$2-Assumptions!$G$61))),0)</f>
        <v>0</v>
      </c>
      <c r="W47" s="17" t="n">
        <f aca="false">IF(AND((Assumptions!$G$7=1),(W$2&gt;=Assumptions!$G$61)),(Assumptions!$G$65+(Assumptions!$G$66*(W$2-Assumptions!$G$61))),0)</f>
        <v>0</v>
      </c>
      <c r="X47" s="17" t="n">
        <f aca="false">IF(AND((Assumptions!$G$7=1),(X$2&gt;=Assumptions!$G$61)),(Assumptions!$G$65+(Assumptions!$G$66*(X$2-Assumptions!$G$61))),0)</f>
        <v>0</v>
      </c>
      <c r="Y47" s="17" t="n">
        <f aca="false">IF(AND((Assumptions!$G$7=1),(Y$2&gt;=Assumptions!$G$61)),(Assumptions!$G$65+(Assumptions!$G$66*(Y$2-Assumptions!$G$61))),0)</f>
        <v>0</v>
      </c>
      <c r="Z47" s="17" t="n">
        <f aca="false">IF(AND((Assumptions!$G$7=1),(Z$2&gt;=Assumptions!$G$61)),(Assumptions!$G$65+(Assumptions!$G$66*(Z$2-Assumptions!$G$61))),0)</f>
        <v>0</v>
      </c>
      <c r="AA47" s="17" t="n">
        <f aca="false">IF(AND((Assumptions!$G$7=1),(AA$2&gt;=Assumptions!$G$61)),(Assumptions!$G$65+(Assumptions!$G$66*(AA$2-Assumptions!$G$61))),0)</f>
        <v>0</v>
      </c>
      <c r="AB47" s="17" t="n">
        <f aca="false">IF(AND((Assumptions!$G$7=1),(AB$2&gt;=Assumptions!$G$61)),(Assumptions!$G$65+(Assumptions!$G$66*(AB$2-Assumptions!$G$61))),0)</f>
        <v>0</v>
      </c>
      <c r="AC47" s="17" t="n">
        <f aca="false">IF(AND((Assumptions!$G$7=1),(AC$2&gt;=Assumptions!$G$61)),(Assumptions!$G$65+(Assumptions!$G$66*(AC$2-Assumptions!$G$61))),0)</f>
        <v>0</v>
      </c>
      <c r="AD47" s="17" t="n">
        <f aca="false">IF(AND((Assumptions!$G$7=1),(AD$2&gt;=Assumptions!$G$61)),(Assumptions!$G$65+(Assumptions!$G$66*(AD$2-Assumptions!$G$61))),0)</f>
        <v>0</v>
      </c>
      <c r="AE47" s="17" t="n">
        <f aca="false">IF(AND((Assumptions!$G$7=1),(AE$2&gt;=Assumptions!$G$61)),(Assumptions!$G$65+(Assumptions!$G$66*(AE$2-Assumptions!$G$61))),0)</f>
        <v>0</v>
      </c>
      <c r="AF47" s="17" t="n">
        <f aca="false">IF(AND((Assumptions!$G$7=1),(AF$2&gt;=Assumptions!$G$61)),(Assumptions!$G$65+(Assumptions!$G$66*(AF$2-Assumptions!$G$61))),0)</f>
        <v>0</v>
      </c>
      <c r="AG47" s="17" t="n">
        <f aca="false">IF(AND((Assumptions!$G$7=1),(AG$2&gt;=Assumptions!$G$61)),(Assumptions!$G$65+(Assumptions!$G$66*(AG$2-Assumptions!$G$61))),0)</f>
        <v>0</v>
      </c>
      <c r="AH47" s="17" t="n">
        <f aca="false">IF(AND((Assumptions!$G$7=1),(AH$2&gt;=Assumptions!$G$61)),(Assumptions!$G$65+(Assumptions!$G$66*(AH$2-Assumptions!$G$61))),0)</f>
        <v>0</v>
      </c>
      <c r="AI47" s="17" t="n">
        <f aca="false">IF(AND((Assumptions!$G$7=1),(AI$2&gt;=Assumptions!$G$61)),(Assumptions!$G$65+(Assumptions!$G$66*(AI$2-Assumptions!$G$61))),0)</f>
        <v>0</v>
      </c>
      <c r="AJ47" s="17" t="n">
        <f aca="false">IF(AND((Assumptions!$G$7=1),(AJ$2&gt;=Assumptions!$G$61)),(Assumptions!$G$65+(Assumptions!$G$66*(AJ$2-Assumptions!$G$61))),0)</f>
        <v>0</v>
      </c>
      <c r="AK47" s="17" t="n">
        <f aca="false">IF(AND((Assumptions!$G$7=1),(AK$2&gt;=Assumptions!$G$61)),(Assumptions!$G$65+(Assumptions!$G$66*(AK$2-Assumptions!$G$61))),0)</f>
        <v>0</v>
      </c>
      <c r="AL47" s="17" t="n">
        <f aca="false">IF(AND((Assumptions!$G$7=1),(AL$2&gt;=Assumptions!$G$61)),(Assumptions!$G$65+(Assumptions!$G$66*(AL$2-Assumptions!$G$61))),0)</f>
        <v>0</v>
      </c>
    </row>
    <row r="48" customFormat="false" ht="15" hidden="false" customHeight="false" outlineLevel="0" collapsed="false">
      <c r="A48" s="6" t="s">
        <v>420</v>
      </c>
      <c r="B48" s="2" t="s">
        <v>421</v>
      </c>
      <c r="C48" s="8" t="n">
        <f aca="false">IF(AND((Assumptions!$G$9=1),(C$2&gt;=Assumptions!$G$73)),1,0)</f>
        <v>0</v>
      </c>
      <c r="D48" s="8" t="n">
        <f aca="false">IF(AND((Assumptions!$G$9=1),(D$2&gt;=Assumptions!$G$73)),1,0)</f>
        <v>0</v>
      </c>
      <c r="E48" s="8" t="n">
        <f aca="false">IF(AND((Assumptions!$G$9=1),(E$2&gt;=Assumptions!$G$73)),1,0)</f>
        <v>0</v>
      </c>
      <c r="F48" s="8" t="n">
        <f aca="false">IF(AND((Assumptions!$G$9=1),(F$2&gt;=Assumptions!$G$73)),1,0)</f>
        <v>0</v>
      </c>
      <c r="G48" s="8" t="n">
        <f aca="false">IF(AND((Assumptions!$G$9=1),(G$2&gt;=Assumptions!$G$73)),1,0)</f>
        <v>0</v>
      </c>
      <c r="H48" s="8" t="n">
        <f aca="false">IF(AND((Assumptions!$G$9=1),(H$2&gt;=Assumptions!$G$73)),1,0)</f>
        <v>0</v>
      </c>
      <c r="I48" s="8" t="n">
        <f aca="false">IF(AND((Assumptions!$G$9=1),(I$2&gt;=Assumptions!$G$73)),1,0)</f>
        <v>0</v>
      </c>
      <c r="J48" s="8" t="n">
        <f aca="false">IF(AND((Assumptions!$G$9=1),(J$2&gt;=Assumptions!$G$73)),1,0)</f>
        <v>0</v>
      </c>
      <c r="K48" s="8" t="n">
        <f aca="false">IF(AND((Assumptions!$G$9=1),(K$2&gt;=Assumptions!$G$73)),1,0)</f>
        <v>0</v>
      </c>
      <c r="L48" s="8" t="n">
        <f aca="false">IF(AND((Assumptions!$G$9=1),(L$2&gt;=Assumptions!$G$73)),1,0)</f>
        <v>0</v>
      </c>
      <c r="M48" s="8" t="n">
        <f aca="false">IF(AND((Assumptions!$G$9=1),(M$2&gt;=Assumptions!$G$73)),1,0)</f>
        <v>0</v>
      </c>
      <c r="N48" s="8" t="n">
        <f aca="false">IF(AND((Assumptions!$G$9=1),(N$2&gt;=Assumptions!$G$73)),1,0)</f>
        <v>0</v>
      </c>
      <c r="O48" s="8" t="n">
        <f aca="false">IF(AND((Assumptions!$G$9=1),(O$2&gt;=Assumptions!$G$73)),1,0)</f>
        <v>1</v>
      </c>
      <c r="P48" s="8" t="n">
        <f aca="false">IF(AND((Assumptions!$G$9=1),(P$2&gt;=Assumptions!$G$73)),1,0)</f>
        <v>1</v>
      </c>
      <c r="Q48" s="8" t="n">
        <f aca="false">IF(AND((Assumptions!$G$9=1),(Q$2&gt;=Assumptions!$G$73)),1,0)</f>
        <v>1</v>
      </c>
      <c r="R48" s="8" t="n">
        <f aca="false">IF(AND((Assumptions!$G$9=1),(R$2&gt;=Assumptions!$G$73)),1,0)</f>
        <v>1</v>
      </c>
      <c r="S48" s="8" t="n">
        <f aca="false">IF(AND((Assumptions!$G$9=1),(S$2&gt;=Assumptions!$G$73)),1,0)</f>
        <v>1</v>
      </c>
      <c r="T48" s="8" t="n">
        <f aca="false">IF(AND((Assumptions!$G$9=1),(T$2&gt;=Assumptions!$G$73)),1,0)</f>
        <v>1</v>
      </c>
      <c r="U48" s="8" t="n">
        <f aca="false">IF(AND((Assumptions!$G$9=1),(U$2&gt;=Assumptions!$G$73)),1,0)</f>
        <v>1</v>
      </c>
      <c r="V48" s="8" t="n">
        <f aca="false">IF(AND((Assumptions!$G$9=1),(V$2&gt;=Assumptions!$G$73)),1,0)</f>
        <v>1</v>
      </c>
      <c r="W48" s="8" t="n">
        <f aca="false">IF(AND((Assumptions!$G$9=1),(W$2&gt;=Assumptions!$G$73)),1,0)</f>
        <v>1</v>
      </c>
      <c r="X48" s="8" t="n">
        <f aca="false">IF(AND((Assumptions!$G$9=1),(X$2&gt;=Assumptions!$G$73)),1,0)</f>
        <v>1</v>
      </c>
      <c r="Y48" s="8" t="n">
        <f aca="false">IF(AND((Assumptions!$G$9=1),(Y$2&gt;=Assumptions!$G$73)),1,0)</f>
        <v>1</v>
      </c>
      <c r="Z48" s="8" t="n">
        <f aca="false">IF(AND((Assumptions!$G$9=1),(Z$2&gt;=Assumptions!$G$73)),1,0)</f>
        <v>1</v>
      </c>
      <c r="AA48" s="8" t="n">
        <f aca="false">IF(AND((Assumptions!$G$9=1),(AA$2&gt;=Assumptions!$G$73)),1,0)</f>
        <v>1</v>
      </c>
      <c r="AB48" s="8" t="n">
        <f aca="false">IF(AND((Assumptions!$G$9=1),(AB$2&gt;=Assumptions!$G$73)),1,0)</f>
        <v>1</v>
      </c>
      <c r="AC48" s="8" t="n">
        <f aca="false">IF(AND((Assumptions!$G$9=1),(AC$2&gt;=Assumptions!$G$73)),1,0)</f>
        <v>1</v>
      </c>
      <c r="AD48" s="8" t="n">
        <f aca="false">IF(AND((Assumptions!$G$9=1),(AD$2&gt;=Assumptions!$G$73)),1,0)</f>
        <v>1</v>
      </c>
      <c r="AE48" s="8" t="n">
        <f aca="false">IF(AND((Assumptions!$G$9=1),(AE$2&gt;=Assumptions!$G$73)),1,0)</f>
        <v>1</v>
      </c>
      <c r="AF48" s="8" t="n">
        <f aca="false">IF(AND((Assumptions!$G$9=1),(AF$2&gt;=Assumptions!$G$73)),1,0)</f>
        <v>1</v>
      </c>
      <c r="AG48" s="8" t="n">
        <f aca="false">IF(AND((Assumptions!$G$9=1),(AG$2&gt;=Assumptions!$G$73)),1,0)</f>
        <v>1</v>
      </c>
      <c r="AH48" s="8" t="n">
        <f aca="false">IF(AND((Assumptions!$G$9=1),(AH$2&gt;=Assumptions!$G$73)),1,0)</f>
        <v>1</v>
      </c>
      <c r="AI48" s="8" t="n">
        <f aca="false">IF(AND((Assumptions!$G$9=1),(AI$2&gt;=Assumptions!$G$73)),1,0)</f>
        <v>1</v>
      </c>
      <c r="AJ48" s="8" t="n">
        <f aca="false">IF(AND((Assumptions!$G$9=1),(AJ$2&gt;=Assumptions!$G$73)),1,0)</f>
        <v>1</v>
      </c>
      <c r="AK48" s="8" t="n">
        <f aca="false">IF(AND((Assumptions!$G$9=1),(AK$2&gt;=Assumptions!$G$73)),1,0)</f>
        <v>1</v>
      </c>
      <c r="AL48" s="8" t="n">
        <f aca="false">IF(AND((Assumptions!$G$9=1),(AL$2&gt;=Assumptions!$G$73)),1,0)</f>
        <v>1</v>
      </c>
    </row>
    <row r="49" customFormat="false" ht="15" hidden="false" customHeight="false" outlineLevel="0" collapsed="false">
      <c r="A49" s="6" t="s">
        <v>422</v>
      </c>
      <c r="B49" s="2" t="s">
        <v>423</v>
      </c>
      <c r="C49" s="17" t="n">
        <f aca="false">((C48*C35)*Assumptions!$G$74)</f>
        <v>0</v>
      </c>
      <c r="D49" s="17" t="n">
        <f aca="false">((D48*D35)*Assumptions!$G$74)</f>
        <v>0</v>
      </c>
      <c r="E49" s="17" t="n">
        <f aca="false">((E48*E35)*Assumptions!$G$74)</f>
        <v>0</v>
      </c>
      <c r="F49" s="17" t="n">
        <f aca="false">((F48*F35)*Assumptions!$G$74)</f>
        <v>0</v>
      </c>
      <c r="G49" s="17" t="n">
        <f aca="false">((G48*G35)*Assumptions!$G$74)</f>
        <v>0</v>
      </c>
      <c r="H49" s="17" t="n">
        <f aca="false">((H48*H35)*Assumptions!$G$74)</f>
        <v>0</v>
      </c>
      <c r="I49" s="17" t="n">
        <f aca="false">((I48*I35)*Assumptions!$G$74)</f>
        <v>0</v>
      </c>
      <c r="J49" s="17" t="n">
        <f aca="false">((J48*J35)*Assumptions!$G$74)</f>
        <v>0</v>
      </c>
      <c r="K49" s="17" t="n">
        <f aca="false">((K48*K35)*Assumptions!$G$74)</f>
        <v>0</v>
      </c>
      <c r="L49" s="17" t="n">
        <f aca="false">((L48*L35)*Assumptions!$G$74)</f>
        <v>0</v>
      </c>
      <c r="M49" s="17" t="n">
        <f aca="false">((M48*M35)*Assumptions!$G$74)</f>
        <v>0</v>
      </c>
      <c r="N49" s="17" t="n">
        <f aca="false">((N48*N35)*Assumptions!$G$74)</f>
        <v>0</v>
      </c>
      <c r="O49" s="17" t="n">
        <f aca="false">((O48*O35)*Assumptions!$G$74)</f>
        <v>1165.04145871793</v>
      </c>
      <c r="P49" s="17" t="n">
        <f aca="false">((P48*P35)*Assumptions!$G$74)</f>
        <v>1288.01969393018</v>
      </c>
      <c r="Q49" s="17" t="n">
        <f aca="false">((Q48*Q35)*Assumptions!$G$74)</f>
        <v>1420.54888556256</v>
      </c>
      <c r="R49" s="17" t="n">
        <f aca="false">((R48*R35)*Assumptions!$G$74)</f>
        <v>1563.5356805139</v>
      </c>
      <c r="S49" s="17" t="n">
        <f aca="false">((S48*S35)*Assumptions!$G$74)</f>
        <v>1717.95470591718</v>
      </c>
      <c r="T49" s="17" t="n">
        <f aca="false">((T48*T35)*Assumptions!$G$74)</f>
        <v>1884.8750403292</v>
      </c>
      <c r="U49" s="17" t="n">
        <f aca="false">((U48*U35)*Assumptions!$G$74)</f>
        <v>2065.45287480284</v>
      </c>
      <c r="V49" s="17" t="n">
        <f aca="false">((V48*V35)*Assumptions!$G$74)</f>
        <v>2260.94381239371</v>
      </c>
      <c r="W49" s="17" t="n">
        <f aca="false">((W48*W35)*Assumptions!$G$74)</f>
        <v>2472.71207625973</v>
      </c>
      <c r="X49" s="17" t="n">
        <f aca="false">((X48*X35)*Assumptions!$G$74)</f>
        <v>2702.24033412411</v>
      </c>
      <c r="Y49" s="17" t="n">
        <f aca="false">((Y48*Y35)*Assumptions!$G$74)</f>
        <v>2951.14038583668</v>
      </c>
      <c r="Z49" s="17" t="n">
        <f aca="false">((Z48*Z35)*Assumptions!$G$74)</f>
        <v>3221.16479823264</v>
      </c>
      <c r="AA49" s="17" t="n">
        <f aca="false">((AA48*AA35)*Assumptions!$G$74)</f>
        <v>3514.21957263958</v>
      </c>
      <c r="AB49" s="17" t="n">
        <f aca="false">((AB48*AB35)*Assumptions!$G$74)</f>
        <v>3832.33850969121</v>
      </c>
      <c r="AC49" s="17" t="n">
        <f aca="false">((AC48*AC35)*Assumptions!$G$74)</f>
        <v>4177.80287137672</v>
      </c>
      <c r="AD49" s="17" t="n">
        <f aca="false">((AD48*AD35)*Assumptions!$G$74)</f>
        <v>4553.06726802972</v>
      </c>
      <c r="AE49" s="17" t="n">
        <f aca="false">((AE48*AE35)*Assumptions!$G$74)</f>
        <v>4960.79812812829</v>
      </c>
      <c r="AF49" s="17" t="n">
        <f aca="false">((AF48*AF35)*Assumptions!$G$74)</f>
        <v>5403.9031787823</v>
      </c>
      <c r="AG49" s="17" t="n">
        <f aca="false">((AG48*AG35)*Assumptions!$G$74)</f>
        <v>5885.54481890926</v>
      </c>
      <c r="AH49" s="17" t="n">
        <f aca="false">((AH48*AH35)*Assumptions!$G$74)</f>
        <v>6409.16520548414</v>
      </c>
      <c r="AI49" s="17" t="n">
        <f aca="false">((AI48*AI35)*Assumptions!$G$74)</f>
        <v>6978.51141189392</v>
      </c>
      <c r="AJ49" s="17" t="n">
        <f aca="false">((AJ48*AJ35)*Assumptions!$G$74)</f>
        <v>7597.66273007071</v>
      </c>
      <c r="AK49" s="17" t="n">
        <f aca="false">((AK48*AK35)*Assumptions!$G$74)</f>
        <v>8271.06040785841</v>
      </c>
      <c r="AL49" s="17" t="n">
        <f aca="false">((AL48*AL35)*Assumptions!$G$74)</f>
        <v>9003.54004346763</v>
      </c>
    </row>
    <row r="50" customFormat="false" ht="15" hidden="false" customHeight="false" outlineLevel="0" collapsed="false">
      <c r="A50" s="6" t="s">
        <v>424</v>
      </c>
      <c r="B50" s="2" t="s">
        <v>425</v>
      </c>
      <c r="C50" s="17" t="n">
        <f aca="false">(((C48*C29)*Assumptions!$G$76)*Assumptions!$G$77)</f>
        <v>0</v>
      </c>
      <c r="D50" s="17" t="n">
        <f aca="false">(((D48*D29)*Assumptions!$G$76)*Assumptions!$G$77)</f>
        <v>0</v>
      </c>
      <c r="E50" s="17" t="n">
        <f aca="false">(((E48*E29)*Assumptions!$G$76)*Assumptions!$G$77)</f>
        <v>0</v>
      </c>
      <c r="F50" s="17" t="n">
        <f aca="false">(((F48*F29)*Assumptions!$G$76)*Assumptions!$G$77)</f>
        <v>0</v>
      </c>
      <c r="G50" s="17" t="n">
        <f aca="false">(((G48*G29)*Assumptions!$G$76)*Assumptions!$G$77)</f>
        <v>0</v>
      </c>
      <c r="H50" s="17" t="n">
        <f aca="false">(((H48*H29)*Assumptions!$G$76)*Assumptions!$G$77)</f>
        <v>0</v>
      </c>
      <c r="I50" s="17" t="n">
        <f aca="false">(((I48*I29)*Assumptions!$G$76)*Assumptions!$G$77)</f>
        <v>0</v>
      </c>
      <c r="J50" s="17" t="n">
        <f aca="false">(((J48*J29)*Assumptions!$G$76)*Assumptions!$G$77)</f>
        <v>0</v>
      </c>
      <c r="K50" s="17" t="n">
        <f aca="false">(((K48*K29)*Assumptions!$G$76)*Assumptions!$G$77)</f>
        <v>0</v>
      </c>
      <c r="L50" s="17" t="n">
        <f aca="false">(((L48*L29)*Assumptions!$G$76)*Assumptions!$G$77)</f>
        <v>0</v>
      </c>
      <c r="M50" s="17" t="n">
        <f aca="false">(((M48*M29)*Assumptions!$G$76)*Assumptions!$G$77)</f>
        <v>0</v>
      </c>
      <c r="N50" s="17" t="n">
        <f aca="false">(((N48*N29)*Assumptions!$G$76)*Assumptions!$G$77)</f>
        <v>0</v>
      </c>
      <c r="O50" s="17" t="n">
        <f aca="false">(((O48*O29)*Assumptions!$G$76)*Assumptions!$G$77)</f>
        <v>3226.3717205121</v>
      </c>
      <c r="P50" s="17" t="n">
        <f aca="false">(((P48*P29)*Assumptions!$G$76)*Assumptions!$G$77)</f>
        <v>3590.92676295509</v>
      </c>
      <c r="Q50" s="17" t="n">
        <f aca="false">(((Q48*Q29)*Assumptions!$G$76)*Assumptions!$G$77)</f>
        <v>3985.91311989702</v>
      </c>
      <c r="R50" s="17" t="n">
        <f aca="false">(((R48*R29)*Assumptions!$G$76)*Assumptions!$G$77)</f>
        <v>4409.92221907632</v>
      </c>
      <c r="S50" s="17" t="n">
        <f aca="false">(((S48*S29)*Assumptions!$G$76)*Assumptions!$G$77)</f>
        <v>4869.78355156473</v>
      </c>
      <c r="T50" s="17" t="n">
        <f aca="false">(((T48*T29)*Assumptions!$G$76)*Assumptions!$G$77)</f>
        <v>5368.84572275593</v>
      </c>
      <c r="U50" s="17" t="n">
        <f aca="false">(((U48*U29)*Assumptions!$G$76)*Assumptions!$G$77)</f>
        <v>5910.65133858345</v>
      </c>
      <c r="V50" s="17" t="n">
        <f aca="false">(((V48*V29)*Assumptions!$G$76)*Assumptions!$G$77)</f>
        <v>6499.04471568822</v>
      </c>
      <c r="W50" s="17" t="n">
        <f aca="false">(((W48*W29)*Assumptions!$G$76)*Assumptions!$G$77)</f>
        <v>7138.20176622431</v>
      </c>
      <c r="X50" s="17" t="n">
        <f aca="false">(((X48*X29)*Assumptions!$G$76)*Assumptions!$G$77)</f>
        <v>7832.66047795546</v>
      </c>
      <c r="Y50" s="17" t="n">
        <f aca="false">(((Y48*Y29)*Assumptions!$G$76)*Assumptions!$G$77)</f>
        <v>8587.3539687939</v>
      </c>
      <c r="Z50" s="17" t="n">
        <f aca="false">(((Z48*Z29)*Assumptions!$G$76)*Assumptions!$G$77)</f>
        <v>9407.64639996313</v>
      </c>
      <c r="AA50" s="17" t="n">
        <f aca="false">(((AA48*AA29)*Assumptions!$G$76)*Assumptions!$G$77)</f>
        <v>10273.6490670422</v>
      </c>
      <c r="AB50" s="17" t="n">
        <f aca="false">(((AB48*AB29)*Assumptions!$G$76)*Assumptions!$G$77)</f>
        <v>11214.4156207778</v>
      </c>
      <c r="AC50" s="17" t="n">
        <f aca="false">(((AC48*AC29)*Assumptions!$G$76)*Assumptions!$G$77)</f>
        <v>12237.1572624114</v>
      </c>
      <c r="AD50" s="17" t="n">
        <f aca="false">(((AD48*AD29)*Assumptions!$G$76)*Assumptions!$G$77)</f>
        <v>13346.9837377709</v>
      </c>
      <c r="AE50" s="17" t="n">
        <f aca="false">(((AE48*AE29)*Assumptions!$G$76)*Assumptions!$G$77)</f>
        <v>14553.7949358018</v>
      </c>
      <c r="AF50" s="17" t="n">
        <f aca="false">(((AF48*AF29)*Assumptions!$G$76)*Assumptions!$G$77)</f>
        <v>15866.2549391029</v>
      </c>
      <c r="AG50" s="17" t="n">
        <f aca="false">(((AG48*AG29)*Assumptions!$G$76)*Assumptions!$G$77)</f>
        <v>17293.747041549</v>
      </c>
      <c r="AH50" s="17" t="n">
        <f aca="false">(((AH48*AH29)*Assumptions!$G$76)*Assumptions!$G$77)</f>
        <v>18846.4845576865</v>
      </c>
      <c r="AI50" s="17" t="n">
        <f aca="false">(((AI48*AI29)*Assumptions!$G$76)*Assumptions!$G$77)</f>
        <v>20535.5862099625</v>
      </c>
      <c r="AJ50" s="17" t="n">
        <f aca="false">(((AJ48*AJ29)*Assumptions!$G$76)*Assumptions!$G$77)</f>
        <v>22373.157209281</v>
      </c>
      <c r="AK50" s="17" t="n">
        <f aca="false">(((AK48*AK29)*Assumptions!$G$76)*Assumptions!$G$77)</f>
        <v>24372.3775357328</v>
      </c>
      <c r="AL50" s="17" t="n">
        <f aca="false">(((AL48*AL29)*Assumptions!$G$76)*Assumptions!$G$77)</f>
        <v>26547.5980898296</v>
      </c>
    </row>
    <row r="52" customFormat="false" ht="15" hidden="false" customHeight="false" outlineLevel="0" collapsed="false">
      <c r="A52" s="4" t="s">
        <v>426</v>
      </c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</row>
    <row r="53" customFormat="false" ht="15" hidden="false" customHeight="false" outlineLevel="0" collapsed="false">
      <c r="A53" s="6" t="s">
        <v>427</v>
      </c>
      <c r="B53" s="2" t="s">
        <v>428</v>
      </c>
      <c r="C53" s="14" t="n">
        <f aca="false">(C24*Assumptions!$G$35)</f>
        <v>443.8539</v>
      </c>
      <c r="D53" s="14" t="n">
        <f aca="false">(D24*Assumptions!$G$35)</f>
        <v>891.128683551591</v>
      </c>
      <c r="E53" s="14" t="n">
        <f aca="false">(E24*Assumptions!$G$35)</f>
        <v>1336.16584507427</v>
      </c>
      <c r="F53" s="14" t="n">
        <f aca="false">(F24*Assumptions!$G$35)</f>
        <v>1820.69964734424</v>
      </c>
      <c r="G53" s="14" t="n">
        <f aca="false">(G24*Assumptions!$G$35)</f>
        <v>2310.68932869845</v>
      </c>
      <c r="H53" s="14" t="n">
        <f aca="false">(H24*Assumptions!$G$35)</f>
        <v>2809.62480398132</v>
      </c>
      <c r="I53" s="14" t="n">
        <f aca="false">(I24*Assumptions!$G$35)</f>
        <v>3321.80043184304</v>
      </c>
      <c r="J53" s="14" t="n">
        <f aca="false">(J24*Assumptions!$G$35)</f>
        <v>3851.53195265883</v>
      </c>
      <c r="K53" s="14" t="n">
        <f aca="false">(K24*Assumptions!$G$35)</f>
        <v>4403.17902225529</v>
      </c>
      <c r="L53" s="14" t="n">
        <f aca="false">(L24*Assumptions!$G$35)</f>
        <v>4981.18508295397</v>
      </c>
      <c r="M53" s="14" t="n">
        <f aca="false">(M24*Assumptions!$G$35)</f>
        <v>5590.11728160212</v>
      </c>
      <c r="N53" s="14" t="n">
        <f aca="false">(N24*Assumptions!$G$35)</f>
        <v>6234.70643405563</v>
      </c>
      <c r="O53" s="14" t="n">
        <f aca="false">(O24*Assumptions!$G$35)</f>
        <v>6919.88741289117</v>
      </c>
      <c r="P53" s="14" t="n">
        <f aca="false">(P24*Assumptions!$G$35)</f>
        <v>7650.65270644708</v>
      </c>
      <c r="Q53" s="14" t="n">
        <f aca="false">(Q24*Assumptions!$G$35)</f>
        <v>8432.4629711171</v>
      </c>
      <c r="R53" s="14" t="n">
        <f aca="false">(R24*Assumptions!$G$35)</f>
        <v>9271.11689742235</v>
      </c>
      <c r="S53" s="14" t="n">
        <f aca="false">(S24*Assumptions!$G$35)</f>
        <v>10172.7731371152</v>
      </c>
      <c r="T53" s="14" t="n">
        <f aca="false">(T24*Assumptions!$G$35)</f>
        <v>11144.029836552</v>
      </c>
      <c r="U53" s="14" t="n">
        <f aca="false">(U24*Assumptions!$G$35)</f>
        <v>12191.960483275</v>
      </c>
      <c r="V53" s="14" t="n">
        <f aca="false">(V24*Assumptions!$G$35)</f>
        <v>13324.1672469768</v>
      </c>
      <c r="W53" s="14" t="n">
        <f aca="false">(W24*Assumptions!$G$35)</f>
        <v>14548.8385409279</v>
      </c>
      <c r="X53" s="14" t="n">
        <f aca="false">(X24*Assumptions!$G$35)</f>
        <v>15874.8106135521</v>
      </c>
      <c r="Y53" s="14" t="n">
        <f aca="false">(Y24*Assumptions!$G$35)</f>
        <v>17311.6336295583</v>
      </c>
      <c r="Z53" s="14" t="n">
        <f aca="false">(Z24*Assumptions!$G$35)</f>
        <v>18869.6427512751</v>
      </c>
      <c r="AA53" s="14" t="n">
        <f aca="false">(AA24*Assumptions!$G$35)</f>
        <v>20560.0347654179</v>
      </c>
      <c r="AB53" s="14" t="n">
        <f aca="false">(AB24*Assumptions!$G$35)</f>
        <v>22394.8536708866</v>
      </c>
      <c r="AC53" s="14" t="n">
        <f aca="false">(AC24*Assumptions!$G$35)</f>
        <v>24387.270941034</v>
      </c>
      <c r="AD53" s="14" t="n">
        <f aca="false">(AD24*Assumptions!$G$35)</f>
        <v>26551.5922531456</v>
      </c>
      <c r="AE53" s="14" t="n">
        <f aca="false">(AE24*Assumptions!$G$35)</f>
        <v>28903.3501902188</v>
      </c>
      <c r="AF53" s="14" t="n">
        <f aca="false">(AF24*Assumptions!$G$35)</f>
        <v>31459.4345264937</v>
      </c>
      <c r="AG53" s="14" t="n">
        <f aca="false">(AG24*Assumptions!$G$35)</f>
        <v>34238.2082587125</v>
      </c>
      <c r="AH53" s="14" t="n">
        <f aca="false">(AH24*Assumptions!$G$35)</f>
        <v>37259.6417921553</v>
      </c>
      <c r="AI53" s="14" t="n">
        <f aca="false">(AI24*Assumptions!$G$35)</f>
        <v>40545.4591762163</v>
      </c>
      <c r="AJ53" s="14" t="n">
        <f aca="false">(AJ24*Assumptions!$G$35)</f>
        <v>44119.2971389114</v>
      </c>
      <c r="AK53" s="14" t="n">
        <f aca="false">(AK24*Assumptions!$G$35)</f>
        <v>48006.8780865654</v>
      </c>
      <c r="AL53" s="14" t="n">
        <f aca="false">(AL24*Assumptions!$G$35)</f>
        <v>52236.198348241</v>
      </c>
    </row>
    <row r="54" customFormat="false" ht="15" hidden="false" customHeight="false" outlineLevel="0" collapsed="false">
      <c r="A54" s="6" t="s">
        <v>429</v>
      </c>
      <c r="B54" s="2" t="s">
        <v>430</v>
      </c>
      <c r="C54" s="14" t="n">
        <f aca="false">((C26*Assumptions!$G$36)/12)</f>
        <v>452.3297625</v>
      </c>
      <c r="D54" s="14" t="n">
        <f aca="false">((D26*Assumptions!$G$36)/12)</f>
        <v>957.495490875</v>
      </c>
      <c r="E54" s="14" t="n">
        <f aca="false">((E26*Assumptions!$G$36)/12)</f>
        <v>1510.11097422624</v>
      </c>
      <c r="F54" s="14" t="n">
        <f aca="false">((F26*Assumptions!$G$36)/12)</f>
        <v>2152.45864617992</v>
      </c>
      <c r="G54" s="14" t="n">
        <f aca="false">((G26*Assumptions!$G$36)/12)</f>
        <v>2854.23912214431</v>
      </c>
      <c r="H54" s="14" t="n">
        <f aca="false">((H26*Assumptions!$G$36)/12)</f>
        <v>3619.61557080908</v>
      </c>
      <c r="I54" s="14" t="n">
        <f aca="false">((I26*Assumptions!$G$36)/12)</f>
        <v>4453.95899146947</v>
      </c>
      <c r="J54" s="14" t="n">
        <f aca="false">((J26*Assumptions!$G$36)/12)</f>
        <v>5363.13964037464</v>
      </c>
      <c r="K54" s="14" t="n">
        <f aca="false">((K26*Assumptions!$G$36)/12)</f>
        <v>6353.55237207983</v>
      </c>
      <c r="L54" s="14" t="n">
        <f aca="false">((L26*Assumptions!$G$36)/12)</f>
        <v>7432.1621545957</v>
      </c>
      <c r="M54" s="14" t="n">
        <f aca="false">((M26*Assumptions!$G$36)/12)</f>
        <v>8606.55406547157</v>
      </c>
      <c r="N54" s="14" t="n">
        <f aca="false">((N26*Assumptions!$G$36)/12)</f>
        <v>9884.98777349161</v>
      </c>
      <c r="O54" s="14" t="n">
        <f aca="false">((O26*Assumptions!$G$36)/12)</f>
        <v>11068.3852043708</v>
      </c>
      <c r="P54" s="14" t="n">
        <f aca="false">((P26*Assumptions!$G$36)/12)</f>
        <v>12350.11451928</v>
      </c>
      <c r="Q54" s="14" t="n">
        <f aca="false">((Q26*Assumptions!$G$36)/12)</f>
        <v>13743.2865864315</v>
      </c>
      <c r="R54" s="14" t="n">
        <f aca="false">((R26*Assumptions!$G$36)/12)</f>
        <v>15240.0363281764</v>
      </c>
      <c r="S54" s="14" t="n">
        <f aca="false">((S26*Assumptions!$G$36)/12)</f>
        <v>16866.8978639101</v>
      </c>
      <c r="T54" s="14" t="n">
        <f aca="false">((T26*Assumptions!$G$36)/12)</f>
        <v>18635.6851735066</v>
      </c>
      <c r="U54" s="14" t="n">
        <f aca="false">((U26*Assumptions!$G$36)/12)</f>
        <v>20558.87466593</v>
      </c>
      <c r="V54" s="14" t="n">
        <f aca="false">((V26*Assumptions!$G$36)/12)</f>
        <v>22650.0383333419</v>
      </c>
      <c r="W54" s="14" t="n">
        <f aca="false">((W26*Assumptions!$G$36)/12)</f>
        <v>24923.9495360632</v>
      </c>
      <c r="X54" s="14" t="n">
        <f aca="false">((X26*Assumptions!$G$36)/12)</f>
        <v>27396.690014646</v>
      </c>
      <c r="Y54" s="14" t="n">
        <f aca="false">((Y26*Assumptions!$G$36)/12)</f>
        <v>30085.7662640455</v>
      </c>
      <c r="Z54" s="14" t="n">
        <f aca="false">((Z26*Assumptions!$G$36)/12)</f>
        <v>33010.2362873066</v>
      </c>
      <c r="AA54" s="14" t="n">
        <f aca="false">((AA26*Assumptions!$G$36)/12)</f>
        <v>36078.488948345</v>
      </c>
      <c r="AB54" s="14" t="n">
        <f aca="false">((AB26*Assumptions!$G$36)/12)</f>
        <v>39412.3349817926</v>
      </c>
      <c r="AC54" s="14" t="n">
        <f aca="false">((AC26*Assumptions!$G$36)/12)</f>
        <v>43037.7021006323</v>
      </c>
      <c r="AD54" s="14" t="n">
        <f aca="false">((AD26*Assumptions!$G$36)/12)</f>
        <v>46970.8597053663</v>
      </c>
      <c r="AE54" s="14" t="n">
        <f aca="false">((AE26*Assumptions!$G$36)/12)</f>
        <v>51248.482109269</v>
      </c>
      <c r="AF54" s="14" t="n">
        <f aca="false">((AF26*Assumptions!$G$36)/12)</f>
        <v>55901.2722089165</v>
      </c>
      <c r="AG54" s="14" t="n">
        <f aca="false">((AG26*Assumptions!$G$36)/12)</f>
        <v>60962.4518209392</v>
      </c>
      <c r="AH54" s="14" t="n">
        <f aca="false">((AH26*Assumptions!$G$36)/12)</f>
        <v>66468.188923256</v>
      </c>
      <c r="AI54" s="14" t="n">
        <f aca="false">((AI26*Assumptions!$G$36)/12)</f>
        <v>72457.8650842851</v>
      </c>
      <c r="AJ54" s="14" t="n">
        <f aca="false">((AJ26*Assumptions!$G$36)/12)</f>
        <v>78974.3623502344</v>
      </c>
      <c r="AK54" s="14" t="n">
        <f aca="false">((AK26*Assumptions!$G$36)/12)</f>
        <v>86064.3756786588</v>
      </c>
      <c r="AL54" s="14" t="n">
        <f aca="false">((AL26*Assumptions!$G$36)/12)</f>
        <v>93778.7533048298</v>
      </c>
    </row>
    <row r="55" customFormat="false" ht="15" hidden="false" customHeight="false" outlineLevel="0" collapsed="false">
      <c r="A55" s="6" t="s">
        <v>431</v>
      </c>
      <c r="B55" s="2" t="s">
        <v>432</v>
      </c>
      <c r="C55" s="14" t="n">
        <f aca="false">((C28*Assumptions!$G$37)/12)</f>
        <v>49.3376625</v>
      </c>
      <c r="D55" s="14" t="n">
        <f aca="false">((D28*Assumptions!$G$37)/12)</f>
        <v>104.438383875</v>
      </c>
      <c r="E55" s="14" t="n">
        <f aca="false">((E28*Assumptions!$G$37)/12)</f>
        <v>164.71466562831</v>
      </c>
      <c r="F55" s="14" t="n">
        <f aca="false">((F28*Assumptions!$G$37)/12)</f>
        <v>234.778444919224</v>
      </c>
      <c r="G55" s="14" t="n">
        <f aca="false">((G28*Assumptions!$G$37)/12)</f>
        <v>311.324830195432</v>
      </c>
      <c r="H55" s="14" t="n">
        <f aca="false">((H28*Assumptions!$G$37)/12)</f>
        <v>394.807917182595</v>
      </c>
      <c r="I55" s="14" t="n">
        <f aca="false">((I28*Assumptions!$G$37)/12)</f>
        <v>485.813545178693</v>
      </c>
      <c r="J55" s="14" t="n">
        <f aca="false">((J28*Assumptions!$G$37)/12)</f>
        <v>584.982009706193</v>
      </c>
      <c r="K55" s="14" t="n">
        <f aca="false">((K28*Assumptions!$G$37)/12)</f>
        <v>693.010826608494</v>
      </c>
      <c r="L55" s="14" t="n">
        <f aca="false">((L28*Assumptions!$G$37)/12)</f>
        <v>810.659696594065</v>
      </c>
      <c r="M55" s="14" t="n">
        <f aca="false">((M28*Assumptions!$G$37)/12)</f>
        <v>938.755958536421</v>
      </c>
      <c r="N55" s="14" t="n">
        <f aca="false">((N28*Assumptions!$G$37)/12)</f>
        <v>1078.20053204028</v>
      </c>
      <c r="O55" s="14" t="n">
        <f aca="false">((O28*Assumptions!$G$37)/12)</f>
        <v>1202.83867734384</v>
      </c>
      <c r="P55" s="14" t="n">
        <f aca="false">((P28*Assumptions!$G$37)/12)</f>
        <v>1337.683652742</v>
      </c>
      <c r="Q55" s="14" t="n">
        <f aca="false">((Q28*Assumptions!$G$37)/12)</f>
        <v>1484.21839506876</v>
      </c>
      <c r="R55" s="14" t="n">
        <f aca="false">((R28*Assumptions!$G$37)/12)</f>
        <v>1641.16995022314</v>
      </c>
      <c r="S55" s="14" t="n">
        <f aca="false">((S28*Assumptions!$G$37)/12)</f>
        <v>1811.72995541351</v>
      </c>
      <c r="T55" s="14" t="n">
        <f aca="false">((T28*Assumptions!$G$37)/12)</f>
        <v>1997.14614649</v>
      </c>
      <c r="U55" s="14" t="n">
        <f aca="false">((U28*Assumptions!$G$37)/12)</f>
        <v>2198.72665653204</v>
      </c>
      <c r="V55" s="14" t="n">
        <f aca="false">((V28*Assumptions!$G$37)/12)</f>
        <v>2417.89421779633</v>
      </c>
      <c r="W55" s="14" t="n">
        <f aca="false">((W28*Assumptions!$G$37)/12)</f>
        <v>2656.19745139463</v>
      </c>
      <c r="X55" s="14" t="n">
        <f aca="false">((X28*Assumptions!$G$37)/12)</f>
        <v>2915.3220927777</v>
      </c>
      <c r="Y55" s="14" t="n">
        <f aca="false">((Y28*Assumptions!$G$37)/12)</f>
        <v>3197.103194398</v>
      </c>
      <c r="Z55" s="14" t="n">
        <f aca="false">((Z28*Assumptions!$G$37)/12)</f>
        <v>3503.53841647933</v>
      </c>
      <c r="AA55" s="14" t="n">
        <f aca="false">((AA28*Assumptions!$G$37)/12)</f>
        <v>3824.59143232569</v>
      </c>
      <c r="AB55" s="14" t="n">
        <f aca="false">((AB28*Assumptions!$G$37)/12)</f>
        <v>4173.41522473884</v>
      </c>
      <c r="AC55" s="14" t="n">
        <f aca="false">((AC28*Assumptions!$G$37)/12)</f>
        <v>4552.7329352965</v>
      </c>
      <c r="AD55" s="14" t="n">
        <f aca="false">((AD28*Assumptions!$G$37)/12)</f>
        <v>4964.2095671598</v>
      </c>
      <c r="AE55" s="14" t="n">
        <f aca="false">((AE28*Assumptions!$G$37)/12)</f>
        <v>5411.71872469967</v>
      </c>
      <c r="AF55" s="14" t="n">
        <f aca="false">((AF28*Assumptions!$G$37)/12)</f>
        <v>5898.47494707525</v>
      </c>
      <c r="AG55" s="14" t="n">
        <f aca="false">((AG28*Assumptions!$G$37)/12)</f>
        <v>6427.95568501328</v>
      </c>
      <c r="AH55" s="14" t="n">
        <f aca="false">((AH28*Assumptions!$G$37)/12)</f>
        <v>7003.9467799406</v>
      </c>
      <c r="AI55" s="14" t="n">
        <f aca="false">((AI28*Assumptions!$G$37)/12)</f>
        <v>7630.57048329721</v>
      </c>
      <c r="AJ55" s="14" t="n">
        <f aca="false">((AJ28*Assumptions!$G$37)/12)</f>
        <v>8312.31549706622</v>
      </c>
      <c r="AK55" s="14" t="n">
        <f aca="false">((AK28*Assumptions!$G$37)/12)</f>
        <v>9054.06968905155</v>
      </c>
      <c r="AL55" s="14" t="n">
        <f aca="false">((AL28*Assumptions!$G$37)/12)</f>
        <v>9861.15573320647</v>
      </c>
    </row>
    <row r="56" customFormat="false" ht="15" hidden="false" customHeight="false" outlineLevel="0" collapsed="false">
      <c r="A56" s="6" t="s">
        <v>433</v>
      </c>
      <c r="B56" s="2" t="s">
        <v>434</v>
      </c>
      <c r="C56" s="14" t="n">
        <f aca="false">(C21*Assumptions!$G$38)</f>
        <v>690.9</v>
      </c>
      <c r="D56" s="14" t="n">
        <f aca="false">(D21*Assumptions!$G$38)</f>
        <v>771.603</v>
      </c>
      <c r="E56" s="14" t="n">
        <f aca="false">(E21*Assumptions!$G$38)</f>
        <v>844.078964287409</v>
      </c>
      <c r="F56" s="14" t="n">
        <f aca="false">(F21*Assumptions!$G$38)</f>
        <v>981.138194621454</v>
      </c>
      <c r="G56" s="14" t="n">
        <f aca="false">(G21*Assumptions!$G$38)</f>
        <v>1071.91737321021</v>
      </c>
      <c r="H56" s="14" t="n">
        <f aca="false">(H21*Assumptions!$G$38)</f>
        <v>1169.05548169072</v>
      </c>
      <c r="I56" s="14" t="n">
        <f aca="false">(I21*Assumptions!$G$38)</f>
        <v>1274.39739129319</v>
      </c>
      <c r="J56" s="14" t="n">
        <f aca="false">(J21*Assumptions!$G$38)</f>
        <v>1388.70567980496</v>
      </c>
      <c r="K56" s="14" t="n">
        <f aca="false">(K21*Assumptions!$G$38)</f>
        <v>1512.78163204022</v>
      </c>
      <c r="L56" s="14" t="n">
        <f aca="false">(L21*Assumptions!$G$38)</f>
        <v>1647.49605381145</v>
      </c>
      <c r="M56" s="14" t="n">
        <f aca="false">(M21*Assumptions!$G$38)</f>
        <v>1793.79611622204</v>
      </c>
      <c r="N56" s="14" t="n">
        <f aca="false">(N21*Assumptions!$G$38)</f>
        <v>1952.71220710586</v>
      </c>
      <c r="O56" s="14" t="n">
        <f aca="false">(O21*Assumptions!$G$38)</f>
        <v>2125.36537684406</v>
      </c>
      <c r="P56" s="14" t="n">
        <f aca="false">(P21*Assumptions!$G$38)</f>
        <v>2312.68338100691</v>
      </c>
      <c r="Q56" s="14" t="n">
        <f aca="false">(Q21*Assumptions!$G$38)</f>
        <v>2516.24282278083</v>
      </c>
      <c r="R56" s="14" t="n">
        <f aca="false">(R21*Assumptions!$G$38)</f>
        <v>2737.49724701307</v>
      </c>
      <c r="S56" s="14" t="n">
        <f aca="false">(S21*Assumptions!$G$38)</f>
        <v>2977.99173722636</v>
      </c>
      <c r="T56" s="14" t="n">
        <f aca="false">(T21*Assumptions!$G$38)</f>
        <v>3239.45630894929</v>
      </c>
      <c r="U56" s="14" t="n">
        <f aca="false">(U21*Assumptions!$G$38)</f>
        <v>3523.75141401205</v>
      </c>
      <c r="V56" s="14" t="n">
        <f aca="false">(V21*Assumptions!$G$38)</f>
        <v>3832.90125987671</v>
      </c>
      <c r="W56" s="14" t="n">
        <f aca="false">(W21*Assumptions!$G$38)</f>
        <v>4169.10943788336</v>
      </c>
      <c r="X56" s="14" t="n">
        <f aca="false">(X21*Assumptions!$G$38)</f>
        <v>4534.7749719949</v>
      </c>
      <c r="Y56" s="14" t="n">
        <f aca="false">(Y21*Assumptions!$G$38)</f>
        <v>4932.50976708213</v>
      </c>
      <c r="Z56" s="14" t="n">
        <f aca="false">(Z21*Assumptions!$G$38)</f>
        <v>5365.15761452193</v>
      </c>
      <c r="AA56" s="14" t="n">
        <f aca="false">(AA21*Assumptions!$G$38)</f>
        <v>5835.81489566043</v>
      </c>
      <c r="AB56" s="14" t="n">
        <f aca="false">(AB21*Assumptions!$G$38)</f>
        <v>6347.70188440851</v>
      </c>
      <c r="AC56" s="14" t="n">
        <f aca="false">(AC21*Assumptions!$G$38)</f>
        <v>6904.61898797082</v>
      </c>
      <c r="AD56" s="14" t="n">
        <f aca="false">(AD21*Assumptions!$G$38)</f>
        <v>7510.56856345578</v>
      </c>
      <c r="AE56" s="14" t="n">
        <f aca="false">(AE21*Assumptions!$G$38)</f>
        <v>8169.88988462197</v>
      </c>
      <c r="AF56" s="14" t="n">
        <f aca="false">(AF21*Assumptions!$G$38)</f>
        <v>8887.33338769519</v>
      </c>
      <c r="AG56" s="14" t="n">
        <f aca="false">(AG21*Assumptions!$G$38)</f>
        <v>9668.06060917844</v>
      </c>
      <c r="AH56" s="14" t="n">
        <f aca="false">(AH21*Assumptions!$G$38)</f>
        <v>10517.6921506169</v>
      </c>
      <c r="AI56" s="14" t="n">
        <f aca="false">(AI21*Assumptions!$G$38)</f>
        <v>11442.3492231529</v>
      </c>
      <c r="AJ56" s="14" t="n">
        <f aca="false">(AJ21*Assumptions!$G$38)</f>
        <v>12448.698404906</v>
      </c>
      <c r="AK56" s="14" t="n">
        <f aca="false">(AK21*Assumptions!$G$38)</f>
        <v>13544.0003873239</v>
      </c>
      <c r="AL56" s="14" t="n">
        <f aca="false">(AL21*Assumptions!$G$38)</f>
        <v>14736.1630849461</v>
      </c>
    </row>
    <row r="57" customFormat="false" ht="15" hidden="false" customHeight="false" outlineLevel="0" collapsed="false">
      <c r="A57" s="21" t="s">
        <v>435</v>
      </c>
      <c r="B57" s="2" t="s">
        <v>436</v>
      </c>
      <c r="C57" s="23" t="n">
        <f aca="false">(((C53+C54)+C55)+C56)</f>
        <v>1636.421325</v>
      </c>
      <c r="D57" s="23" t="n">
        <f aca="false">(((D53+D54)+D55)+D56)</f>
        <v>2724.66555830159</v>
      </c>
      <c r="E57" s="23" t="n">
        <f aca="false">(((E53+E54)+E55)+E56)</f>
        <v>3855.07044921623</v>
      </c>
      <c r="F57" s="23" t="n">
        <f aca="false">(((F53+F54)+F55)+F56)</f>
        <v>5189.07493306484</v>
      </c>
      <c r="G57" s="23" t="n">
        <f aca="false">(((G53+G54)+G55)+G56)</f>
        <v>6548.17065424841</v>
      </c>
      <c r="H57" s="23" t="n">
        <f aca="false">(((H53+H54)+H55)+H56)</f>
        <v>7993.10377366371</v>
      </c>
      <c r="I57" s="23" t="n">
        <f aca="false">(((I53+I54)+I55)+I56)</f>
        <v>9535.97035978439</v>
      </c>
      <c r="J57" s="23" t="n">
        <f aca="false">(((J53+J54)+J55)+J56)</f>
        <v>11188.3592825446</v>
      </c>
      <c r="K57" s="23" t="n">
        <f aca="false">(((K53+K54)+K55)+K56)</f>
        <v>12962.5238529838</v>
      </c>
      <c r="L57" s="23" t="n">
        <f aca="false">(((L53+L54)+L55)+L56)</f>
        <v>14871.5029879552</v>
      </c>
      <c r="M57" s="23" t="n">
        <f aca="false">(((M53+M54)+M55)+M56)</f>
        <v>16929.2234218321</v>
      </c>
      <c r="N57" s="23" t="n">
        <f aca="false">(((N53+N54)+N55)+N56)</f>
        <v>19150.6069466934</v>
      </c>
      <c r="O57" s="23" t="n">
        <f aca="false">(((O53+O54)+O55)+O56)</f>
        <v>21316.4766714499</v>
      </c>
      <c r="P57" s="23" t="n">
        <f aca="false">(((P53+P54)+P55)+P56)</f>
        <v>23651.134259476</v>
      </c>
      <c r="Q57" s="23" t="n">
        <f aca="false">(((Q53+Q54)+Q55)+Q56)</f>
        <v>26176.2107753982</v>
      </c>
      <c r="R57" s="23" t="n">
        <f aca="false">(((R53+R54)+R55)+R56)</f>
        <v>28889.820422835</v>
      </c>
      <c r="S57" s="23" t="n">
        <f aca="false">(((S53+S54)+S55)+S56)</f>
        <v>31829.3926936652</v>
      </c>
      <c r="T57" s="23" t="n">
        <f aca="false">(((T53+T54)+T55)+T56)</f>
        <v>35016.3174654979</v>
      </c>
      <c r="U57" s="23" t="n">
        <f aca="false">(((U53+U54)+U55)+U56)</f>
        <v>38473.3132197492</v>
      </c>
      <c r="V57" s="23" t="n">
        <f aca="false">(((V53+V54)+V55)+V56)</f>
        <v>42225.0010579917</v>
      </c>
      <c r="W57" s="23" t="n">
        <f aca="false">(((W53+W54)+W55)+W56)</f>
        <v>46298.094966269</v>
      </c>
      <c r="X57" s="23" t="n">
        <f aca="false">(((X53+X54)+X55)+X56)</f>
        <v>50721.5976929708</v>
      </c>
      <c r="Y57" s="23" t="n">
        <f aca="false">(((Y53+Y54)+Y55)+Y56)</f>
        <v>55527.0128550839</v>
      </c>
      <c r="Z57" s="23" t="n">
        <f aca="false">(((Z53+Z54)+Z55)+Z56)</f>
        <v>60748.575069583</v>
      </c>
      <c r="AA57" s="23" t="n">
        <f aca="false">(((AA53+AA54)+AA55)+AA56)</f>
        <v>66298.930041749</v>
      </c>
      <c r="AB57" s="23" t="n">
        <f aca="false">(((AB53+AB54)+AB55)+AB56)</f>
        <v>72328.3057618266</v>
      </c>
      <c r="AC57" s="23" t="n">
        <f aca="false">(((AC53+AC54)+AC55)+AC56)</f>
        <v>78882.3249649336</v>
      </c>
      <c r="AD57" s="23" t="n">
        <f aca="false">(((AD53+AD54)+AD55)+AD56)</f>
        <v>85997.2300891275</v>
      </c>
      <c r="AE57" s="23" t="n">
        <f aca="false">(((AE53+AE54)+AE55)+AE56)</f>
        <v>93733.4409088095</v>
      </c>
      <c r="AF57" s="23" t="n">
        <f aca="false">(((AF53+AF54)+AF55)+AF56)</f>
        <v>102146.515070181</v>
      </c>
      <c r="AG57" s="23" t="n">
        <f aca="false">(((AG53+AG54)+AG55)+AG56)</f>
        <v>111296.676373843</v>
      </c>
      <c r="AH57" s="23" t="n">
        <f aca="false">(((AH53+AH54)+AH55)+AH56)</f>
        <v>121249.469645969</v>
      </c>
      <c r="AI57" s="23" t="n">
        <f aca="false">(((AI53+AI54)+AI55)+AI56)</f>
        <v>132076.243966952</v>
      </c>
      <c r="AJ57" s="23" t="n">
        <f aca="false">(((AJ53+AJ54)+AJ55)+AJ56)</f>
        <v>143854.673391118</v>
      </c>
      <c r="AK57" s="23" t="n">
        <f aca="false">(((AK53+AK54)+AK55)+AK56)</f>
        <v>156669.3238416</v>
      </c>
      <c r="AL57" s="23" t="n">
        <f aca="false">(((AL53+AL54)+AL55)+AL56)</f>
        <v>170612.270471223</v>
      </c>
    </row>
    <row r="58" customFormat="false" ht="15" hidden="false" customHeight="false" outlineLevel="0" collapsed="false">
      <c r="A58" s="6" t="s">
        <v>437</v>
      </c>
      <c r="B58" s="2" t="s">
        <v>438</v>
      </c>
      <c r="C58" s="14" t="n">
        <f aca="false">((-C57)*Assumptions!$G$40)</f>
        <v>-24.546319875</v>
      </c>
      <c r="D58" s="14" t="n">
        <f aca="false">((-D57)*Assumptions!$G$40)</f>
        <v>-40.8699833745239</v>
      </c>
      <c r="E58" s="14" t="n">
        <f aca="false">((-E57)*Assumptions!$G$40)</f>
        <v>-57.8260567382434</v>
      </c>
      <c r="F58" s="14" t="n">
        <f aca="false">((-F57)*Assumptions!$G$40)</f>
        <v>-77.8361239959726</v>
      </c>
      <c r="G58" s="14" t="n">
        <f aca="false">((-G57)*Assumptions!$G$40)</f>
        <v>-98.2225598137261</v>
      </c>
      <c r="H58" s="14" t="n">
        <f aca="false">((-H57)*Assumptions!$G$40)</f>
        <v>-119.896556604956</v>
      </c>
      <c r="I58" s="14" t="n">
        <f aca="false">((-I57)*Assumptions!$G$40)</f>
        <v>-143.039555396766</v>
      </c>
      <c r="J58" s="14" t="n">
        <f aca="false">((-J57)*Assumptions!$G$40)</f>
        <v>-167.825389238169</v>
      </c>
      <c r="K58" s="14" t="n">
        <f aca="false">((-K57)*Assumptions!$G$40)</f>
        <v>-194.437857794758</v>
      </c>
      <c r="L58" s="14" t="n">
        <f aca="false">((-L57)*Assumptions!$G$40)</f>
        <v>-223.072544819328</v>
      </c>
      <c r="M58" s="14" t="n">
        <f aca="false">((-M57)*Assumptions!$G$40)</f>
        <v>-253.938351327482</v>
      </c>
      <c r="N58" s="14" t="n">
        <f aca="false">((-N57)*Assumptions!$G$40)</f>
        <v>-287.259104200401</v>
      </c>
      <c r="O58" s="14" t="n">
        <f aca="false">((-O57)*Assumptions!$G$40)</f>
        <v>-319.747150071748</v>
      </c>
      <c r="P58" s="14" t="n">
        <f aca="false">((-P57)*Assumptions!$G$40)</f>
        <v>-354.76701389214</v>
      </c>
      <c r="Q58" s="14" t="n">
        <f aca="false">((-Q57)*Assumptions!$G$40)</f>
        <v>-392.643161630973</v>
      </c>
      <c r="R58" s="14" t="n">
        <f aca="false">((-R57)*Assumptions!$G$40)</f>
        <v>-433.347306342525</v>
      </c>
      <c r="S58" s="14" t="n">
        <f aca="false">((-S57)*Assumptions!$G$40)</f>
        <v>-477.440890404978</v>
      </c>
      <c r="T58" s="14" t="n">
        <f aca="false">((-T57)*Assumptions!$G$40)</f>
        <v>-525.244761982468</v>
      </c>
      <c r="U58" s="14" t="n">
        <f aca="false">((-U57)*Assumptions!$G$40)</f>
        <v>-577.099698296237</v>
      </c>
      <c r="V58" s="14" t="n">
        <f aca="false">((-V57)*Assumptions!$G$40)</f>
        <v>-633.375015869875</v>
      </c>
      <c r="W58" s="14" t="n">
        <f aca="false">((-W57)*Assumptions!$G$40)</f>
        <v>-694.471424494035</v>
      </c>
      <c r="X58" s="14" t="n">
        <f aca="false">((-X57)*Assumptions!$G$40)</f>
        <v>-760.823965394561</v>
      </c>
      <c r="Y58" s="14" t="n">
        <f aca="false">((-Y57)*Assumptions!$G$40)</f>
        <v>-832.905192826259</v>
      </c>
      <c r="Z58" s="14" t="n">
        <f aca="false">((-Z57)*Assumptions!$G$40)</f>
        <v>-911.228626043744</v>
      </c>
      <c r="AA58" s="14" t="n">
        <f aca="false">((-AA57)*Assumptions!$G$40)</f>
        <v>-994.483950626235</v>
      </c>
      <c r="AB58" s="14" t="n">
        <f aca="false">((-AB57)*Assumptions!$G$40)</f>
        <v>-1084.9245864274</v>
      </c>
      <c r="AC58" s="14" t="n">
        <f aca="false">((-AC57)*Assumptions!$G$40)</f>
        <v>-1183.234874474</v>
      </c>
      <c r="AD58" s="14" t="n">
        <f aca="false">((-AD57)*Assumptions!$G$40)</f>
        <v>-1289.95845133691</v>
      </c>
      <c r="AE58" s="14" t="n">
        <f aca="false">((-AE57)*Assumptions!$G$40)</f>
        <v>-1406.00161363214</v>
      </c>
      <c r="AF58" s="14" t="n">
        <f aca="false">((-AF57)*Assumptions!$G$40)</f>
        <v>-1532.19772605271</v>
      </c>
      <c r="AG58" s="14" t="n">
        <f aca="false">((-AG57)*Assumptions!$G$40)</f>
        <v>-1669.45014560765</v>
      </c>
      <c r="AH58" s="14" t="n">
        <f aca="false">((-AH57)*Assumptions!$G$40)</f>
        <v>-1818.74204468953</v>
      </c>
      <c r="AI58" s="14" t="n">
        <f aca="false">((-AI57)*Assumptions!$G$40)</f>
        <v>-1981.14365950427</v>
      </c>
      <c r="AJ58" s="14" t="n">
        <f aca="false">((-AJ57)*Assumptions!$G$40)</f>
        <v>-2157.82010086677</v>
      </c>
      <c r="AK58" s="14" t="n">
        <f aca="false">((-AK57)*Assumptions!$G$40)</f>
        <v>-2350.039857624</v>
      </c>
      <c r="AL58" s="14" t="n">
        <f aca="false">((-AL57)*Assumptions!$G$40)</f>
        <v>-2559.18405706835</v>
      </c>
    </row>
    <row r="59" customFormat="false" ht="15" hidden="false" customHeight="false" outlineLevel="0" collapsed="false">
      <c r="A59" s="6" t="s">
        <v>439</v>
      </c>
      <c r="B59" s="2" t="s">
        <v>117</v>
      </c>
      <c r="C59" s="14" t="n">
        <f aca="false">((-(C57+C58))*Assumptions!$G$39)</f>
        <v>-241.78125076875</v>
      </c>
      <c r="D59" s="14" t="n">
        <f aca="false">((-(D57+D58))*Assumptions!$G$39)</f>
        <v>-402.56933623906</v>
      </c>
      <c r="E59" s="14" t="n">
        <f aca="false">((-(E57+E58))*Assumptions!$G$39)</f>
        <v>-569.586658871697</v>
      </c>
      <c r="F59" s="14" t="n">
        <f aca="false">((-(F57+F58))*Assumptions!$G$39)</f>
        <v>-766.68582136033</v>
      </c>
      <c r="G59" s="14" t="n">
        <f aca="false">((-(G57+G58))*Assumptions!$G$39)</f>
        <v>-967.492214165202</v>
      </c>
      <c r="H59" s="14" t="n">
        <f aca="false">((-(H57+H58))*Assumptions!$G$39)</f>
        <v>-1180.98108255881</v>
      </c>
      <c r="I59" s="14" t="n">
        <f aca="false">((-(I57+I58))*Assumptions!$G$39)</f>
        <v>-1408.93962065814</v>
      </c>
      <c r="J59" s="14" t="n">
        <f aca="false">((-(J57+J58))*Assumptions!$G$39)</f>
        <v>-1653.08008399597</v>
      </c>
      <c r="K59" s="14" t="n">
        <f aca="false">((-(K57+K58))*Assumptions!$G$39)</f>
        <v>-1915.21289927836</v>
      </c>
      <c r="L59" s="14" t="n">
        <f aca="false">((-(L57+L58))*Assumptions!$G$39)</f>
        <v>-2197.26456647038</v>
      </c>
      <c r="M59" s="14" t="n">
        <f aca="false">((-(M57+M58))*Assumptions!$G$39)</f>
        <v>-2501.2927605757</v>
      </c>
      <c r="N59" s="14" t="n">
        <f aca="false">((-(N57+N58))*Assumptions!$G$39)</f>
        <v>-2829.50217637395</v>
      </c>
      <c r="O59" s="14" t="n">
        <f aca="false">((-(O57+O58))*Assumptions!$G$39)</f>
        <v>-3149.50942820672</v>
      </c>
      <c r="P59" s="14" t="n">
        <f aca="false">((-(P57+P58))*Assumptions!$G$39)</f>
        <v>-3494.45508683758</v>
      </c>
      <c r="Q59" s="14" t="n">
        <f aca="false">((-(Q57+Q58))*Assumptions!$G$39)</f>
        <v>-3867.53514206509</v>
      </c>
      <c r="R59" s="14" t="n">
        <f aca="false">((-(R57+R58))*Assumptions!$G$39)</f>
        <v>-4268.47096747387</v>
      </c>
      <c r="S59" s="14" t="n">
        <f aca="false">((-(S57+S58))*Assumptions!$G$39)</f>
        <v>-4702.79277048904</v>
      </c>
      <c r="T59" s="14" t="n">
        <f aca="false">((-(T57+T58))*Assumptions!$G$39)</f>
        <v>-5173.66090552731</v>
      </c>
      <c r="U59" s="14" t="n">
        <f aca="false">((-(U57+U58))*Assumptions!$G$39)</f>
        <v>-5684.43202821794</v>
      </c>
      <c r="V59" s="14" t="n">
        <f aca="false">((-(V57+V58))*Assumptions!$G$39)</f>
        <v>-6238.74390631827</v>
      </c>
      <c r="W59" s="14" t="n">
        <f aca="false">((-(W57+W58))*Assumptions!$G$39)</f>
        <v>-6840.54353126625</v>
      </c>
      <c r="X59" s="14" t="n">
        <f aca="false">((-(X57+X58))*Assumptions!$G$39)</f>
        <v>-7494.11605913643</v>
      </c>
      <c r="Y59" s="14" t="n">
        <f aca="false">((-(Y57+Y58))*Assumptions!$G$39)</f>
        <v>-8204.11614933865</v>
      </c>
      <c r="Z59" s="14" t="n">
        <f aca="false">((-(Z57+Z58))*Assumptions!$G$39)</f>
        <v>-8975.60196653088</v>
      </c>
      <c r="AA59" s="14" t="n">
        <f aca="false">((-(AA57+AA58))*Assumptions!$G$39)</f>
        <v>-9795.66691366841</v>
      </c>
      <c r="AB59" s="14" t="n">
        <f aca="false">((-(AB57+AB58))*Assumptions!$G$39)</f>
        <v>-10686.5071763099</v>
      </c>
      <c r="AC59" s="14" t="n">
        <f aca="false">((-(AC57+AC58))*Assumptions!$G$39)</f>
        <v>-11654.8635135689</v>
      </c>
      <c r="AD59" s="14" t="n">
        <f aca="false">((-(AD57+AD58))*Assumptions!$G$39)</f>
        <v>-12706.0907456686</v>
      </c>
      <c r="AE59" s="14" t="n">
        <f aca="false">((-(AE57+AE58))*Assumptions!$G$39)</f>
        <v>-13849.1158942766</v>
      </c>
      <c r="AF59" s="14" t="n">
        <f aca="false">((-(AF57+AF58))*Assumptions!$G$39)</f>
        <v>-15092.1476016192</v>
      </c>
      <c r="AG59" s="14" t="n">
        <f aca="false">((-(AG57+AG58))*Assumptions!$G$39)</f>
        <v>-16444.0839342354</v>
      </c>
      <c r="AH59" s="14" t="n">
        <f aca="false">((-(AH57+AH58))*Assumptions!$G$39)</f>
        <v>-17914.6091401919</v>
      </c>
      <c r="AI59" s="14" t="n">
        <f aca="false">((-(AI57+AI58))*Assumptions!$G$39)</f>
        <v>-19514.2650461171</v>
      </c>
      <c r="AJ59" s="14" t="n">
        <f aca="false">((-(AJ57+AJ58))*Assumptions!$G$39)</f>
        <v>-21254.5279935377</v>
      </c>
      <c r="AK59" s="14" t="n">
        <f aca="false">((-(AK57+AK58))*Assumptions!$G$39)</f>
        <v>-23147.8925975964</v>
      </c>
      <c r="AL59" s="14" t="n">
        <f aca="false">((-(AL57+AL58))*Assumptions!$G$39)</f>
        <v>-25207.9629621233</v>
      </c>
    </row>
    <row r="60" customFormat="false" ht="15" hidden="false" customHeight="false" outlineLevel="0" collapsed="false">
      <c r="A60" s="21" t="s">
        <v>440</v>
      </c>
      <c r="B60" s="2" t="s">
        <v>441</v>
      </c>
      <c r="C60" s="23" t="n">
        <f aca="false">((C57+C58)+C59)</f>
        <v>1370.09375435625</v>
      </c>
      <c r="D60" s="23" t="n">
        <f aca="false">((D57+D58)+D59)</f>
        <v>2281.22623868801</v>
      </c>
      <c r="E60" s="23" t="n">
        <f aca="false">((E57+E58)+E59)</f>
        <v>3227.65773360628</v>
      </c>
      <c r="F60" s="23" t="n">
        <f aca="false">((F57+F58)+F59)</f>
        <v>4344.55298770854</v>
      </c>
      <c r="G60" s="23" t="n">
        <f aca="false">((G57+G58)+G59)</f>
        <v>5482.45588026948</v>
      </c>
      <c r="H60" s="23" t="n">
        <f aca="false">((H57+H58)+H59)</f>
        <v>6692.22613449994</v>
      </c>
      <c r="I60" s="23" t="n">
        <f aca="false">((I57+I58)+I59)</f>
        <v>7983.99118372948</v>
      </c>
      <c r="J60" s="23" t="n">
        <f aca="false">((J57+J58)+J59)</f>
        <v>9367.45380931049</v>
      </c>
      <c r="K60" s="23" t="n">
        <f aca="false">((K57+K58)+K59)</f>
        <v>10852.8730959107</v>
      </c>
      <c r="L60" s="23" t="n">
        <f aca="false">((L57+L58)+L59)</f>
        <v>12451.1658766655</v>
      </c>
      <c r="M60" s="23" t="n">
        <f aca="false">((M57+M58)+M59)</f>
        <v>14173.992309929</v>
      </c>
      <c r="N60" s="23" t="n">
        <f aca="false">((N57+N58)+N59)</f>
        <v>16033.845666119</v>
      </c>
      <c r="O60" s="23" t="n">
        <f aca="false">((O57+O58)+O59)</f>
        <v>17847.2200931714</v>
      </c>
      <c r="P60" s="23" t="n">
        <f aca="false">((P57+P58)+P59)</f>
        <v>19801.9121587463</v>
      </c>
      <c r="Q60" s="23" t="n">
        <f aca="false">((Q57+Q58)+Q59)</f>
        <v>21916.0324717022</v>
      </c>
      <c r="R60" s="23" t="n">
        <f aca="false">((R57+R58)+R59)</f>
        <v>24188.0021490186</v>
      </c>
      <c r="S60" s="23" t="n">
        <f aca="false">((S57+S58)+S59)</f>
        <v>26649.1590327712</v>
      </c>
      <c r="T60" s="23" t="n">
        <f aca="false">((T57+T58)+T59)</f>
        <v>29317.4117979881</v>
      </c>
      <c r="U60" s="23" t="n">
        <f aca="false">((U57+U58)+U59)</f>
        <v>32211.781493235</v>
      </c>
      <c r="V60" s="23" t="n">
        <f aca="false">((V57+V58)+V59)</f>
        <v>35352.8821358035</v>
      </c>
      <c r="W60" s="23" t="n">
        <f aca="false">((W57+W58)+W59)</f>
        <v>38763.0800105087</v>
      </c>
      <c r="X60" s="23" t="n">
        <f aca="false">((X57+X58)+X59)</f>
        <v>42466.6576684398</v>
      </c>
      <c r="Y60" s="23" t="n">
        <f aca="false">((Y57+Y58)+Y59)</f>
        <v>46489.991512919</v>
      </c>
      <c r="Z60" s="23" t="n">
        <f aca="false">((Z57+Z58)+Z59)</f>
        <v>50861.7444770083</v>
      </c>
      <c r="AA60" s="23" t="n">
        <f aca="false">((AA57+AA58)+AA59)</f>
        <v>55508.7791774543</v>
      </c>
      <c r="AB60" s="23" t="n">
        <f aca="false">((AB57+AB58)+AB59)</f>
        <v>60556.8739990893</v>
      </c>
      <c r="AC60" s="23" t="n">
        <f aca="false">((AC57+AC58)+AC59)</f>
        <v>66044.2265768907</v>
      </c>
      <c r="AD60" s="23" t="n">
        <f aca="false">((AD57+AD58)+AD59)</f>
        <v>72001.180892122</v>
      </c>
      <c r="AE60" s="23" t="n">
        <f aca="false">((AE57+AE58)+AE59)</f>
        <v>78478.3234009007</v>
      </c>
      <c r="AF60" s="23" t="n">
        <f aca="false">((AF57+AF58)+AF59)</f>
        <v>85522.1697425088</v>
      </c>
      <c r="AG60" s="23" t="n">
        <f aca="false">((AG57+AG58)+AG59)</f>
        <v>93183.1422940004</v>
      </c>
      <c r="AH60" s="23" t="n">
        <f aca="false">((AH57+AH58)+AH59)</f>
        <v>101516.118461087</v>
      </c>
      <c r="AI60" s="23" t="n">
        <f aca="false">((AI57+AI58)+AI59)</f>
        <v>110580.83526133</v>
      </c>
      <c r="AJ60" s="23" t="n">
        <f aca="false">((AJ57+AJ58)+AJ59)</f>
        <v>120442.325296714</v>
      </c>
      <c r="AK60" s="23" t="n">
        <f aca="false">((AK57+AK58)+AK59)</f>
        <v>131171.391386379</v>
      </c>
      <c r="AL60" s="23" t="n">
        <f aca="false">((AL57+AL58)+AL59)</f>
        <v>142845.123452032</v>
      </c>
    </row>
    <row r="61" customFormat="false" ht="15" hidden="false" customHeight="false" outlineLevel="0" collapsed="false">
      <c r="A61" s="6" t="s">
        <v>442</v>
      </c>
      <c r="B61" s="2" t="s">
        <v>443</v>
      </c>
      <c r="C61" s="14" t="n">
        <f aca="false">(((C41/1000)*Assumptions!$G$51)*Assumptions!$G$54)</f>
        <v>0</v>
      </c>
      <c r="D61" s="14" t="n">
        <f aca="false">(((D41/1000)*Assumptions!$G$51)*Assumptions!$G$54)</f>
        <v>0</v>
      </c>
      <c r="E61" s="14" t="n">
        <f aca="false">(((E41/1000)*Assumptions!$G$51)*Assumptions!$G$54)</f>
        <v>0</v>
      </c>
      <c r="F61" s="14" t="n">
        <f aca="false">(((F41/1000)*Assumptions!$G$51)*Assumptions!$G$54)</f>
        <v>168.452297488428</v>
      </c>
      <c r="G61" s="14" t="n">
        <f aca="false">(((G41/1000)*Assumptions!$G$51)*Assumptions!$G$54)</f>
        <v>199.459404455335</v>
      </c>
      <c r="H61" s="14" t="n">
        <f aca="false">(((H41/1000)*Assumptions!$G$51)*Assumptions!$G$54)</f>
        <v>232.167616564354</v>
      </c>
      <c r="I61" s="14" t="n">
        <f aca="false">(((I41/1000)*Assumptions!$G$51)*Assumptions!$G$54)</f>
        <v>266.890698423032</v>
      </c>
      <c r="J61" s="14" t="n">
        <f aca="false">(((J41/1000)*Assumptions!$G$51)*Assumptions!$G$54)</f>
        <v>303.851954377139</v>
      </c>
      <c r="K61" s="14" t="n">
        <f aca="false">(((K41/1000)*Assumptions!$G$51)*Assumptions!$G$54)</f>
        <v>343.28946004595</v>
      </c>
      <c r="L61" s="14" t="n">
        <f aca="false">(((L41/1000)*Assumptions!$G$51)*Assumptions!$G$54)</f>
        <v>385.460035198085</v>
      </c>
      <c r="M61" s="14" t="n">
        <f aca="false">(((M41/1000)*Assumptions!$G$51)*Assumptions!$G$54)</f>
        <v>430.641081318568</v>
      </c>
      <c r="N61" s="14" t="n">
        <f aca="false">(((N41/1000)*Assumptions!$G$51)*Assumptions!$G$54)</f>
        <v>479.132521302869</v>
      </c>
      <c r="O61" s="14" t="n">
        <f aca="false">(((O41/1000)*Assumptions!$G$51)*Assumptions!$G$54)</f>
        <v>531.258905175374</v>
      </c>
      <c r="P61" s="14" t="n">
        <f aca="false">(((P41/1000)*Assumptions!$G$51)*Assumptions!$G$54)</f>
        <v>587.33698043216</v>
      </c>
      <c r="Q61" s="14" t="n">
        <f aca="false">(((Q41/1000)*Assumptions!$G$51)*Assumptions!$G$54)</f>
        <v>647.770291816527</v>
      </c>
      <c r="R61" s="14" t="n">
        <f aca="false">(((R41/1000)*Assumptions!$G$51)*Assumptions!$G$54)</f>
        <v>712.97227031434</v>
      </c>
      <c r="S61" s="14" t="n">
        <f aca="false">(((S41/1000)*Assumptions!$G$51)*Assumptions!$G$54)</f>
        <v>783.387345898233</v>
      </c>
      <c r="T61" s="14" t="n">
        <f aca="false">(((T41/1000)*Assumptions!$G$51)*Assumptions!$G$54)</f>
        <v>859.503018390114</v>
      </c>
      <c r="U61" s="14" t="n">
        <f aca="false">(((U41/1000)*Assumptions!$G$51)*Assumptions!$G$54)</f>
        <v>941.846510910093</v>
      </c>
      <c r="V61" s="14" t="n">
        <f aca="false">(((V41/1000)*Assumptions!$G$51)*Assumptions!$G$54)</f>
        <v>1030.99037845153</v>
      </c>
      <c r="W61" s="14" t="n">
        <f aca="false">(((W41/1000)*Assumptions!$G$51)*Assumptions!$G$54)</f>
        <v>1127.55670677444</v>
      </c>
      <c r="X61" s="14" t="n">
        <f aca="false">(((X41/1000)*Assumptions!$G$51)*Assumptions!$G$54)</f>
        <v>1232.22159236059</v>
      </c>
      <c r="Y61" s="14" t="n">
        <f aca="false">(((Y41/1000)*Assumptions!$G$51)*Assumptions!$G$54)</f>
        <v>1345.72001594152</v>
      </c>
      <c r="Z61" s="14" t="n">
        <f aca="false">(((Z41/1000)*Assumptions!$G$51)*Assumptions!$G$54)</f>
        <v>1468.85114799408</v>
      </c>
      <c r="AA61" s="14" t="n">
        <f aca="false">(((AA41/1000)*Assumptions!$G$51)*Assumptions!$G$54)</f>
        <v>1602.48412512365</v>
      </c>
      <c r="AB61" s="14" t="n">
        <f aca="false">(((AB41/1000)*Assumptions!$G$51)*Assumptions!$G$54)</f>
        <v>1747.54636041919</v>
      </c>
      <c r="AC61" s="14" t="n">
        <f aca="false">(((AC41/1000)*Assumptions!$G$51)*Assumptions!$G$54)</f>
        <v>1905.07810934778</v>
      </c>
      <c r="AD61" s="14" t="n">
        <f aca="false">(((AD41/1000)*Assumptions!$G$51)*Assumptions!$G$54)</f>
        <v>2076.19867422155</v>
      </c>
      <c r="AE61" s="14" t="n">
        <f aca="false">(((AE41/1000)*Assumptions!$G$51)*Assumptions!$G$54)</f>
        <v>2262.1239464265</v>
      </c>
      <c r="AF61" s="14" t="n">
        <f aca="false">(((AF41/1000)*Assumptions!$G$51)*Assumptions!$G$54)</f>
        <v>2464.17984952473</v>
      </c>
      <c r="AG61" s="14" t="n">
        <f aca="false">(((AG41/1000)*Assumptions!$G$51)*Assumptions!$G$54)</f>
        <v>2683.80843742262</v>
      </c>
      <c r="AH61" s="14" t="n">
        <f aca="false">(((AH41/1000)*Assumptions!$G$51)*Assumptions!$G$54)</f>
        <v>2922.57933370077</v>
      </c>
      <c r="AI61" s="14" t="n">
        <f aca="false">(((AI41/1000)*Assumptions!$G$51)*Assumptions!$G$54)</f>
        <v>3182.20120382363</v>
      </c>
      <c r="AJ61" s="14" t="n">
        <f aca="false">(((AJ41/1000)*Assumptions!$G$51)*Assumptions!$G$54)</f>
        <v>3464.53420491225</v>
      </c>
      <c r="AK61" s="14" t="n">
        <f aca="false">(((AK41/1000)*Assumptions!$G$51)*Assumptions!$G$54)</f>
        <v>3771.60354598343</v>
      </c>
      <c r="AL61" s="14" t="n">
        <f aca="false">(((AL41/1000)*Assumptions!$G$51)*Assumptions!$G$54)</f>
        <v>4105.61425982124</v>
      </c>
    </row>
    <row r="62" customFormat="false" ht="15" hidden="false" customHeight="false" outlineLevel="0" collapsed="false">
      <c r="A62" s="6" t="s">
        <v>444</v>
      </c>
      <c r="B62" s="2" t="s">
        <v>445</v>
      </c>
      <c r="C62" s="14" t="n">
        <f aca="false">(((C42/1000)*Assumptions!$G$52)*Assumptions!$G$54)</f>
        <v>0</v>
      </c>
      <c r="D62" s="14" t="n">
        <f aca="false">(((D42/1000)*Assumptions!$G$52)*Assumptions!$G$54)</f>
        <v>0</v>
      </c>
      <c r="E62" s="14" t="n">
        <f aca="false">(((E42/1000)*Assumptions!$G$52)*Assumptions!$G$54)</f>
        <v>0</v>
      </c>
      <c r="F62" s="14" t="n">
        <f aca="false">(((F42/1000)*Assumptions!$G$52)*Assumptions!$G$54)</f>
        <v>105.282685930268</v>
      </c>
      <c r="G62" s="14" t="n">
        <f aca="false">(((G42/1000)*Assumptions!$G$52)*Assumptions!$G$54)</f>
        <v>124.662127784584</v>
      </c>
      <c r="H62" s="14" t="n">
        <f aca="false">(((H42/1000)*Assumptions!$G$52)*Assumptions!$G$54)</f>
        <v>145.104760352721</v>
      </c>
      <c r="I62" s="14" t="n">
        <f aca="false">(((I42/1000)*Assumptions!$G$52)*Assumptions!$G$54)</f>
        <v>166.806686514395</v>
      </c>
      <c r="J62" s="14" t="n">
        <f aca="false">(((J42/1000)*Assumptions!$G$52)*Assumptions!$G$54)</f>
        <v>189.907471485712</v>
      </c>
      <c r="K62" s="14" t="n">
        <f aca="false">(((K42/1000)*Assumptions!$G$52)*Assumptions!$G$54)</f>
        <v>214.555912528719</v>
      </c>
      <c r="L62" s="14" t="n">
        <f aca="false">(((L42/1000)*Assumptions!$G$52)*Assumptions!$G$54)</f>
        <v>240.912521998803</v>
      </c>
      <c r="M62" s="14" t="n">
        <f aca="false">(((M42/1000)*Assumptions!$G$52)*Assumptions!$G$54)</f>
        <v>269.150675824105</v>
      </c>
      <c r="N62" s="14" t="n">
        <f aca="false">(((N42/1000)*Assumptions!$G$52)*Assumptions!$G$54)</f>
        <v>299.457825814293</v>
      </c>
      <c r="O62" s="14" t="n">
        <f aca="false">(((O42/1000)*Assumptions!$G$52)*Assumptions!$G$54)</f>
        <v>332.036815734609</v>
      </c>
      <c r="P62" s="14" t="n">
        <f aca="false">(((P42/1000)*Assumptions!$G$52)*Assumptions!$G$54)</f>
        <v>367.0856127701</v>
      </c>
      <c r="Q62" s="14" t="n">
        <f aca="false">(((Q42/1000)*Assumptions!$G$52)*Assumptions!$G$54)</f>
        <v>404.85643238533</v>
      </c>
      <c r="R62" s="14" t="n">
        <f aca="false">(((R42/1000)*Assumptions!$G$52)*Assumptions!$G$54)</f>
        <v>445.607668946463</v>
      </c>
      <c r="S62" s="14" t="n">
        <f aca="false">(((S42/1000)*Assumptions!$G$52)*Assumptions!$G$54)</f>
        <v>489.617091186396</v>
      </c>
      <c r="T62" s="14" t="n">
        <f aca="false">(((T42/1000)*Assumptions!$G$52)*Assumptions!$G$54)</f>
        <v>537.189386493821</v>
      </c>
      <c r="U62" s="14" t="n">
        <f aca="false">(((U42/1000)*Assumptions!$G$52)*Assumptions!$G$54)</f>
        <v>588.654069318808</v>
      </c>
      <c r="V62" s="14" t="n">
        <f aca="false">(((V42/1000)*Assumptions!$G$52)*Assumptions!$G$54)</f>
        <v>644.368986532206</v>
      </c>
      <c r="W62" s="14" t="n">
        <f aca="false">(((W42/1000)*Assumptions!$G$52)*Assumptions!$G$54)</f>
        <v>704.722941734024</v>
      </c>
      <c r="X62" s="14" t="n">
        <f aca="false">(((X42/1000)*Assumptions!$G$52)*Assumptions!$G$54)</f>
        <v>770.13849522537</v>
      </c>
      <c r="Y62" s="14" t="n">
        <f aca="false">(((Y42/1000)*Assumptions!$G$52)*Assumptions!$G$54)</f>
        <v>841.075009963453</v>
      </c>
      <c r="Z62" s="14" t="n">
        <f aca="false">(((Z42/1000)*Assumptions!$G$52)*Assumptions!$G$54)</f>
        <v>918.031967496301</v>
      </c>
      <c r="AA62" s="14" t="n">
        <f aca="false">(((AA42/1000)*Assumptions!$G$52)*Assumptions!$G$54)</f>
        <v>1001.55257820228</v>
      </c>
      <c r="AB62" s="14" t="n">
        <f aca="false">(((AB42/1000)*Assumptions!$G$52)*Assumptions!$G$54)</f>
        <v>1092.21647526199</v>
      </c>
      <c r="AC62" s="14" t="n">
        <f aca="false">(((AC42/1000)*Assumptions!$G$52)*Assumptions!$G$54)</f>
        <v>1190.67381834236</v>
      </c>
      <c r="AD62" s="14" t="n">
        <f aca="false">(((AD42/1000)*Assumptions!$G$52)*Assumptions!$G$54)</f>
        <v>1297.62417138847</v>
      </c>
      <c r="AE62" s="14" t="n">
        <f aca="false">(((AE42/1000)*Assumptions!$G$52)*Assumptions!$G$54)</f>
        <v>1413.82746651656</v>
      </c>
      <c r="AF62" s="14" t="n">
        <f aca="false">(((AF42/1000)*Assumptions!$G$52)*Assumptions!$G$54)</f>
        <v>1540.11240595296</v>
      </c>
      <c r="AG62" s="14" t="n">
        <f aca="false">(((AG42/1000)*Assumptions!$G$52)*Assumptions!$G$54)</f>
        <v>1677.38027338914</v>
      </c>
      <c r="AH62" s="14" t="n">
        <f aca="false">(((AH42/1000)*Assumptions!$G$52)*Assumptions!$G$54)</f>
        <v>1826.61208356298</v>
      </c>
      <c r="AI62" s="14" t="n">
        <f aca="false">(((AI42/1000)*Assumptions!$G$52)*Assumptions!$G$54)</f>
        <v>1988.87575238977</v>
      </c>
      <c r="AJ62" s="14" t="n">
        <f aca="false">(((AJ42/1000)*Assumptions!$G$52)*Assumptions!$G$54)</f>
        <v>2165.33387807015</v>
      </c>
      <c r="AK62" s="14" t="n">
        <f aca="false">(((AK42/1000)*Assumptions!$G$52)*Assumptions!$G$54)</f>
        <v>2357.25221623965</v>
      </c>
      <c r="AL62" s="14" t="n">
        <f aca="false">(((AL42/1000)*Assumptions!$G$52)*Assumptions!$G$54)</f>
        <v>2566.00891238827</v>
      </c>
    </row>
    <row r="63" customFormat="false" ht="15" hidden="false" customHeight="false" outlineLevel="0" collapsed="false">
      <c r="A63" s="6" t="s">
        <v>446</v>
      </c>
      <c r="B63" s="2" t="s">
        <v>447</v>
      </c>
      <c r="C63" s="14" t="n">
        <f aca="false">(((C43/1000)*Assumptions!$G$53)*Assumptions!$G$54)</f>
        <v>0</v>
      </c>
      <c r="D63" s="14" t="n">
        <f aca="false">(((D43/1000)*Assumptions!$G$53)*Assumptions!$G$54)</f>
        <v>0</v>
      </c>
      <c r="E63" s="14" t="n">
        <f aca="false">(((E43/1000)*Assumptions!$G$53)*Assumptions!$G$54)</f>
        <v>0</v>
      </c>
      <c r="F63" s="14" t="n">
        <f aca="false">(((F43/1000)*Assumptions!$G$53)*Assumptions!$G$54)</f>
        <v>126.339223116321</v>
      </c>
      <c r="G63" s="14" t="n">
        <f aca="false">(((G43/1000)*Assumptions!$G$53)*Assumptions!$G$54)</f>
        <v>149.594553341501</v>
      </c>
      <c r="H63" s="14" t="n">
        <f aca="false">(((H43/1000)*Assumptions!$G$53)*Assumptions!$G$54)</f>
        <v>174.125712423265</v>
      </c>
      <c r="I63" s="14" t="n">
        <f aca="false">(((I43/1000)*Assumptions!$G$53)*Assumptions!$G$54)</f>
        <v>200.168023817274</v>
      </c>
      <c r="J63" s="14" t="n">
        <f aca="false">(((J43/1000)*Assumptions!$G$53)*Assumptions!$G$54)</f>
        <v>227.888965782854</v>
      </c>
      <c r="K63" s="14" t="n">
        <f aca="false">(((K43/1000)*Assumptions!$G$53)*Assumptions!$G$54)</f>
        <v>257.467095034463</v>
      </c>
      <c r="L63" s="14" t="n">
        <f aca="false">(((L43/1000)*Assumptions!$G$53)*Assumptions!$G$54)</f>
        <v>289.095026398564</v>
      </c>
      <c r="M63" s="14" t="n">
        <f aca="false">(((M43/1000)*Assumptions!$G$53)*Assumptions!$G$54)</f>
        <v>322.980810988926</v>
      </c>
      <c r="N63" s="14" t="n">
        <f aca="false">(((N43/1000)*Assumptions!$G$53)*Assumptions!$G$54)</f>
        <v>359.349390977152</v>
      </c>
      <c r="O63" s="14" t="n">
        <f aca="false">(((O43/1000)*Assumptions!$G$53)*Assumptions!$G$54)</f>
        <v>398.444178881531</v>
      </c>
      <c r="P63" s="14" t="n">
        <f aca="false">(((P43/1000)*Assumptions!$G$53)*Assumptions!$G$54)</f>
        <v>440.50273532412</v>
      </c>
      <c r="Q63" s="14" t="n">
        <f aca="false">(((Q43/1000)*Assumptions!$G$53)*Assumptions!$G$54)</f>
        <v>485.827718862395</v>
      </c>
      <c r="R63" s="14" t="n">
        <f aca="false">(((R43/1000)*Assumptions!$G$53)*Assumptions!$G$54)</f>
        <v>534.729202735755</v>
      </c>
      <c r="S63" s="14" t="n">
        <f aca="false">(((S43/1000)*Assumptions!$G$53)*Assumptions!$G$54)</f>
        <v>587.540509423675</v>
      </c>
      <c r="T63" s="14" t="n">
        <f aca="false">(((T43/1000)*Assumptions!$G$53)*Assumptions!$G$54)</f>
        <v>644.627263792585</v>
      </c>
      <c r="U63" s="14" t="n">
        <f aca="false">(((U43/1000)*Assumptions!$G$53)*Assumptions!$G$54)</f>
        <v>706.38488318257</v>
      </c>
      <c r="V63" s="14" t="n">
        <f aca="false">(((V43/1000)*Assumptions!$G$53)*Assumptions!$G$54)</f>
        <v>773.242783838647</v>
      </c>
      <c r="W63" s="14" t="n">
        <f aca="false">(((W43/1000)*Assumptions!$G$53)*Assumptions!$G$54)</f>
        <v>845.667530080828</v>
      </c>
      <c r="X63" s="14" t="n">
        <f aca="false">(((X43/1000)*Assumptions!$G$53)*Assumptions!$G$54)</f>
        <v>924.166194270444</v>
      </c>
      <c r="Y63" s="14" t="n">
        <f aca="false">(((Y43/1000)*Assumptions!$G$53)*Assumptions!$G$54)</f>
        <v>1009.29001195614</v>
      </c>
      <c r="Z63" s="14" t="n">
        <f aca="false">(((Z43/1000)*Assumptions!$G$53)*Assumptions!$G$54)</f>
        <v>1101.63836099556</v>
      </c>
      <c r="AA63" s="14" t="n">
        <f aca="false">(((AA43/1000)*Assumptions!$G$53)*Assumptions!$G$54)</f>
        <v>1201.86309384274</v>
      </c>
      <c r="AB63" s="14" t="n">
        <f aca="false">(((AB43/1000)*Assumptions!$G$53)*Assumptions!$G$54)</f>
        <v>1310.65977031439</v>
      </c>
      <c r="AC63" s="14" t="n">
        <f aca="false">(((AC43/1000)*Assumptions!$G$53)*Assumptions!$G$54)</f>
        <v>1428.80858201084</v>
      </c>
      <c r="AD63" s="14" t="n">
        <f aca="false">(((AD43/1000)*Assumptions!$G$53)*Assumptions!$G$54)</f>
        <v>1557.14900566617</v>
      </c>
      <c r="AE63" s="14" t="n">
        <f aca="false">(((AE43/1000)*Assumptions!$G$53)*Assumptions!$G$54)</f>
        <v>1696.59295981987</v>
      </c>
      <c r="AF63" s="14" t="n">
        <f aca="false">(((AF43/1000)*Assumptions!$G$53)*Assumptions!$G$54)</f>
        <v>1848.13488714355</v>
      </c>
      <c r="AG63" s="14" t="n">
        <f aca="false">(((AG43/1000)*Assumptions!$G$53)*Assumptions!$G$54)</f>
        <v>2012.85632806697</v>
      </c>
      <c r="AH63" s="14" t="n">
        <f aca="false">(((AH43/1000)*Assumptions!$G$53)*Assumptions!$G$54)</f>
        <v>2191.93450027558</v>
      </c>
      <c r="AI63" s="14" t="n">
        <f aca="false">(((AI43/1000)*Assumptions!$G$53)*Assumptions!$G$54)</f>
        <v>2386.65090286772</v>
      </c>
      <c r="AJ63" s="14" t="n">
        <f aca="false">(((AJ43/1000)*Assumptions!$G$53)*Assumptions!$G$54)</f>
        <v>2598.40065368418</v>
      </c>
      <c r="AK63" s="14" t="n">
        <f aca="false">(((AK43/1000)*Assumptions!$G$53)*Assumptions!$G$54)</f>
        <v>2828.70265948758</v>
      </c>
      <c r="AL63" s="14" t="n">
        <f aca="false">(((AL43/1000)*Assumptions!$G$53)*Assumptions!$G$54)</f>
        <v>3079.21069486593</v>
      </c>
    </row>
    <row r="64" customFormat="false" ht="15" hidden="false" customHeight="false" outlineLevel="0" collapsed="false">
      <c r="A64" s="21" t="s">
        <v>448</v>
      </c>
      <c r="B64" s="2" t="s">
        <v>449</v>
      </c>
      <c r="C64" s="23" t="n">
        <f aca="false">((C61+C62)+C63)</f>
        <v>0</v>
      </c>
      <c r="D64" s="23" t="n">
        <f aca="false">((D61+D62)+D63)</f>
        <v>0</v>
      </c>
      <c r="E64" s="23" t="n">
        <f aca="false">((E61+E62)+E63)</f>
        <v>0</v>
      </c>
      <c r="F64" s="23" t="n">
        <f aca="false">((F61+F62)+F63)</f>
        <v>400.074206535018</v>
      </c>
      <c r="G64" s="23" t="n">
        <f aca="false">((G61+G62)+G63)</f>
        <v>473.71608558142</v>
      </c>
      <c r="H64" s="23" t="n">
        <f aca="false">((H61+H62)+H63)</f>
        <v>551.398089340341</v>
      </c>
      <c r="I64" s="23" t="n">
        <f aca="false">((I61+I62)+I63)</f>
        <v>633.865408754701</v>
      </c>
      <c r="J64" s="23" t="n">
        <f aca="false">((J61+J62)+J63)</f>
        <v>721.648391645704</v>
      </c>
      <c r="K64" s="23" t="n">
        <f aca="false">((K61+K62)+K63)</f>
        <v>815.312467609132</v>
      </c>
      <c r="L64" s="23" t="n">
        <f aca="false">((L61+L62)+L63)</f>
        <v>915.467583595452</v>
      </c>
      <c r="M64" s="23" t="n">
        <f aca="false">((M61+M62)+M63)</f>
        <v>1022.7725681316</v>
      </c>
      <c r="N64" s="23" t="n">
        <f aca="false">((N61+N62)+N63)</f>
        <v>1137.93973809431</v>
      </c>
      <c r="O64" s="23" t="n">
        <f aca="false">((O61+O62)+O63)</f>
        <v>1261.73989979151</v>
      </c>
      <c r="P64" s="23" t="n">
        <f aca="false">((P61+P62)+P63)</f>
        <v>1394.92532852638</v>
      </c>
      <c r="Q64" s="23" t="n">
        <f aca="false">((Q61+Q62)+Q63)</f>
        <v>1538.45444306425</v>
      </c>
      <c r="R64" s="23" t="n">
        <f aca="false">((R61+R62)+R63)</f>
        <v>1693.30914199656</v>
      </c>
      <c r="S64" s="23" t="n">
        <f aca="false">((S61+S62)+S63)</f>
        <v>1860.5449465083</v>
      </c>
      <c r="T64" s="23" t="n">
        <f aca="false">((T61+T62)+T63)</f>
        <v>2041.31966867652</v>
      </c>
      <c r="U64" s="23" t="n">
        <f aca="false">((U61+U62)+U63)</f>
        <v>2236.88546341147</v>
      </c>
      <c r="V64" s="23" t="n">
        <f aca="false">((V61+V62)+V63)</f>
        <v>2448.60214882238</v>
      </c>
      <c r="W64" s="23" t="n">
        <f aca="false">((W61+W62)+W63)</f>
        <v>2677.94717858929</v>
      </c>
      <c r="X64" s="23" t="n">
        <f aca="false">((X61+X62)+X63)</f>
        <v>2926.52628185641</v>
      </c>
      <c r="Y64" s="23" t="n">
        <f aca="false">((Y61+Y62)+Y63)</f>
        <v>3196.08503786112</v>
      </c>
      <c r="Z64" s="23" t="n">
        <f aca="false">((Z61+Z62)+Z63)</f>
        <v>3488.52147648595</v>
      </c>
      <c r="AA64" s="23" t="n">
        <f aca="false">((AA61+AA62)+AA63)</f>
        <v>3805.89979716866</v>
      </c>
      <c r="AB64" s="23" t="n">
        <f aca="false">((AB61+AB62)+AB63)</f>
        <v>4150.42260599557</v>
      </c>
      <c r="AC64" s="23" t="n">
        <f aca="false">((AC61+AC62)+AC63)</f>
        <v>4524.56050970098</v>
      </c>
      <c r="AD64" s="23" t="n">
        <f aca="false">((AD61+AD62)+AD63)</f>
        <v>4930.97185127619</v>
      </c>
      <c r="AE64" s="23" t="n">
        <f aca="false">((AE61+AE62)+AE63)</f>
        <v>5372.54437276293</v>
      </c>
      <c r="AF64" s="23" t="n">
        <f aca="false">((AF61+AF62)+AF63)</f>
        <v>5852.42714262123</v>
      </c>
      <c r="AG64" s="23" t="n">
        <f aca="false">((AG61+AG62)+AG63)</f>
        <v>6374.04503887873</v>
      </c>
      <c r="AH64" s="23" t="n">
        <f aca="false">((AH61+AH62)+AH63)</f>
        <v>6941.12591753932</v>
      </c>
      <c r="AI64" s="23" t="n">
        <f aca="false">((AI61+AI62)+AI63)</f>
        <v>7557.72785908111</v>
      </c>
      <c r="AJ64" s="23" t="n">
        <f aca="false">((AJ61+AJ62)+AJ63)</f>
        <v>8228.26873666658</v>
      </c>
      <c r="AK64" s="23" t="n">
        <f aca="false">((AK61+AK62)+AK63)</f>
        <v>8957.55842171066</v>
      </c>
      <c r="AL64" s="23" t="n">
        <f aca="false">((AL61+AL62)+AL63)</f>
        <v>9750.83386707544</v>
      </c>
    </row>
    <row r="65" customFormat="false" ht="15" hidden="false" customHeight="false" outlineLevel="0" collapsed="false">
      <c r="A65" s="6" t="s">
        <v>450</v>
      </c>
      <c r="B65" s="2" t="s">
        <v>451</v>
      </c>
      <c r="C65" s="14" t="n">
        <f aca="false">(C45*Assumptions!$G$59)</f>
        <v>0</v>
      </c>
      <c r="D65" s="14" t="n">
        <f aca="false">(D45*Assumptions!$G$59)</f>
        <v>0</v>
      </c>
      <c r="E65" s="14" t="n">
        <f aca="false">(E45*Assumptions!$G$59)</f>
        <v>0</v>
      </c>
      <c r="F65" s="14" t="n">
        <f aca="false">(F45*Assumptions!$G$59)</f>
        <v>0</v>
      </c>
      <c r="G65" s="14" t="n">
        <f aca="false">(G45*Assumptions!$G$59)</f>
        <v>0</v>
      </c>
      <c r="H65" s="14" t="n">
        <f aca="false">(H45*Assumptions!$G$59)</f>
        <v>0</v>
      </c>
      <c r="I65" s="14" t="n">
        <f aca="false">(I45*Assumptions!$G$59)</f>
        <v>369.809679535053</v>
      </c>
      <c r="J65" s="14" t="n">
        <f aca="false">(J45*Assumptions!$G$59)</f>
        <v>423.242764375095</v>
      </c>
      <c r="K65" s="14" t="n">
        <f aca="false">(K45*Assumptions!$G$59)</f>
        <v>480.354565858897</v>
      </c>
      <c r="L65" s="14" t="n">
        <f aca="false">(L45*Assumptions!$G$59)</f>
        <v>541.523097020568</v>
      </c>
      <c r="M65" s="14" t="n">
        <f aca="false">(M45*Assumptions!$G$59)</f>
        <v>607.156393155772</v>
      </c>
      <c r="N65" s="14" t="n">
        <f aca="false">(N45*Assumptions!$G$59)</f>
        <v>677.695398985127</v>
      </c>
      <c r="O65" s="14" t="n">
        <f aca="false">(O45*Assumptions!$G$59)</f>
        <v>752.126972144196</v>
      </c>
      <c r="P65" s="14" t="n">
        <f aca="false">(P45*Assumptions!$G$59)</f>
        <v>832.238880724376</v>
      </c>
      <c r="Q65" s="14" t="n">
        <f aca="false">(Q45*Assumptions!$G$59)</f>
        <v>918.63614172585</v>
      </c>
      <c r="R65" s="14" t="n">
        <f aca="false">(R45*Assumptions!$G$59)</f>
        <v>1011.78648686136</v>
      </c>
      <c r="S65" s="14" t="n">
        <f aca="false">(S45*Assumptions!$G$59)</f>
        <v>1112.44302862535</v>
      </c>
      <c r="T65" s="14" t="n">
        <f aca="false">(T45*Assumptions!$G$59)</f>
        <v>1221.30758186785</v>
      </c>
      <c r="U65" s="14" t="n">
        <f aca="false">(U45*Assumptions!$G$59)</f>
        <v>1339.1367822341</v>
      </c>
      <c r="V65" s="14" t="n">
        <f aca="false">(V45*Assumptions!$G$59)</f>
        <v>1466.75223594211</v>
      </c>
      <c r="W65" s="14" t="n">
        <f aca="false">(W45*Assumptions!$G$59)</f>
        <v>1605.04659588283</v>
      </c>
      <c r="X65" s="14" t="n">
        <f aca="false">(X45*Assumptions!$G$59)</f>
        <v>1754.99000228347</v>
      </c>
      <c r="Y65" s="14" t="n">
        <f aca="false">(Y45*Assumptions!$G$59)</f>
        <v>1917.63708609695</v>
      </c>
      <c r="Z65" s="14" t="n">
        <f aca="false">(Z45*Assumptions!$G$59)</f>
        <v>2094.13459100475</v>
      </c>
      <c r="AA65" s="14" t="n">
        <f aca="false">(AA45*Assumptions!$G$59)</f>
        <v>2284.95798162103</v>
      </c>
      <c r="AB65" s="14" t="n">
        <f aca="false">(AB45*Assumptions!$G$59)</f>
        <v>2492.12288032464</v>
      </c>
      <c r="AC65" s="14" t="n">
        <f aca="false">(AC45*Assumptions!$G$59)</f>
        <v>2717.12883302175</v>
      </c>
      <c r="AD65" s="14" t="n">
        <f aca="false">(AD45*Assumptions!$G$59)</f>
        <v>2961.50985039985</v>
      </c>
      <c r="AE65" s="14" t="n">
        <f aca="false">(AE45*Assumptions!$G$59)</f>
        <v>3227.06279514621</v>
      </c>
      <c r="AF65" s="14" t="n">
        <f aca="false">(AF45*Assumptions!$G$59)</f>
        <v>3515.68318623813</v>
      </c>
      <c r="AG65" s="14" t="n">
        <f aca="false">(AG45*Assumptions!$G$59)</f>
        <v>3829.43137188293</v>
      </c>
      <c r="AH65" s="14" t="n">
        <f aca="false">(AH45*Assumptions!$G$59)</f>
        <v>4170.54996481542</v>
      </c>
      <c r="AI65" s="14" t="n">
        <f aca="false">(AI45*Assumptions!$G$59)</f>
        <v>4541.4802554892</v>
      </c>
      <c r="AJ65" s="14" t="n">
        <f aca="false">(AJ45*Assumptions!$G$59)</f>
        <v>4944.88000194321</v>
      </c>
      <c r="AK65" s="14" t="n">
        <f aca="false">(AK45*Assumptions!$G$59)</f>
        <v>5383.64280549234</v>
      </c>
      <c r="AL65" s="14" t="n">
        <f aca="false">(AL45*Assumptions!$G$59)</f>
        <v>5860.91921714543</v>
      </c>
    </row>
    <row r="66" customFormat="false" ht="15" hidden="false" customHeight="false" outlineLevel="0" collapsed="false">
      <c r="A66" s="6" t="s">
        <v>452</v>
      </c>
      <c r="B66" s="2" t="s">
        <v>453</v>
      </c>
      <c r="C66" s="14" t="n">
        <f aca="false">(((C46*Assumptions!$G$64)/12)+((C47*Assumptions!$G$67)/12))</f>
        <v>0</v>
      </c>
      <c r="D66" s="14" t="n">
        <f aca="false">(((D46*Assumptions!$G$64)/12)+((D47*Assumptions!$G$67)/12))</f>
        <v>0</v>
      </c>
      <c r="E66" s="14" t="n">
        <f aca="false">(((E46*Assumptions!$G$64)/12)+((E47*Assumptions!$G$67)/12))</f>
        <v>0</v>
      </c>
      <c r="F66" s="14" t="n">
        <f aca="false">(((F46*Assumptions!$G$64)/12)+((F47*Assumptions!$G$67)/12))</f>
        <v>0</v>
      </c>
      <c r="G66" s="14" t="n">
        <f aca="false">(((G46*Assumptions!$G$64)/12)+((G47*Assumptions!$G$67)/12))</f>
        <v>0</v>
      </c>
      <c r="H66" s="14" t="n">
        <f aca="false">(((H46*Assumptions!$G$64)/12)+((H47*Assumptions!$G$67)/12))</f>
        <v>0</v>
      </c>
      <c r="I66" s="14" t="n">
        <f aca="false">(((I46*Assumptions!$G$64)/12)+((I47*Assumptions!$G$67)/12))</f>
        <v>0</v>
      </c>
      <c r="J66" s="14" t="n">
        <f aca="false">(((J46*Assumptions!$G$64)/12)+((J47*Assumptions!$G$67)/12))</f>
        <v>0</v>
      </c>
      <c r="K66" s="14" t="n">
        <f aca="false">(((K46*Assumptions!$G$64)/12)+((K47*Assumptions!$G$67)/12))</f>
        <v>0</v>
      </c>
      <c r="L66" s="14" t="n">
        <f aca="false">(((L46*Assumptions!$G$64)/12)+((L47*Assumptions!$G$67)/12))</f>
        <v>0</v>
      </c>
      <c r="M66" s="14" t="n">
        <f aca="false">(((M46*Assumptions!$G$64)/12)+((M47*Assumptions!$G$67)/12))</f>
        <v>0</v>
      </c>
      <c r="N66" s="14" t="n">
        <f aca="false">(((N46*Assumptions!$G$64)/12)+((N47*Assumptions!$G$67)/12))</f>
        <v>0</v>
      </c>
      <c r="O66" s="14" t="n">
        <f aca="false">(((O46*Assumptions!$G$64)/12)+((O47*Assumptions!$G$67)/12))</f>
        <v>0</v>
      </c>
      <c r="P66" s="14" t="n">
        <f aca="false">(((P46*Assumptions!$G$64)/12)+((P47*Assumptions!$G$67)/12))</f>
        <v>0</v>
      </c>
      <c r="Q66" s="14" t="n">
        <f aca="false">(((Q46*Assumptions!$G$64)/12)+((Q47*Assumptions!$G$67)/12))</f>
        <v>0</v>
      </c>
      <c r="R66" s="14" t="n">
        <f aca="false">(((R46*Assumptions!$G$64)/12)+((R47*Assumptions!$G$67)/12))</f>
        <v>0</v>
      </c>
      <c r="S66" s="14" t="n">
        <f aca="false">(((S46*Assumptions!$G$64)/12)+((S47*Assumptions!$G$67)/12))</f>
        <v>0</v>
      </c>
      <c r="T66" s="14" t="n">
        <f aca="false">(((T46*Assumptions!$G$64)/12)+((T47*Assumptions!$G$67)/12))</f>
        <v>0</v>
      </c>
      <c r="U66" s="14" t="n">
        <f aca="false">(((U46*Assumptions!$G$64)/12)+((U47*Assumptions!$G$67)/12))</f>
        <v>0</v>
      </c>
      <c r="V66" s="14" t="n">
        <f aca="false">(((V46*Assumptions!$G$64)/12)+((V47*Assumptions!$G$67)/12))</f>
        <v>0</v>
      </c>
      <c r="W66" s="14" t="n">
        <f aca="false">(((W46*Assumptions!$G$64)/12)+((W47*Assumptions!$G$67)/12))</f>
        <v>0</v>
      </c>
      <c r="X66" s="14" t="n">
        <f aca="false">(((X46*Assumptions!$G$64)/12)+((X47*Assumptions!$G$67)/12))</f>
        <v>0</v>
      </c>
      <c r="Y66" s="14" t="n">
        <f aca="false">(((Y46*Assumptions!$G$64)/12)+((Y47*Assumptions!$G$67)/12))</f>
        <v>0</v>
      </c>
      <c r="Z66" s="14" t="n">
        <f aca="false">(((Z46*Assumptions!$G$64)/12)+((Z47*Assumptions!$G$67)/12))</f>
        <v>0</v>
      </c>
      <c r="AA66" s="14" t="n">
        <f aca="false">(((AA46*Assumptions!$G$64)/12)+((AA47*Assumptions!$G$67)/12))</f>
        <v>0</v>
      </c>
      <c r="AB66" s="14" t="n">
        <f aca="false">(((AB46*Assumptions!$G$64)/12)+((AB47*Assumptions!$G$67)/12))</f>
        <v>0</v>
      </c>
      <c r="AC66" s="14" t="n">
        <f aca="false">(((AC46*Assumptions!$G$64)/12)+((AC47*Assumptions!$G$67)/12))</f>
        <v>0</v>
      </c>
      <c r="AD66" s="14" t="n">
        <f aca="false">(((AD46*Assumptions!$G$64)/12)+((AD47*Assumptions!$G$67)/12))</f>
        <v>0</v>
      </c>
      <c r="AE66" s="14" t="n">
        <f aca="false">(((AE46*Assumptions!$G$64)/12)+((AE47*Assumptions!$G$67)/12))</f>
        <v>0</v>
      </c>
      <c r="AF66" s="14" t="n">
        <f aca="false">(((AF46*Assumptions!$G$64)/12)+((AF47*Assumptions!$G$67)/12))</f>
        <v>0</v>
      </c>
      <c r="AG66" s="14" t="n">
        <f aca="false">(((AG46*Assumptions!$G$64)/12)+((AG47*Assumptions!$G$67)/12))</f>
        <v>0</v>
      </c>
      <c r="AH66" s="14" t="n">
        <f aca="false">(((AH46*Assumptions!$G$64)/12)+((AH47*Assumptions!$G$67)/12))</f>
        <v>0</v>
      </c>
      <c r="AI66" s="14" t="n">
        <f aca="false">(((AI46*Assumptions!$G$64)/12)+((AI47*Assumptions!$G$67)/12))</f>
        <v>0</v>
      </c>
      <c r="AJ66" s="14" t="n">
        <f aca="false">(((AJ46*Assumptions!$G$64)/12)+((AJ47*Assumptions!$G$67)/12))</f>
        <v>0</v>
      </c>
      <c r="AK66" s="14" t="n">
        <f aca="false">(((AK46*Assumptions!$G$64)/12)+((AK47*Assumptions!$G$67)/12))</f>
        <v>0</v>
      </c>
      <c r="AL66" s="14" t="n">
        <f aca="false">(((AL46*Assumptions!$G$64)/12)+((AL47*Assumptions!$G$67)/12))</f>
        <v>0</v>
      </c>
    </row>
    <row r="67" customFormat="false" ht="15" hidden="false" customHeight="false" outlineLevel="0" collapsed="false">
      <c r="A67" s="21" t="s">
        <v>454</v>
      </c>
      <c r="B67" s="2" t="s">
        <v>455</v>
      </c>
      <c r="C67" s="23" t="n">
        <f aca="false">(((C60+C64)+C65)+C66)</f>
        <v>1370.09375435625</v>
      </c>
      <c r="D67" s="23" t="n">
        <f aca="false">(((D60+D64)+D65)+D66)</f>
        <v>2281.22623868801</v>
      </c>
      <c r="E67" s="23" t="n">
        <f aca="false">(((E60+E64)+E65)+E66)</f>
        <v>3227.65773360628</v>
      </c>
      <c r="F67" s="23" t="n">
        <f aca="false">(((F60+F64)+F65)+F66)</f>
        <v>4744.62719424355</v>
      </c>
      <c r="G67" s="23" t="n">
        <f aca="false">(((G60+G64)+G65)+G66)</f>
        <v>5956.1719658509</v>
      </c>
      <c r="H67" s="23" t="n">
        <f aca="false">(((H60+H64)+H65)+H66)</f>
        <v>7243.62422384028</v>
      </c>
      <c r="I67" s="23" t="n">
        <f aca="false">(((I60+I64)+I65)+I66)</f>
        <v>8987.66627201923</v>
      </c>
      <c r="J67" s="23" t="n">
        <f aca="false">(((J60+J64)+J65)+J66)</f>
        <v>10512.3449653313</v>
      </c>
      <c r="K67" s="23" t="n">
        <f aca="false">(((K60+K64)+K65)+K66)</f>
        <v>12148.5401293787</v>
      </c>
      <c r="L67" s="23" t="n">
        <f aca="false">(((L60+L64)+L65)+L66)</f>
        <v>13908.1565572815</v>
      </c>
      <c r="M67" s="23" t="n">
        <f aca="false">(((M60+M64)+M65)+M66)</f>
        <v>15803.9212712163</v>
      </c>
      <c r="N67" s="23" t="n">
        <f aca="false">(((N60+N64)+N65)+N66)</f>
        <v>17849.4808031985</v>
      </c>
      <c r="O67" s="23" t="n">
        <f aca="false">(((O60+O64)+O65)+O66)</f>
        <v>19861.0869651071</v>
      </c>
      <c r="P67" s="23" t="n">
        <f aca="false">(((P60+P64)+P65)+P66)</f>
        <v>22029.076367997</v>
      </c>
      <c r="Q67" s="23" t="n">
        <f aca="false">(((Q60+Q64)+Q65)+Q66)</f>
        <v>24373.1230564923</v>
      </c>
      <c r="R67" s="23" t="n">
        <f aca="false">(((R60+R64)+R65)+R66)</f>
        <v>26893.0977778765</v>
      </c>
      <c r="S67" s="23" t="n">
        <f aca="false">(((S60+S64)+S65)+S66)</f>
        <v>29622.1470079049</v>
      </c>
      <c r="T67" s="23" t="n">
        <f aca="false">(((T60+T64)+T65)+T66)</f>
        <v>32580.0390485325</v>
      </c>
      <c r="U67" s="23" t="n">
        <f aca="false">(((U60+U64)+U65)+U66)</f>
        <v>35787.8037388805</v>
      </c>
      <c r="V67" s="23" t="n">
        <f aca="false">(((V60+V64)+V65)+V66)</f>
        <v>39268.236520568</v>
      </c>
      <c r="W67" s="23" t="n">
        <f aca="false">(((W60+W64)+W65)+W66)</f>
        <v>43046.0737849809</v>
      </c>
      <c r="X67" s="23" t="n">
        <f aca="false">(((X60+X64)+X65)+X66)</f>
        <v>47148.1739525796</v>
      </c>
      <c r="Y67" s="23" t="n">
        <f aca="false">(((Y60+Y64)+Y65)+Y66)</f>
        <v>51603.7136368771</v>
      </c>
      <c r="Z67" s="23" t="n">
        <f aca="false">(((Z60+Z64)+Z65)+Z66)</f>
        <v>56444.400544499</v>
      </c>
      <c r="AA67" s="23" t="n">
        <f aca="false">(((AA60+AA64)+AA65)+AA66)</f>
        <v>61599.636956244</v>
      </c>
      <c r="AB67" s="23" t="n">
        <f aca="false">(((AB60+AB64)+AB65)+AB66)</f>
        <v>67199.4194854095</v>
      </c>
      <c r="AC67" s="23" t="n">
        <f aca="false">(((AC60+AC64)+AC65)+AC66)</f>
        <v>73285.9159196134</v>
      </c>
      <c r="AD67" s="23" t="n">
        <f aca="false">(((AD60+AD64)+AD65)+AD66)</f>
        <v>79893.662593798</v>
      </c>
      <c r="AE67" s="23" t="n">
        <f aca="false">(((AE60+AE64)+AE65)+AE66)</f>
        <v>87077.9305688099</v>
      </c>
      <c r="AF67" s="23" t="n">
        <f aca="false">(((AF60+AF64)+AF65)+AF66)</f>
        <v>94890.2800713682</v>
      </c>
      <c r="AG67" s="23" t="n">
        <f aca="false">(((AG60+AG64)+AG65)+AG66)</f>
        <v>103386.618704762</v>
      </c>
      <c r="AH67" s="23" t="n">
        <f aca="false">(((AH60+AH64)+AH65)+AH66)</f>
        <v>112627.794343442</v>
      </c>
      <c r="AI67" s="23" t="n">
        <f aca="false">(((AI60+AI64)+AI65)+AI66)</f>
        <v>122680.0433759</v>
      </c>
      <c r="AJ67" s="23" t="n">
        <f aca="false">(((AJ60+AJ64)+AJ65)+AJ66)</f>
        <v>133615.474035323</v>
      </c>
      <c r="AK67" s="23" t="n">
        <f aca="false">(((AK60+AK64)+AK65)+AK66)</f>
        <v>145512.592613582</v>
      </c>
      <c r="AL67" s="23" t="n">
        <f aca="false">(((AL60+AL64)+AL65)+AL66)</f>
        <v>158456.876536253</v>
      </c>
    </row>
    <row r="69" customFormat="false" ht="15" hidden="false" customHeight="false" outlineLevel="0" collapsed="false">
      <c r="A69" s="4" t="s">
        <v>456</v>
      </c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</row>
    <row r="70" customFormat="false" ht="15" hidden="false" customHeight="false" outlineLevel="0" collapsed="false">
      <c r="A70" s="6" t="s">
        <v>457</v>
      </c>
      <c r="B70" s="2" t="s">
        <v>458</v>
      </c>
      <c r="C70" s="14" t="n">
        <f aca="false">IF((C36&gt;=Assumptions!$G$72),Assumptions!$G$71,Assumptions!$G$70)</f>
        <v>350</v>
      </c>
      <c r="D70" s="14" t="n">
        <f aca="false">IF((D36&gt;=Assumptions!$G$72),Assumptions!$G$71,Assumptions!$G$70)</f>
        <v>350</v>
      </c>
      <c r="E70" s="14" t="n">
        <f aca="false">IF((E36&gt;=Assumptions!$G$72),Assumptions!$G$71,Assumptions!$G$70)</f>
        <v>350</v>
      </c>
      <c r="F70" s="14" t="n">
        <f aca="false">IF((F36&gt;=Assumptions!$G$72),Assumptions!$G$71,Assumptions!$G$70)</f>
        <v>350</v>
      </c>
      <c r="G70" s="14" t="n">
        <f aca="false">IF((G36&gt;=Assumptions!$G$72),Assumptions!$G$71,Assumptions!$G$70)</f>
        <v>350</v>
      </c>
      <c r="H70" s="14" t="n">
        <f aca="false">IF((H36&gt;=Assumptions!$G$72),Assumptions!$G$71,Assumptions!$G$70)</f>
        <v>350</v>
      </c>
      <c r="I70" s="14" t="n">
        <f aca="false">IF((I36&gt;=Assumptions!$G$72),Assumptions!$G$71,Assumptions!$G$70)</f>
        <v>350</v>
      </c>
      <c r="J70" s="14" t="n">
        <f aca="false">IF((J36&gt;=Assumptions!$G$72),Assumptions!$G$71,Assumptions!$G$70)</f>
        <v>350</v>
      </c>
      <c r="K70" s="14" t="n">
        <f aca="false">IF((K36&gt;=Assumptions!$G$72),Assumptions!$G$71,Assumptions!$G$70)</f>
        <v>350</v>
      </c>
      <c r="L70" s="14" t="n">
        <f aca="false">IF((L36&gt;=Assumptions!$G$72),Assumptions!$G$71,Assumptions!$G$70)</f>
        <v>350</v>
      </c>
      <c r="M70" s="14" t="n">
        <f aca="false">IF((M36&gt;=Assumptions!$G$72),Assumptions!$G$71,Assumptions!$G$70)</f>
        <v>350</v>
      </c>
      <c r="N70" s="14" t="n">
        <f aca="false">IF((N36&gt;=Assumptions!$G$72),Assumptions!$G$71,Assumptions!$G$70)</f>
        <v>350</v>
      </c>
      <c r="O70" s="14" t="n">
        <f aca="false">IF((O36&gt;=Assumptions!$G$72),Assumptions!$G$71,Assumptions!$G$70)</f>
        <v>350</v>
      </c>
      <c r="P70" s="14" t="n">
        <f aca="false">IF((P36&gt;=Assumptions!$G$72),Assumptions!$G$71,Assumptions!$G$70)</f>
        <v>350</v>
      </c>
      <c r="Q70" s="14" t="n">
        <f aca="false">IF((Q36&gt;=Assumptions!$G$72),Assumptions!$G$71,Assumptions!$G$70)</f>
        <v>350</v>
      </c>
      <c r="R70" s="14" t="n">
        <f aca="false">IF((R36&gt;=Assumptions!$G$72),Assumptions!$G$71,Assumptions!$G$70)</f>
        <v>350</v>
      </c>
      <c r="S70" s="14" t="n">
        <f aca="false">IF((S36&gt;=Assumptions!$G$72),Assumptions!$G$71,Assumptions!$G$70)</f>
        <v>350</v>
      </c>
      <c r="T70" s="14" t="n">
        <f aca="false">IF((T36&gt;=Assumptions!$G$72),Assumptions!$G$71,Assumptions!$G$70)</f>
        <v>350</v>
      </c>
      <c r="U70" s="14" t="n">
        <f aca="false">IF((U36&gt;=Assumptions!$G$72),Assumptions!$G$71,Assumptions!$G$70)</f>
        <v>350</v>
      </c>
      <c r="V70" s="14" t="n">
        <f aca="false">IF((V36&gt;=Assumptions!$G$72),Assumptions!$G$71,Assumptions!$G$70)</f>
        <v>350</v>
      </c>
      <c r="W70" s="14" t="n">
        <f aca="false">IF((W36&gt;=Assumptions!$G$72),Assumptions!$G$71,Assumptions!$G$70)</f>
        <v>350</v>
      </c>
      <c r="X70" s="14" t="n">
        <f aca="false">IF((X36&gt;=Assumptions!$G$72),Assumptions!$G$71,Assumptions!$G$70)</f>
        <v>350</v>
      </c>
      <c r="Y70" s="14" t="n">
        <f aca="false">IF((Y36&gt;=Assumptions!$G$72),Assumptions!$G$71,Assumptions!$G$70)</f>
        <v>350</v>
      </c>
      <c r="Z70" s="14" t="n">
        <f aca="false">IF((Z36&gt;=Assumptions!$G$72),Assumptions!$G$71,Assumptions!$G$70)</f>
        <v>350</v>
      </c>
      <c r="AA70" s="14" t="n">
        <f aca="false">IF((AA36&gt;=Assumptions!$G$72),Assumptions!$G$71,Assumptions!$G$70)</f>
        <v>350</v>
      </c>
      <c r="AB70" s="14" t="n">
        <f aca="false">IF((AB36&gt;=Assumptions!$G$72),Assumptions!$G$71,Assumptions!$G$70)</f>
        <v>350</v>
      </c>
      <c r="AC70" s="14" t="n">
        <f aca="false">IF((AC36&gt;=Assumptions!$G$72),Assumptions!$G$71,Assumptions!$G$70)</f>
        <v>350</v>
      </c>
      <c r="AD70" s="14" t="n">
        <f aca="false">IF((AD36&gt;=Assumptions!$G$72),Assumptions!$G$71,Assumptions!$G$70)</f>
        <v>350</v>
      </c>
      <c r="AE70" s="14" t="n">
        <f aca="false">IF((AE36&gt;=Assumptions!$G$72),Assumptions!$G$71,Assumptions!$G$70)</f>
        <v>350</v>
      </c>
      <c r="AF70" s="14" t="n">
        <f aca="false">IF((AF36&gt;=Assumptions!$G$72),Assumptions!$G$71,Assumptions!$G$70)</f>
        <v>350</v>
      </c>
      <c r="AG70" s="14" t="n">
        <f aca="false">IF((AG36&gt;=Assumptions!$G$72),Assumptions!$G$71,Assumptions!$G$70)</f>
        <v>350</v>
      </c>
      <c r="AH70" s="14" t="n">
        <f aca="false">IF((AH36&gt;=Assumptions!$G$72),Assumptions!$G$71,Assumptions!$G$70)</f>
        <v>350</v>
      </c>
      <c r="AI70" s="14" t="n">
        <f aca="false">IF((AI36&gt;=Assumptions!$G$72),Assumptions!$G$71,Assumptions!$G$70)</f>
        <v>2500</v>
      </c>
      <c r="AJ70" s="14" t="n">
        <f aca="false">IF((AJ36&gt;=Assumptions!$G$72),Assumptions!$G$71,Assumptions!$G$70)</f>
        <v>2500</v>
      </c>
      <c r="AK70" s="14" t="n">
        <f aca="false">IF((AK36&gt;=Assumptions!$G$72),Assumptions!$G$71,Assumptions!$G$70)</f>
        <v>2500</v>
      </c>
      <c r="AL70" s="14" t="n">
        <f aca="false">IF((AL36&gt;=Assumptions!$G$72),Assumptions!$G$71,Assumptions!$G$70)</f>
        <v>2500</v>
      </c>
    </row>
    <row r="71" customFormat="false" ht="15" hidden="false" customHeight="false" outlineLevel="0" collapsed="false">
      <c r="A71" s="6" t="s">
        <v>459</v>
      </c>
      <c r="B71" s="2" t="s">
        <v>460</v>
      </c>
      <c r="C71" s="14" t="n">
        <f aca="false">(((C49*Assumptions!$G$75)+(C50*Assumptions!$G$78))+(C48*Assumptions!$G$79))</f>
        <v>0</v>
      </c>
      <c r="D71" s="14" t="n">
        <f aca="false">(((D49*Assumptions!$G$75)+(D50*Assumptions!$G$78))+(D48*Assumptions!$G$79))</f>
        <v>0</v>
      </c>
      <c r="E71" s="14" t="n">
        <f aca="false">(((E49*Assumptions!$G$75)+(E50*Assumptions!$G$78))+(E48*Assumptions!$G$79))</f>
        <v>0</v>
      </c>
      <c r="F71" s="14" t="n">
        <f aca="false">(((F49*Assumptions!$G$75)+(F50*Assumptions!$G$78))+(F48*Assumptions!$G$79))</f>
        <v>0</v>
      </c>
      <c r="G71" s="14" t="n">
        <f aca="false">(((G49*Assumptions!$G$75)+(G50*Assumptions!$G$78))+(G48*Assumptions!$G$79))</f>
        <v>0</v>
      </c>
      <c r="H71" s="14" t="n">
        <f aca="false">(((H49*Assumptions!$G$75)+(H50*Assumptions!$G$78))+(H48*Assumptions!$G$79))</f>
        <v>0</v>
      </c>
      <c r="I71" s="14" t="n">
        <f aca="false">(((I49*Assumptions!$G$75)+(I50*Assumptions!$G$78))+(I48*Assumptions!$G$79))</f>
        <v>0</v>
      </c>
      <c r="J71" s="14" t="n">
        <f aca="false">(((J49*Assumptions!$G$75)+(J50*Assumptions!$G$78))+(J48*Assumptions!$G$79))</f>
        <v>0</v>
      </c>
      <c r="K71" s="14" t="n">
        <f aca="false">(((K49*Assumptions!$G$75)+(K50*Assumptions!$G$78))+(K48*Assumptions!$G$79))</f>
        <v>0</v>
      </c>
      <c r="L71" s="14" t="n">
        <f aca="false">(((L49*Assumptions!$G$75)+(L50*Assumptions!$G$78))+(L48*Assumptions!$G$79))</f>
        <v>0</v>
      </c>
      <c r="M71" s="14" t="n">
        <f aca="false">(((M49*Assumptions!$G$75)+(M50*Assumptions!$G$78))+(M48*Assumptions!$G$79))</f>
        <v>0</v>
      </c>
      <c r="N71" s="14" t="n">
        <f aca="false">(((N49*Assumptions!$G$75)+(N50*Assumptions!$G$78))+(N48*Assumptions!$G$79))</f>
        <v>0</v>
      </c>
      <c r="O71" s="14" t="n">
        <f aca="false">(((O49*Assumptions!$G$75)+(O50*Assumptions!$G$78))+(O48*Assumptions!$G$79))</f>
        <v>2224.01688389703</v>
      </c>
      <c r="P71" s="14" t="n">
        <f aca="false">(((P49*Assumptions!$G$75)+(P50*Assumptions!$G$78))+(P48*Assumptions!$G$79))</f>
        <v>2461.41562780435</v>
      </c>
      <c r="Q71" s="14" t="n">
        <f aca="false">(((Q49*Assumptions!$G$75)+(Q50*Assumptions!$G$78))+(Q48*Assumptions!$G$79))</f>
        <v>2718.41688161213</v>
      </c>
      <c r="R71" s="14" t="n">
        <f aca="false">(((R49*Assumptions!$G$75)+(R50*Assumptions!$G$78))+(R48*Assumptions!$G$79))</f>
        <v>2994.51792464615</v>
      </c>
      <c r="S71" s="14" t="n">
        <f aca="false">(((S49*Assumptions!$G$75)+(S50*Assumptions!$G$78))+(S48*Assumptions!$G$79))</f>
        <v>3293.76736513576</v>
      </c>
      <c r="T71" s="14" t="n">
        <f aca="false">(((T49*Assumptions!$G$75)+(T50*Assumptions!$G$78))+(T48*Assumptions!$G$79))</f>
        <v>3618.32765961452</v>
      </c>
      <c r="U71" s="14" t="n">
        <f aca="false">(((U49*Assumptions!$G$75)+(U50*Assumptions!$G$78))+(U48*Assumptions!$G$79))</f>
        <v>3970.49409866175</v>
      </c>
      <c r="V71" s="14" t="n">
        <f aca="false">(((V49*Assumptions!$G$75)+(V50*Assumptions!$G$78))+(V48*Assumptions!$G$79))</f>
        <v>4352.75773734663</v>
      </c>
      <c r="W71" s="14" t="n">
        <f aca="false">(((W49*Assumptions!$G$75)+(W50*Assumptions!$G$78))+(W48*Assumptions!$G$79))</f>
        <v>4767.82459430129</v>
      </c>
      <c r="X71" s="14" t="n">
        <f aca="false">(((X49*Assumptions!$G$75)+(X50*Assumptions!$G$78))+(X48*Assumptions!$G$79))</f>
        <v>5218.63536311274</v>
      </c>
      <c r="Y71" s="14" t="n">
        <f aca="false">(((Y49*Assumptions!$G$75)+(Y50*Assumptions!$G$78))+(Y48*Assumptions!$G$79))</f>
        <v>5708.38679858765</v>
      </c>
      <c r="Z71" s="14" t="n">
        <f aca="false">(((Z49*Assumptions!$G$75)+(Z50*Assumptions!$G$78))+(Z48*Assumptions!$G$79))</f>
        <v>6240.55495944951</v>
      </c>
      <c r="AA71" s="14" t="n">
        <f aca="false">(((AA49*Assumptions!$G$75)+(AA50*Assumptions!$G$78))+(AA48*Assumptions!$G$79))</f>
        <v>6804.7728586651</v>
      </c>
      <c r="AB71" s="14" t="n">
        <f aca="false">(((AB49*Assumptions!$G$75)+(AB50*Assumptions!$G$78))+(AB48*Assumptions!$G$79))</f>
        <v>7417.63014433513</v>
      </c>
      <c r="AC71" s="14" t="n">
        <f aca="false">(((AC49*Assumptions!$G$75)+(AC50*Assumptions!$G$78))+(AC48*Assumptions!$G$79))</f>
        <v>8083.7773557393</v>
      </c>
      <c r="AD71" s="14" t="n">
        <f aca="false">(((AD49*Assumptions!$G$75)+(AD50*Assumptions!$G$78))+(AD48*Assumptions!$G$79))</f>
        <v>8806.76123618293</v>
      </c>
      <c r="AE71" s="14" t="n">
        <f aca="false">(((AE49*Assumptions!$G$75)+(AE50*Assumptions!$G$78))+(AE48*Assumptions!$G$79))</f>
        <v>9592.82665312947</v>
      </c>
      <c r="AF71" s="14" t="n">
        <f aca="false">(((AF49*Assumptions!$G$75)+(AF50*Assumptions!$G$78))+(AF48*Assumptions!$G$79))</f>
        <v>10447.6111701413</v>
      </c>
      <c r="AG71" s="14" t="n">
        <f aca="false">(((AG49*Assumptions!$G$75)+(AG50*Assumptions!$G$78))+(AG48*Assumptions!$G$79))</f>
        <v>11377.2243185247</v>
      </c>
      <c r="AH71" s="14" t="n">
        <f aca="false">(((AH49*Assumptions!$G$75)+(AH50*Assumptions!$G$78))+(AH48*Assumptions!$G$79))</f>
        <v>12388.3160683728</v>
      </c>
      <c r="AI71" s="14" t="n">
        <f aca="false">(((AI49*Assumptions!$G$75)+(AI50*Assumptions!$G$78))+(AI48*Assumptions!$G$79))</f>
        <v>13488.1258390476</v>
      </c>
      <c r="AJ71" s="14" t="n">
        <f aca="false">(((AJ49*Assumptions!$G$75)+(AJ50*Assumptions!$G$78))+(AJ48*Assumptions!$G$79))</f>
        <v>14684.5352841257</v>
      </c>
      <c r="AK71" s="14" t="n">
        <f aca="false">(((AK49*Assumptions!$G$75)+(AK50*Assumptions!$G$78))+(AK48*Assumptions!$G$79))</f>
        <v>15986.1257670106</v>
      </c>
      <c r="AL71" s="14" t="n">
        <f aca="false">(((AL49*Assumptions!$G$75)+(AL50*Assumptions!$G$78))+(AL48*Assumptions!$G$79))</f>
        <v>17402.2409624466</v>
      </c>
    </row>
    <row r="72" customFormat="false" ht="15" hidden="false" customHeight="false" outlineLevel="0" collapsed="false">
      <c r="A72" s="6" t="s">
        <v>461</v>
      </c>
      <c r="B72" s="2" t="s">
        <v>462</v>
      </c>
      <c r="C72" s="14" t="n">
        <f aca="false">(Assumptions!$G$80+(Assumptions!$G$81*C36))</f>
        <v>73.5</v>
      </c>
      <c r="D72" s="14" t="n">
        <f aca="false">(Assumptions!$G$80+(Assumptions!$G$81*D36))</f>
        <v>81.7022951104414</v>
      </c>
      <c r="E72" s="14" t="n">
        <f aca="false">(Assumptions!$G$80+(Assumptions!$G$81*E36))</f>
        <v>89.9632812034628</v>
      </c>
      <c r="F72" s="14" t="n">
        <f aca="false">(Assumptions!$G$80+(Assumptions!$G$81*F36))</f>
        <v>100.678946299557</v>
      </c>
      <c r="G72" s="14" t="n">
        <f aca="false">(Assumptions!$G$80+(Assumptions!$G$81*G36))</f>
        <v>110.577496578069</v>
      </c>
      <c r="H72" s="14" t="n">
        <f aca="false">(Assumptions!$G$80+(Assumptions!$G$81*H36))</f>
        <v>121.045464522829</v>
      </c>
      <c r="I72" s="14" t="n">
        <f aca="false">(Assumptions!$G$80+(Assumptions!$G$81*I36))</f>
        <v>132.179928785567</v>
      </c>
      <c r="J72" s="14" t="n">
        <f aca="false">(Assumptions!$G$80+(Assumptions!$G$81*J36))</f>
        <v>144.05394763891</v>
      </c>
      <c r="K72" s="14" t="n">
        <f aca="false">(Assumptions!$G$80+(Assumptions!$G$81*K36))</f>
        <v>156.745459079755</v>
      </c>
      <c r="L72" s="14" t="n">
        <f aca="false">(Assumptions!$G$80+(Assumptions!$G$81*L36))</f>
        <v>170.338466004571</v>
      </c>
      <c r="M72" s="14" t="n">
        <f aca="false">(Assumptions!$G$80+(Assumptions!$G$81*M36))</f>
        <v>184.923642923505</v>
      </c>
      <c r="N72" s="14" t="n">
        <f aca="false">(Assumptions!$G$80+(Assumptions!$G$81*N36))</f>
        <v>200.59897755225</v>
      </c>
      <c r="O72" s="14" t="n">
        <f aca="false">(Assumptions!$G$80+(Assumptions!$G$81*O36))</f>
        <v>217.139327143155</v>
      </c>
      <c r="P72" s="14" t="n">
        <f aca="false">(Assumptions!$G$80+(Assumptions!$G$81*P36))</f>
        <v>234.941973494306</v>
      </c>
      <c r="Q72" s="14" t="n">
        <f aca="false">(Assumptions!$G$80+(Assumptions!$G$81*Q36))</f>
        <v>254.141364827967</v>
      </c>
      <c r="R72" s="14" t="n">
        <f aca="false">(Assumptions!$G$80+(Assumptions!$G$81*R36))</f>
        <v>274.841441524747</v>
      </c>
      <c r="S72" s="14" t="n">
        <f aca="false">(Assumptions!$G$80+(Assumptions!$G$81*S36))</f>
        <v>297.209561916745</v>
      </c>
      <c r="T72" s="14" t="n">
        <f aca="false">(Assumptions!$G$80+(Assumptions!$G$81*T36))</f>
        <v>321.401684859522</v>
      </c>
      <c r="U72" s="14" t="n">
        <f aca="false">(Assumptions!$G$80+(Assumptions!$G$81*U36))</f>
        <v>347.585951607578</v>
      </c>
      <c r="V72" s="14" t="n">
        <f aca="false">(Assumptions!$G$80+(Assumptions!$G$81*V36))</f>
        <v>375.944941320468</v>
      </c>
      <c r="W72" s="14" t="n">
        <f aca="false">(Assumptions!$G$80+(Assumptions!$G$81*W36))</f>
        <v>406.677021307295</v>
      </c>
      <c r="X72" s="14" t="n">
        <f aca="false">(Assumptions!$G$80+(Assumptions!$G$81*X36))</f>
        <v>439.997778285216</v>
      </c>
      <c r="Y72" s="14" t="n">
        <f aca="false">(Assumptions!$G$80+(Assumptions!$G$81*Y36))</f>
        <v>476.141574688211</v>
      </c>
      <c r="Z72" s="14" t="n">
        <f aca="false">(Assumptions!$G$80+(Assumptions!$G$81*Z36))</f>
        <v>515.3632424455</v>
      </c>
      <c r="AA72" s="14" t="n">
        <f aca="false">(Assumptions!$G$80+(Assumptions!$G$81*AA36))</f>
        <v>557.768440360229</v>
      </c>
      <c r="AB72" s="14" t="n">
        <f aca="false">(Assumptions!$G$80+(Assumptions!$G$81*AB36))</f>
        <v>603.805084516586</v>
      </c>
      <c r="AC72" s="14" t="n">
        <f aca="false">(Assumptions!$G$80+(Assumptions!$G$81*AC36))</f>
        <v>653.806407338166</v>
      </c>
      <c r="AD72" s="14" t="n">
        <f aca="false">(Assumptions!$G$80+(Assumptions!$G$81*AD36))</f>
        <v>708.113300088855</v>
      </c>
      <c r="AE72" s="14" t="n">
        <f aca="false">(Assumptions!$G$80+(Assumptions!$G$81*AE36))</f>
        <v>767.125065588048</v>
      </c>
      <c r="AF72" s="14" t="n">
        <f aca="false">(Assumptions!$G$80+(Assumptions!$G$81*AF36))</f>
        <v>831.26293027514</v>
      </c>
      <c r="AG72" s="14" t="n">
        <f aca="false">(Assumptions!$G$80+(Assumptions!$G$81*AG36))</f>
        <v>900.984749307317</v>
      </c>
      <c r="AH72" s="14" t="n">
        <f aca="false">(Assumptions!$G$80+(Assumptions!$G$81*AH36))</f>
        <v>976.788881070094</v>
      </c>
      <c r="AI72" s="14" t="n">
        <f aca="false">(Assumptions!$G$80+(Assumptions!$G$81*AI36))</f>
        <v>1059.21783455316</v>
      </c>
      <c r="AJ72" s="14" t="n">
        <f aca="false">(Assumptions!$G$80+(Assumptions!$G$81*AJ36))</f>
        <v>1148.86222265405</v>
      </c>
      <c r="AK72" s="14" t="n">
        <f aca="false">(Assumptions!$G$80+(Assumptions!$G$81*AK36))</f>
        <v>1246.36506788719</v>
      </c>
      <c r="AL72" s="14" t="n">
        <f aca="false">(Assumptions!$G$80+(Assumptions!$G$81*AL36))</f>
        <v>1352.42649269898</v>
      </c>
    </row>
    <row r="73" customFormat="false" ht="15" hidden="false" customHeight="false" outlineLevel="0" collapsed="false">
      <c r="A73" s="6" t="s">
        <v>463</v>
      </c>
      <c r="B73" s="2" t="s">
        <v>464</v>
      </c>
      <c r="C73" s="14" t="n">
        <f aca="false">IF(AND((Assumptions!$G$8=1),(C$2&gt;=Assumptions!$G$82)),((C29*Assumptions!$G$83)+(C35*Assumptions!$G$84)),0)</f>
        <v>0</v>
      </c>
      <c r="D73" s="14" t="n">
        <f aca="false">IF(AND((Assumptions!$G$8=1),(D$2&gt;=Assumptions!$G$82)),((D29*Assumptions!$G$83)+(D35*Assumptions!$G$84)),0)</f>
        <v>0</v>
      </c>
      <c r="E73" s="14" t="n">
        <f aca="false">IF(AND((Assumptions!$G$8=1),(E$2&gt;=Assumptions!$G$82)),((E29*Assumptions!$G$83)+(E35*Assumptions!$G$84)),0)</f>
        <v>0</v>
      </c>
      <c r="F73" s="14" t="n">
        <f aca="false">IF(AND((Assumptions!$G$8=1),(F$2&gt;=Assumptions!$G$82)),((F29*Assumptions!$G$83)+(F35*Assumptions!$G$84)),0)</f>
        <v>0</v>
      </c>
      <c r="G73" s="14" t="n">
        <f aca="false">IF(AND((Assumptions!$G$8=1),(G$2&gt;=Assumptions!$G$82)),((G29*Assumptions!$G$83)+(G35*Assumptions!$G$84)),0)</f>
        <v>0</v>
      </c>
      <c r="H73" s="14" t="n">
        <f aca="false">IF(AND((Assumptions!$G$8=1),(H$2&gt;=Assumptions!$G$82)),((H29*Assumptions!$G$83)+(H35*Assumptions!$G$84)),0)</f>
        <v>0</v>
      </c>
      <c r="I73" s="14" t="n">
        <f aca="false">IF(AND((Assumptions!$G$8=1),(I$2&gt;=Assumptions!$G$82)),((I29*Assumptions!$G$83)+(I35*Assumptions!$G$84)),0)</f>
        <v>343.733868427782</v>
      </c>
      <c r="J73" s="14" t="n">
        <f aca="false">IF(AND((Assumptions!$G$8=1),(J$2&gt;=Assumptions!$G$82)),((J29*Assumptions!$G$83)+(J35*Assumptions!$G$84)),0)</f>
        <v>406.12866027009</v>
      </c>
      <c r="K73" s="14" t="n">
        <f aca="false">IF(AND((Assumptions!$G$8=1),(K$2&gt;=Assumptions!$G$82)),((K29*Assumptions!$G$83)+(K35*Assumptions!$G$84)),0)</f>
        <v>473.363130579993</v>
      </c>
      <c r="L73" s="14" t="n">
        <f aca="false">IF(AND((Assumptions!$G$8=1),(L$2&gt;=Assumptions!$G$82)),((L29*Assumptions!$G$83)+(L35*Assumptions!$G$84)),0)</f>
        <v>545.915761731293</v>
      </c>
      <c r="M73" s="14" t="n">
        <f aca="false">IF(AND((Assumptions!$G$8=1),(M$2&gt;=Assumptions!$G$82)),((M29*Assumptions!$G$83)+(M35*Assumptions!$G$84)),0)</f>
        <v>624.301568889776</v>
      </c>
      <c r="N73" s="14" t="n">
        <f aca="false">IF(AND((Assumptions!$G$8=1),(N$2&gt;=Assumptions!$G$82)),((N29*Assumptions!$G$83)+(N35*Assumptions!$G$84)),0)</f>
        <v>709.075928052378</v>
      </c>
      <c r="O73" s="14" t="n">
        <f aca="false">IF(AND((Assumptions!$G$8=1),(O$2&gt;=Assumptions!$G$82)),((O29*Assumptions!$G$83)+(O35*Assumptions!$G$84)),0)</f>
        <v>790.904526442161</v>
      </c>
      <c r="P73" s="14" t="n">
        <f aca="false">IF(AND((Assumptions!$G$8=1),(P$2&gt;=Assumptions!$G$82)),((P29*Assumptions!$G$83)+(P35*Assumptions!$G$84)),0)</f>
        <v>879.18781433229</v>
      </c>
      <c r="Q73" s="14" t="n">
        <f aca="false">IF(AND((Assumptions!$G$8=1),(Q$2&gt;=Assumptions!$G$82)),((Q29*Assumptions!$G$83)+(Q35*Assumptions!$G$84)),0)</f>
        <v>974.751234674725</v>
      </c>
      <c r="R73" s="14" t="n">
        <f aca="false">IF(AND((Assumptions!$G$8=1),(R$2&gt;=Assumptions!$G$82)),((R29*Assumptions!$G$83)+(R35*Assumptions!$G$84)),0)</f>
        <v>1077.4264038795</v>
      </c>
      <c r="S73" s="14" t="n">
        <f aca="false">IF(AND((Assumptions!$G$8=1),(S$2&gt;=Assumptions!$G$82)),((S29*Assumptions!$G$83)+(S35*Assumptions!$G$84)),0)</f>
        <v>1188.70104855259</v>
      </c>
      <c r="T73" s="14" t="n">
        <f aca="false">IF(AND((Assumptions!$G$8=1),(T$2&gt;=Assumptions!$G$82)),((T29*Assumptions!$G$83)+(T35*Assumptions!$G$84)),0)</f>
        <v>1309.37852459234</v>
      </c>
      <c r="U73" s="14" t="n">
        <f aca="false">IF(AND((Assumptions!$G$8=1),(U$2&gt;=Assumptions!$G$82)),((U29*Assumptions!$G$83)+(U35*Assumptions!$G$84)),0)</f>
        <v>1440.31187706704</v>
      </c>
      <c r="V73" s="14" t="n">
        <f aca="false">IF(AND((Assumptions!$G$8=1),(V$2&gt;=Assumptions!$G$82)),((V29*Assumptions!$G$83)+(V35*Assumptions!$G$84)),0)</f>
        <v>1582.42691968686</v>
      </c>
      <c r="W73" s="14" t="n">
        <f aca="false">IF(AND((Assumptions!$G$8=1),(W$2&gt;=Assumptions!$G$82)),((W29*Assumptions!$G$83)+(W35*Assumptions!$G$84)),0)</f>
        <v>1736.72936277733</v>
      </c>
      <c r="X73" s="14" t="n">
        <f aca="false">IF(AND((Assumptions!$G$8=1),(X$2&gt;=Assumptions!$G$82)),((X29*Assumptions!$G$83)+(X35*Assumptions!$G$84)),0)</f>
        <v>1904.31213735661</v>
      </c>
      <c r="Y73" s="14" t="n">
        <f aca="false">IF(AND((Assumptions!$G$8=1),(Y$2&gt;=Assumptions!$G$82)),((Y29*Assumptions!$G$83)+(Y35*Assumptions!$G$84)),0)</f>
        <v>2086.36334198836</v>
      </c>
      <c r="Z73" s="14" t="n">
        <f aca="false">IF(AND((Assumptions!$G$8=1),(Z$2&gt;=Assumptions!$G$82)),((Z29*Assumptions!$G$83)+(Z35*Assumptions!$G$84)),0)</f>
        <v>2284.1748797717</v>
      </c>
      <c r="AA73" s="14" t="n">
        <f aca="false">IF(AND((Assumptions!$G$8=1),(AA$2&gt;=Assumptions!$G$82)),((AA29*Assumptions!$G$83)+(AA35*Assumptions!$G$84)),0)</f>
        <v>2494.00725998839</v>
      </c>
      <c r="AB73" s="14" t="n">
        <f aca="false">IF(AND((Assumptions!$G$8=1),(AB$2&gt;=Assumptions!$G$82)),((AB29*Assumptions!$G$83)+(AB35*Assumptions!$G$84)),0)</f>
        <v>2721.92543786695</v>
      </c>
      <c r="AC73" s="14" t="n">
        <f aca="false">IF(AND((Assumptions!$G$8=1),(AC$2&gt;=Assumptions!$G$82)),((AC29*Assumptions!$G$83)+(AC35*Assumptions!$G$84)),0)</f>
        <v>2969.65681140438</v>
      </c>
      <c r="AD73" s="14" t="n">
        <f aca="false">IF(AND((Assumptions!$G$8=1),(AD$2&gt;=Assumptions!$G$82)),((AD29*Assumptions!$G$83)+(AD35*Assumptions!$G$84)),0)</f>
        <v>3238.5301560579</v>
      </c>
      <c r="AE73" s="14" t="n">
        <f aca="false">IF(AND((Assumptions!$G$8=1),(AE$2&gt;=Assumptions!$G$82)),((AE29*Assumptions!$G$83)+(AE35*Assumptions!$G$84)),0)</f>
        <v>3530.85875317639</v>
      </c>
      <c r="AF73" s="14" t="n">
        <f aca="false">IF(AND((Assumptions!$G$8=1),(AF$2&gt;=Assumptions!$G$82)),((AF29*Assumptions!$G$83)+(AF35*Assumptions!$G$84)),0)</f>
        <v>3848.73888516837</v>
      </c>
      <c r="AG73" s="14" t="n">
        <f aca="false">IF(AND((Assumptions!$G$8=1),(AG$2&gt;=Assumptions!$G$82)),((AG29*Assumptions!$G$83)+(AG35*Assumptions!$G$84)),0)</f>
        <v>4194.44251067346</v>
      </c>
      <c r="AH73" s="14" t="n">
        <f aca="false">IF(AND((Assumptions!$G$8=1),(AH$2&gt;=Assumptions!$G$82)),((AH29*Assumptions!$G$83)+(AH35*Assumptions!$G$84)),0)</f>
        <v>4570.44256222282</v>
      </c>
      <c r="AI73" s="14" t="n">
        <f aca="false">IF(AND((Assumptions!$G$8=1),(AI$2&gt;=Assumptions!$G$82)),((AI29*Assumptions!$G$83)+(AI35*Assumptions!$G$84)),0)</f>
        <v>4979.43116847925</v>
      </c>
      <c r="AJ73" s="14" t="n">
        <f aca="false">IF(AND((Assumptions!$G$8=1),(AJ$2&gt;=Assumptions!$G$82)),((AJ29*Assumptions!$G$83)+(AJ35*Assumptions!$G$84)),0)</f>
        <v>5424.33928311503</v>
      </c>
      <c r="AK73" s="14" t="n">
        <f aca="false">IF(AND((Assumptions!$G$8=1),(AK$2&gt;=Assumptions!$G$82)),((AK29*Assumptions!$G$83)+(AK35*Assumptions!$G$84)),0)</f>
        <v>5908.35805812887</v>
      </c>
      <c r="AL73" s="14" t="n">
        <f aca="false">IF(AND((Assumptions!$G$8=1),(AL$2&gt;=Assumptions!$G$82)),((AL29*Assumptions!$G$83)+(AL35*Assumptions!$G$84)),0)</f>
        <v>6434.96212339938</v>
      </c>
    </row>
    <row r="74" customFormat="false" ht="15" hidden="false" customHeight="false" outlineLevel="0" collapsed="false">
      <c r="A74" s="6" t="s">
        <v>465</v>
      </c>
      <c r="B74" s="2" t="s">
        <v>466</v>
      </c>
      <c r="C74" s="14" t="n">
        <f aca="false">(MAX(0,(C30-Assumptions!$G$85))*Assumptions!$G$86)</f>
        <v>46.54763</v>
      </c>
      <c r="D74" s="14" t="n">
        <f aca="false">(MAX(0,(D30-Assumptions!$G$85))*Assumptions!$G$86)</f>
        <v>58.8592908055159</v>
      </c>
      <c r="E74" s="14" t="n">
        <f aca="false">(MAX(0,(E30-Assumptions!$G$85))*Assumptions!$G$86)</f>
        <v>70.3494599061625</v>
      </c>
      <c r="F74" s="14" t="n">
        <f aca="false">(MAX(0,(F30-Assumptions!$G$85))*Assumptions!$G$86)</f>
        <v>88.5077525690089</v>
      </c>
      <c r="G74" s="14" t="n">
        <f aca="false">(MAX(0,(G30-Assumptions!$G$85))*Assumptions!$G$86)</f>
        <v>102.225290367958</v>
      </c>
      <c r="H74" s="14" t="n">
        <f aca="false">(MAX(0,(H30-Assumptions!$G$85))*Assumptions!$G$86)</f>
        <v>116.649947134952</v>
      </c>
      <c r="I74" s="14" t="n">
        <f aca="false">(MAX(0,(I30-Assumptions!$G$85))*Assumptions!$G$86)</f>
        <v>132.003864070141</v>
      </c>
      <c r="J74" s="14" t="n">
        <f aca="false">(MAX(0,(J30-Assumptions!$G$85))*Assumptions!$G$86)</f>
        <v>148.404269936558</v>
      </c>
      <c r="K74" s="14" t="n">
        <f aca="false">(MAX(0,(K30-Assumptions!$G$85))*Assumptions!$G$86)</f>
        <v>165.972592375854</v>
      </c>
      <c r="L74" s="14" t="n">
        <f aca="false">(MAX(0,(L30-Assumptions!$G$85))*Assumptions!$G$86)</f>
        <v>184.837849667828</v>
      </c>
      <c r="M74" s="14" t="n">
        <f aca="false">(MAX(0,(M30-Assumptions!$G$85))*Assumptions!$G$86)</f>
        <v>205.137714716428</v>
      </c>
      <c r="N74" s="14" t="n">
        <f aca="false">(MAX(0,(N30-Assumptions!$G$85))*Assumptions!$G$86)</f>
        <v>227.019580194483</v>
      </c>
      <c r="O74" s="14" t="n">
        <f aca="false">(MAX(0,(O30-Assumptions!$G$85))*Assumptions!$G$86)</f>
        <v>282.616888039281</v>
      </c>
      <c r="P74" s="14" t="n">
        <f aca="false">(MAX(0,(P30-Assumptions!$G$85))*Assumptions!$G$86)</f>
        <v>311.854249681424</v>
      </c>
      <c r="Q74" s="14" t="n">
        <f aca="false">(MAX(0,(Q30-Assumptions!$G$85))*Assumptions!$G$86)</f>
        <v>342.798886888919</v>
      </c>
      <c r="R74" s="14" t="n">
        <f aca="false">(MAX(0,(R30-Assumptions!$G$85))*Assumptions!$G$86)</f>
        <v>379.019671221617</v>
      </c>
      <c r="S74" s="14" t="n">
        <f aca="false">(MAX(0,(S30-Assumptions!$G$85))*Assumptions!$G$86)</f>
        <v>415.597457003177</v>
      </c>
      <c r="T74" s="14" t="n">
        <f aca="false">(MAX(0,(T30-Assumptions!$G$85))*Assumptions!$G$86)</f>
        <v>455.202425814002</v>
      </c>
      <c r="U74" s="14" t="n">
        <f aca="false">(MAX(0,(U30-Assumptions!$G$85))*Assumptions!$G$86)</f>
        <v>498.171405107506</v>
      </c>
      <c r="V74" s="14" t="n">
        <f aca="false">(MAX(0,(V30-Assumptions!$G$85))*Assumptions!$G$86)</f>
        <v>544.812326121589</v>
      </c>
      <c r="W74" s="14" t="n">
        <f aca="false">(MAX(0,(W30-Assumptions!$G$85))*Assumptions!$G$86)</f>
        <v>595.458197979361</v>
      </c>
      <c r="X74" s="14" t="n">
        <f aca="false">(MAX(0,(X30-Assumptions!$G$85))*Assumptions!$G$86)</f>
        <v>650.470708551556</v>
      </c>
      <c r="Y74" s="14" t="n">
        <f aca="false">(MAX(0,(Y30-Assumptions!$G$85))*Assumptions!$G$86)</f>
        <v>710.242896826963</v>
      </c>
      <c r="Z74" s="14" t="n">
        <f aca="false">(MAX(0,(Z30-Assumptions!$G$85))*Assumptions!$G$86)</f>
        <v>775.20202688193</v>
      </c>
      <c r="AA74" s="14" t="n">
        <f aca="false">(MAX(0,(AA30-Assumptions!$G$85))*Assumptions!$G$86)</f>
        <v>862.839537978884</v>
      </c>
      <c r="AB74" s="14" t="n">
        <f aca="false">(MAX(0,(AB30-Assumptions!$G$85))*Assumptions!$G$86)</f>
        <v>941.56682346313</v>
      </c>
      <c r="AC74" s="14" t="n">
        <f aca="false">(MAX(0,(AC30-Assumptions!$G$85))*Assumptions!$G$86)</f>
        <v>1026.79290776767</v>
      </c>
      <c r="AD74" s="14" t="n">
        <f aca="false">(MAX(0,(AD30-Assumptions!$G$85))*Assumptions!$G$86)</f>
        <v>1120.91124633495</v>
      </c>
      <c r="AE74" s="14" t="n">
        <f aca="false">(MAX(0,(AE30-Assumptions!$G$85))*Assumptions!$G$86)</f>
        <v>1221.83799638128</v>
      </c>
      <c r="AF74" s="14" t="n">
        <f aca="false">(MAX(0,(AF30-Assumptions!$G$85))*Assumptions!$G$86)</f>
        <v>1331.58080214365</v>
      </c>
      <c r="AG74" s="14" t="n">
        <f aca="false">(MAX(0,(AG30-Assumptions!$G$85))*Assumptions!$G$86)</f>
        <v>1450.95621680883</v>
      </c>
      <c r="AH74" s="14" t="n">
        <f aca="false">(MAX(0,(AH30-Assumptions!$G$85))*Assumptions!$G$86)</f>
        <v>1580.82236415007</v>
      </c>
      <c r="AI74" s="14" t="n">
        <f aca="false">(MAX(0,(AI30-Assumptions!$G$85))*Assumptions!$G$86)</f>
        <v>1722.11278591123</v>
      </c>
      <c r="AJ74" s="14" t="n">
        <f aca="false">(MAX(0,(AJ30-Assumptions!$G$85))*Assumptions!$G$86)</f>
        <v>1875.84388170046</v>
      </c>
      <c r="AK74" s="14" t="n">
        <f aca="false">(MAX(0,(AK30-Assumptions!$G$85))*Assumptions!$G$86)</f>
        <v>2043.12235004861</v>
      </c>
      <c r="AL74" s="14" t="n">
        <f aca="false">(MAX(0,(AL30-Assumptions!$G$85))*Assumptions!$G$86)</f>
        <v>2225.15327799494</v>
      </c>
    </row>
    <row r="75" customFormat="false" ht="15" hidden="false" customHeight="false" outlineLevel="0" collapsed="false">
      <c r="A75" s="6" t="s">
        <v>467</v>
      </c>
      <c r="B75" s="2" t="s">
        <v>468</v>
      </c>
      <c r="C75" s="14" t="n">
        <f aca="false">(C66*Assumptions!$G$68)</f>
        <v>0</v>
      </c>
      <c r="D75" s="14" t="n">
        <f aca="false">(D66*Assumptions!$G$68)</f>
        <v>0</v>
      </c>
      <c r="E75" s="14" t="n">
        <f aca="false">(E66*Assumptions!$G$68)</f>
        <v>0</v>
      </c>
      <c r="F75" s="14" t="n">
        <f aca="false">(F66*Assumptions!$G$68)</f>
        <v>0</v>
      </c>
      <c r="G75" s="14" t="n">
        <f aca="false">(G66*Assumptions!$G$68)</f>
        <v>0</v>
      </c>
      <c r="H75" s="14" t="n">
        <f aca="false">(H66*Assumptions!$G$68)</f>
        <v>0</v>
      </c>
      <c r="I75" s="14" t="n">
        <f aca="false">(I66*Assumptions!$G$68)</f>
        <v>0</v>
      </c>
      <c r="J75" s="14" t="n">
        <f aca="false">(J66*Assumptions!$G$68)</f>
        <v>0</v>
      </c>
      <c r="K75" s="14" t="n">
        <f aca="false">(K66*Assumptions!$G$68)</f>
        <v>0</v>
      </c>
      <c r="L75" s="14" t="n">
        <f aca="false">(L66*Assumptions!$G$68)</f>
        <v>0</v>
      </c>
      <c r="M75" s="14" t="n">
        <f aca="false">(M66*Assumptions!$G$68)</f>
        <v>0</v>
      </c>
      <c r="N75" s="14" t="n">
        <f aca="false">(N66*Assumptions!$G$68)</f>
        <v>0</v>
      </c>
      <c r="O75" s="14" t="n">
        <f aca="false">(O66*Assumptions!$G$68)</f>
        <v>0</v>
      </c>
      <c r="P75" s="14" t="n">
        <f aca="false">(P66*Assumptions!$G$68)</f>
        <v>0</v>
      </c>
      <c r="Q75" s="14" t="n">
        <f aca="false">(Q66*Assumptions!$G$68)</f>
        <v>0</v>
      </c>
      <c r="R75" s="14" t="n">
        <f aca="false">(R66*Assumptions!$G$68)</f>
        <v>0</v>
      </c>
      <c r="S75" s="14" t="n">
        <f aca="false">(S66*Assumptions!$G$68)</f>
        <v>0</v>
      </c>
      <c r="T75" s="14" t="n">
        <f aca="false">(T66*Assumptions!$G$68)</f>
        <v>0</v>
      </c>
      <c r="U75" s="14" t="n">
        <f aca="false">(U66*Assumptions!$G$68)</f>
        <v>0</v>
      </c>
      <c r="V75" s="14" t="n">
        <f aca="false">(V66*Assumptions!$G$68)</f>
        <v>0</v>
      </c>
      <c r="W75" s="14" t="n">
        <f aca="false">(W66*Assumptions!$G$68)</f>
        <v>0</v>
      </c>
      <c r="X75" s="14" t="n">
        <f aca="false">(X66*Assumptions!$G$68)</f>
        <v>0</v>
      </c>
      <c r="Y75" s="14" t="n">
        <f aca="false">(Y66*Assumptions!$G$68)</f>
        <v>0</v>
      </c>
      <c r="Z75" s="14" t="n">
        <f aca="false">(Z66*Assumptions!$G$68)</f>
        <v>0</v>
      </c>
      <c r="AA75" s="14" t="n">
        <f aca="false">(AA66*Assumptions!$G$68)</f>
        <v>0</v>
      </c>
      <c r="AB75" s="14" t="n">
        <f aca="false">(AB66*Assumptions!$G$68)</f>
        <v>0</v>
      </c>
      <c r="AC75" s="14" t="n">
        <f aca="false">(AC66*Assumptions!$G$68)</f>
        <v>0</v>
      </c>
      <c r="AD75" s="14" t="n">
        <f aca="false">(AD66*Assumptions!$G$68)</f>
        <v>0</v>
      </c>
      <c r="AE75" s="14" t="n">
        <f aca="false">(AE66*Assumptions!$G$68)</f>
        <v>0</v>
      </c>
      <c r="AF75" s="14" t="n">
        <f aca="false">(AF66*Assumptions!$G$68)</f>
        <v>0</v>
      </c>
      <c r="AG75" s="14" t="n">
        <f aca="false">(AG66*Assumptions!$G$68)</f>
        <v>0</v>
      </c>
      <c r="AH75" s="14" t="n">
        <f aca="false">(AH66*Assumptions!$G$68)</f>
        <v>0</v>
      </c>
      <c r="AI75" s="14" t="n">
        <f aca="false">(AI66*Assumptions!$G$68)</f>
        <v>0</v>
      </c>
      <c r="AJ75" s="14" t="n">
        <f aca="false">(AJ66*Assumptions!$G$68)</f>
        <v>0</v>
      </c>
      <c r="AK75" s="14" t="n">
        <f aca="false">(AK66*Assumptions!$G$68)</f>
        <v>0</v>
      </c>
      <c r="AL75" s="14" t="n">
        <f aca="false">(AL66*Assumptions!$G$68)</f>
        <v>0</v>
      </c>
    </row>
    <row r="76" customFormat="false" ht="15" hidden="false" customHeight="false" outlineLevel="0" collapsed="false">
      <c r="A76" s="21" t="s">
        <v>469</v>
      </c>
      <c r="B76" s="2" t="s">
        <v>470</v>
      </c>
      <c r="C76" s="23" t="n">
        <f aca="false">(((((C70+C71)+C72)+C73)+C74)+C75)</f>
        <v>470.04763</v>
      </c>
      <c r="D76" s="23" t="n">
        <f aca="false">(((((D70+D71)+D72)+D73)+D74)+D75)</f>
        <v>490.561585915957</v>
      </c>
      <c r="E76" s="23" t="n">
        <f aca="false">(((((E70+E71)+E72)+E73)+E74)+E75)</f>
        <v>510.312741109625</v>
      </c>
      <c r="F76" s="23" t="n">
        <f aca="false">(((((F70+F71)+F72)+F73)+F74)+F75)</f>
        <v>539.186698868566</v>
      </c>
      <c r="G76" s="23" t="n">
        <f aca="false">(((((G70+G71)+G72)+G73)+G74)+G75)</f>
        <v>562.802786946028</v>
      </c>
      <c r="H76" s="23" t="n">
        <f aca="false">(((((H70+H71)+H72)+H73)+H74)+H75)</f>
        <v>587.695411657781</v>
      </c>
      <c r="I76" s="23" t="n">
        <f aca="false">(((((I70+I71)+I72)+I73)+I74)+I75)</f>
        <v>957.91766128349</v>
      </c>
      <c r="J76" s="23" t="n">
        <f aca="false">(((((J70+J71)+J72)+J73)+J74)+J75)</f>
        <v>1048.58687784556</v>
      </c>
      <c r="K76" s="23" t="n">
        <f aca="false">(((((K70+K71)+K72)+K73)+K74)+K75)</f>
        <v>1146.0811820356</v>
      </c>
      <c r="L76" s="23" t="n">
        <f aca="false">(((((L70+L71)+L72)+L73)+L74)+L75)</f>
        <v>1251.09207740369</v>
      </c>
      <c r="M76" s="23" t="n">
        <f aca="false">(((((M70+M71)+M72)+M73)+M74)+M75)</f>
        <v>1364.36292652971</v>
      </c>
      <c r="N76" s="23" t="n">
        <f aca="false">(((((N70+N71)+N72)+N73)+N74)+N75)</f>
        <v>1486.69448579911</v>
      </c>
      <c r="O76" s="23" t="n">
        <f aca="false">(((((O70+O71)+O72)+O73)+O74)+O75)</f>
        <v>3864.67762552163</v>
      </c>
      <c r="P76" s="23" t="n">
        <f aca="false">(((((P70+P71)+P72)+P73)+P74)+P75)</f>
        <v>4237.39966531237</v>
      </c>
      <c r="Q76" s="23" t="n">
        <f aca="false">(((((Q70+Q71)+Q72)+Q73)+Q74)+Q75)</f>
        <v>4640.10836800374</v>
      </c>
      <c r="R76" s="23" t="n">
        <f aca="false">(((((R70+R71)+R72)+R73)+R74)+R75)</f>
        <v>5075.80544127201</v>
      </c>
      <c r="S76" s="23" t="n">
        <f aca="false">(((((S70+S71)+S72)+S73)+S74)+S75)</f>
        <v>5545.27543260827</v>
      </c>
      <c r="T76" s="23" t="n">
        <f aca="false">(((((T70+T71)+T72)+T73)+T74)+T75)</f>
        <v>6054.31029488038</v>
      </c>
      <c r="U76" s="23" t="n">
        <f aca="false">(((((U70+U71)+U72)+U73)+U74)+U75)</f>
        <v>6606.56333244388</v>
      </c>
      <c r="V76" s="23" t="n">
        <f aca="false">(((((V70+V71)+V72)+V73)+V74)+V75)</f>
        <v>7205.94192447555</v>
      </c>
      <c r="W76" s="23" t="n">
        <f aca="false">(((((W70+W71)+W72)+W73)+W74)+W75)</f>
        <v>7856.68917636527</v>
      </c>
      <c r="X76" s="23" t="n">
        <f aca="false">(((((X70+X71)+X72)+X73)+X74)+X75)</f>
        <v>8563.41598730611</v>
      </c>
      <c r="Y76" s="23" t="n">
        <f aca="false">(((((Y70+Y71)+Y72)+Y73)+Y74)+Y75)</f>
        <v>9331.13461209119</v>
      </c>
      <c r="Z76" s="23" t="n">
        <f aca="false">(((((Z70+Z71)+Z72)+Z73)+Z74)+Z75)</f>
        <v>10165.2951085486</v>
      </c>
      <c r="AA76" s="23" t="n">
        <f aca="false">(((((AA70+AA71)+AA72)+AA73)+AA74)+AA75)</f>
        <v>11069.3880969926</v>
      </c>
      <c r="AB76" s="23" t="n">
        <f aca="false">(((((AB70+AB71)+AB72)+AB73)+AB74)+AB75)</f>
        <v>12034.9274901818</v>
      </c>
      <c r="AC76" s="23" t="n">
        <f aca="false">(((((AC70+AC71)+AC72)+AC73)+AC74)+AC75)</f>
        <v>13084.0334822495</v>
      </c>
      <c r="AD76" s="23" t="n">
        <f aca="false">(((((AD70+AD71)+AD72)+AD73)+AD74)+AD75)</f>
        <v>14224.3159386646</v>
      </c>
      <c r="AE76" s="23" t="n">
        <f aca="false">(((((AE70+AE71)+AE72)+AE73)+AE74)+AE75)</f>
        <v>15462.6484682752</v>
      </c>
      <c r="AF76" s="23" t="n">
        <f aca="false">(((((AF70+AF71)+AF72)+AF73)+AF74)+AF75)</f>
        <v>16809.1937877284</v>
      </c>
      <c r="AG76" s="23" t="n">
        <f aca="false">(((((AG70+AG71)+AG72)+AG73)+AG74)+AG75)</f>
        <v>18273.6077953143</v>
      </c>
      <c r="AH76" s="23" t="n">
        <f aca="false">(((((AH70+AH71)+AH72)+AH73)+AH74)+AH75)</f>
        <v>19866.3698758158</v>
      </c>
      <c r="AI76" s="23" t="n">
        <f aca="false">(((((AI70+AI71)+AI72)+AI73)+AI74)+AI75)</f>
        <v>23748.8876279912</v>
      </c>
      <c r="AJ76" s="23" t="n">
        <f aca="false">(((((AJ70+AJ71)+AJ72)+AJ73)+AJ74)+AJ75)</f>
        <v>25633.5806715953</v>
      </c>
      <c r="AK76" s="23" t="n">
        <f aca="false">(((((AK70+AK71)+AK72)+AK73)+AK74)+AK75)</f>
        <v>27683.9712430752</v>
      </c>
      <c r="AL76" s="23" t="n">
        <f aca="false">(((((AL70+AL71)+AL72)+AL73)+AL74)+AL75)</f>
        <v>29914.7828565399</v>
      </c>
    </row>
    <row r="77" customFormat="false" ht="15" hidden="false" customHeight="false" outlineLevel="0" collapsed="false">
      <c r="A77" s="21" t="s">
        <v>471</v>
      </c>
      <c r="B77" s="2" t="s">
        <v>472</v>
      </c>
      <c r="C77" s="23" t="n">
        <f aca="false">(C67-C76)</f>
        <v>900.04612435625</v>
      </c>
      <c r="D77" s="23" t="n">
        <f aca="false">(D67-D76)</f>
        <v>1790.66465277205</v>
      </c>
      <c r="E77" s="23" t="n">
        <f aca="false">(E67-E76)</f>
        <v>2717.34499249666</v>
      </c>
      <c r="F77" s="23" t="n">
        <f aca="false">(F67-F76)</f>
        <v>4205.44049537499</v>
      </c>
      <c r="G77" s="23" t="n">
        <f aca="false">(G67-G76)</f>
        <v>5393.36917890487</v>
      </c>
      <c r="H77" s="23" t="n">
        <f aca="false">(H67-H76)</f>
        <v>6655.9288121825</v>
      </c>
      <c r="I77" s="23" t="n">
        <f aca="false">(I67-I76)</f>
        <v>8029.74861073574</v>
      </c>
      <c r="J77" s="23" t="n">
        <f aca="false">(J67-J76)</f>
        <v>9463.75808748573</v>
      </c>
      <c r="K77" s="23" t="n">
        <f aca="false">(K67-K76)</f>
        <v>11002.4589473431</v>
      </c>
      <c r="L77" s="23" t="n">
        <f aca="false">(L67-L76)</f>
        <v>12657.0644798778</v>
      </c>
      <c r="M77" s="23" t="n">
        <f aca="false">(M67-M76)</f>
        <v>14439.5583446866</v>
      </c>
      <c r="N77" s="23" t="n">
        <f aca="false">(N67-N76)</f>
        <v>16362.7863173994</v>
      </c>
      <c r="O77" s="23" t="n">
        <f aca="false">(O67-O76)</f>
        <v>15996.4093395855</v>
      </c>
      <c r="P77" s="23" t="n">
        <f aca="false">(P67-P76)</f>
        <v>17791.6767026847</v>
      </c>
      <c r="Q77" s="23" t="n">
        <f aca="false">(Q67-Q76)</f>
        <v>19733.0146884885</v>
      </c>
      <c r="R77" s="23" t="n">
        <f aca="false">(R67-R76)</f>
        <v>21817.2923366045</v>
      </c>
      <c r="S77" s="23" t="n">
        <f aca="false">(S67-S76)</f>
        <v>24076.8715752966</v>
      </c>
      <c r="T77" s="23" t="n">
        <f aca="false">(T67-T76)</f>
        <v>26525.7287536521</v>
      </c>
      <c r="U77" s="23" t="n">
        <f aca="false">(U67-U76)</f>
        <v>29181.2404064367</v>
      </c>
      <c r="V77" s="23" t="n">
        <f aca="false">(V67-V76)</f>
        <v>32062.2945960925</v>
      </c>
      <c r="W77" s="23" t="n">
        <f aca="false">(W67-W76)</f>
        <v>35189.3846086156</v>
      </c>
      <c r="X77" s="23" t="n">
        <f aca="false">(X67-X76)</f>
        <v>38584.7579652735</v>
      </c>
      <c r="Y77" s="23" t="n">
        <f aca="false">(Y67-Y76)</f>
        <v>42272.5790247859</v>
      </c>
      <c r="Z77" s="23" t="n">
        <f aca="false">(Z67-Z76)</f>
        <v>46279.1054359504</v>
      </c>
      <c r="AA77" s="23" t="n">
        <f aca="false">(AA67-AA76)</f>
        <v>50530.2488592514</v>
      </c>
      <c r="AB77" s="23" t="n">
        <f aca="false">(AB67-AB76)</f>
        <v>55164.4919952277</v>
      </c>
      <c r="AC77" s="23" t="n">
        <f aca="false">(AC67-AC76)</f>
        <v>60201.8824373639</v>
      </c>
      <c r="AD77" s="23" t="n">
        <f aca="false">(AD67-AD76)</f>
        <v>65669.3466551334</v>
      </c>
      <c r="AE77" s="23" t="n">
        <f aca="false">(AE67-AE76)</f>
        <v>71615.2821005347</v>
      </c>
      <c r="AF77" s="23" t="n">
        <f aca="false">(AF67-AF76)</f>
        <v>78081.0862836397</v>
      </c>
      <c r="AG77" s="23" t="n">
        <f aca="false">(AG67-AG76)</f>
        <v>85113.0109094478</v>
      </c>
      <c r="AH77" s="23" t="n">
        <f aca="false">(AH67-AH76)</f>
        <v>92761.4244676263</v>
      </c>
      <c r="AI77" s="23" t="n">
        <f aca="false">(AI67-AI76)</f>
        <v>98931.1557479092</v>
      </c>
      <c r="AJ77" s="23" t="n">
        <f aca="false">(AJ67-AJ76)</f>
        <v>107981.893363728</v>
      </c>
      <c r="AK77" s="23" t="n">
        <f aca="false">(AK67-AK76)</f>
        <v>117828.621370507</v>
      </c>
      <c r="AL77" s="23" t="n">
        <f aca="false">(AL67-AL76)</f>
        <v>128542.093679713</v>
      </c>
    </row>
    <row r="78" customFormat="false" ht="15" hidden="false" customHeight="false" outlineLevel="0" collapsed="false">
      <c r="A78" s="6" t="s">
        <v>473</v>
      </c>
      <c r="B78" s="2" t="s">
        <v>474</v>
      </c>
      <c r="C78" s="16" t="n">
        <f aca="false">IF(C67=0,0,C77/C67)</f>
        <v>0.656923018220125</v>
      </c>
      <c r="D78" s="16" t="n">
        <f aca="false">IF(D67=0,0,D77/D67)</f>
        <v>0.784957064934475</v>
      </c>
      <c r="E78" s="16" t="n">
        <f aca="false">IF(E67=0,0,E77/E67)</f>
        <v>0.841893787003416</v>
      </c>
      <c r="F78" s="16" t="n">
        <f aca="false">IF(F67=0,0,F77/F67)</f>
        <v>0.886358468896621</v>
      </c>
      <c r="G78" s="16" t="n">
        <f aca="false">IF(G67=0,0,G77/G67)</f>
        <v>0.905509311992199</v>
      </c>
      <c r="H78" s="16" t="n">
        <f aca="false">IF(H67=0,0,H77/H67)</f>
        <v>0.918867214325731</v>
      </c>
      <c r="I78" s="16" t="n">
        <f aca="false">IF(I67=0,0,I77/I67)</f>
        <v>0.893418643695559</v>
      </c>
      <c r="J78" s="16" t="n">
        <f aca="false">IF(J67=0,0,J77/J67)</f>
        <v>0.900251858048447</v>
      </c>
      <c r="K78" s="16" t="n">
        <f aca="false">IF(K67=0,0,K77/K67)</f>
        <v>0.905660995491628</v>
      </c>
      <c r="L78" s="16" t="n">
        <f aca="false">IF(L67=0,0,L77/L67)</f>
        <v>0.910046160880416</v>
      </c>
      <c r="M78" s="16" t="n">
        <f aca="false">IF(M67=0,0,M77/M67)</f>
        <v>0.913669341733901</v>
      </c>
      <c r="N78" s="16" t="n">
        <f aca="false">IF(N67=0,0,N77/N67)</f>
        <v>0.916709370866815</v>
      </c>
      <c r="O78" s="16" t="n">
        <f aca="false">IF(O67=0,0,O77/O67)</f>
        <v>0.805414596275054</v>
      </c>
      <c r="P78" s="16" t="n">
        <f aca="false">IF(P67=0,0,P77/P67)</f>
        <v>0.807645150685106</v>
      </c>
      <c r="Q78" s="16" t="n">
        <f aca="false">IF(Q67=0,0,Q77/Q67)</f>
        <v>0.809621920126984</v>
      </c>
      <c r="R78" s="16" t="n">
        <f aca="false">IF(R67=0,0,R77/R67)</f>
        <v>0.811259919433766</v>
      </c>
      <c r="S78" s="16" t="n">
        <f aca="false">IF(S67=0,0,S77/S67)</f>
        <v>0.812799678864315</v>
      </c>
      <c r="T78" s="16" t="n">
        <f aca="false">IF(T67=0,0,T77/T67)</f>
        <v>0.814171177454341</v>
      </c>
      <c r="U78" s="16" t="n">
        <f aca="false">IF(U67=0,0,U77/U67)</f>
        <v>0.815396234408585</v>
      </c>
      <c r="V78" s="16" t="n">
        <f aca="false">IF(V67=0,0,V77/V67)</f>
        <v>0.816494384190102</v>
      </c>
      <c r="W78" s="16" t="n">
        <f aca="false">IF(W67=0,0,W77/W67)</f>
        <v>0.817481863372484</v>
      </c>
      <c r="X78" s="16" t="n">
        <f aca="false">IF(X67=0,0,X77/X67)</f>
        <v>0.818372266210798</v>
      </c>
      <c r="Y78" s="16" t="n">
        <f aca="false">IF(Y67=0,0,Y77/Y67)</f>
        <v>0.819177071678365</v>
      </c>
      <c r="Z78" s="16" t="n">
        <f aca="false">IF(Z67=0,0,Z77/Z67)</f>
        <v>0.819906048952816</v>
      </c>
      <c r="AA78" s="16" t="n">
        <f aca="false">IF(AA67=0,0,AA77/AA67)</f>
        <v>0.820301082214892</v>
      </c>
      <c r="AB78" s="16" t="n">
        <f aca="false">IF(AB67=0,0,AB77/AB67)</f>
        <v>0.820907269998146</v>
      </c>
      <c r="AC78" s="16" t="n">
        <f aca="false">IF(AC67=0,0,AC77/AC67)</f>
        <v>0.821465921274679</v>
      </c>
      <c r="AD78" s="16" t="n">
        <f aca="false">IF(AD67=0,0,AD77/AD67)</f>
        <v>0.82195939606643</v>
      </c>
      <c r="AE78" s="16" t="n">
        <f aca="false">IF(AE67=0,0,AE77/AE67)</f>
        <v>0.822427469655397</v>
      </c>
      <c r="AF78" s="16" t="n">
        <f aca="false">IF(AF67=0,0,AF77/AF67)</f>
        <v>0.822856526768748</v>
      </c>
      <c r="AG78" s="16" t="n">
        <f aca="false">IF(AG67=0,0,AG77/AG67)</f>
        <v>0.823249778121696</v>
      </c>
      <c r="AH78" s="16" t="n">
        <f aca="false">IF(AH67=0,0,AH77/AH67)</f>
        <v>0.823610415247624</v>
      </c>
      <c r="AI78" s="16" t="n">
        <f aca="false">IF(AI67=0,0,AI77/AI67)</f>
        <v>0.806416048002014</v>
      </c>
      <c r="AJ78" s="16" t="n">
        <f aca="false">IF(AJ67=0,0,AJ77/AJ67)</f>
        <v>0.808154101486639</v>
      </c>
      <c r="AK78" s="16" t="n">
        <f aca="false">IF(AK67=0,0,AK77/AK67)</f>
        <v>0.809748622123779</v>
      </c>
      <c r="AL78" s="16" t="n">
        <f aca="false">IF(AL67=0,0,AL77/AL67)</f>
        <v>0.811211835608183</v>
      </c>
    </row>
    <row r="80" customFormat="false" ht="15" hidden="false" customHeight="false" outlineLevel="0" collapsed="false">
      <c r="A80" s="4" t="s">
        <v>475</v>
      </c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  <c r="AJ80" s="5"/>
      <c r="AK80" s="5"/>
      <c r="AL80" s="5"/>
    </row>
    <row r="81" customFormat="false" ht="15" hidden="false" customHeight="false" outlineLevel="0" collapsed="false">
      <c r="A81" s="6" t="s">
        <v>476</v>
      </c>
      <c r="B81" s="2" t="s">
        <v>477</v>
      </c>
      <c r="C81" s="14" t="n">
        <f aca="false">(Assumptions!$G$10*Assumptions!$G$88)</f>
        <v>0</v>
      </c>
      <c r="D81" s="14" t="n">
        <f aca="false">(Assumptions!$G$10*Assumptions!$G$88)</f>
        <v>0</v>
      </c>
      <c r="E81" s="14" t="n">
        <f aca="false">(Assumptions!$G$10*Assumptions!$G$88)</f>
        <v>0</v>
      </c>
      <c r="F81" s="14" t="n">
        <f aca="false">(Assumptions!$G$10*Assumptions!$G$88)</f>
        <v>0</v>
      </c>
      <c r="G81" s="14" t="n">
        <f aca="false">(Assumptions!$G$10*Assumptions!$G$88)</f>
        <v>0</v>
      </c>
      <c r="H81" s="14" t="n">
        <f aca="false">(Assumptions!$G$10*Assumptions!$G$88)</f>
        <v>0</v>
      </c>
      <c r="I81" s="14" t="n">
        <f aca="false">(Assumptions!$G$10*Assumptions!$G$88)</f>
        <v>0</v>
      </c>
      <c r="J81" s="14" t="n">
        <f aca="false">(Assumptions!$G$10*Assumptions!$G$88)</f>
        <v>0</v>
      </c>
      <c r="K81" s="14" t="n">
        <f aca="false">(Assumptions!$G$10*Assumptions!$G$88)</f>
        <v>0</v>
      </c>
      <c r="L81" s="14" t="n">
        <f aca="false">(Assumptions!$G$10*Assumptions!$G$88)</f>
        <v>0</v>
      </c>
      <c r="M81" s="14" t="n">
        <f aca="false">(Assumptions!$G$10*Assumptions!$G$88)</f>
        <v>0</v>
      </c>
      <c r="N81" s="14" t="n">
        <f aca="false">(Assumptions!$G$10*Assumptions!$G$88)</f>
        <v>0</v>
      </c>
      <c r="O81" s="14" t="n">
        <f aca="false">(Assumptions!$G$10*Assumptions!$G$88)</f>
        <v>0</v>
      </c>
      <c r="P81" s="14" t="n">
        <f aca="false">(Assumptions!$G$10*Assumptions!$G$88)</f>
        <v>0</v>
      </c>
      <c r="Q81" s="14" t="n">
        <f aca="false">(Assumptions!$G$10*Assumptions!$G$88)</f>
        <v>0</v>
      </c>
      <c r="R81" s="14" t="n">
        <f aca="false">(Assumptions!$G$10*Assumptions!$G$88)</f>
        <v>0</v>
      </c>
      <c r="S81" s="14" t="n">
        <f aca="false">(Assumptions!$G$10*Assumptions!$G$88)</f>
        <v>0</v>
      </c>
      <c r="T81" s="14" t="n">
        <f aca="false">(Assumptions!$G$10*Assumptions!$G$88)</f>
        <v>0</v>
      </c>
      <c r="U81" s="14" t="n">
        <f aca="false">(Assumptions!$G$10*Assumptions!$G$88)</f>
        <v>0</v>
      </c>
      <c r="V81" s="14" t="n">
        <f aca="false">(Assumptions!$G$10*Assumptions!$G$88)</f>
        <v>0</v>
      </c>
      <c r="W81" s="14" t="n">
        <f aca="false">(Assumptions!$G$10*Assumptions!$G$88)</f>
        <v>0</v>
      </c>
      <c r="X81" s="14" t="n">
        <f aca="false">(Assumptions!$G$10*Assumptions!$G$88)</f>
        <v>0</v>
      </c>
      <c r="Y81" s="14" t="n">
        <f aca="false">(Assumptions!$G$10*Assumptions!$G$88)</f>
        <v>0</v>
      </c>
      <c r="Z81" s="14" t="n">
        <f aca="false">(Assumptions!$G$10*Assumptions!$G$88)</f>
        <v>0</v>
      </c>
      <c r="AA81" s="14" t="n">
        <f aca="false">(Assumptions!$G$10*Assumptions!$G$88)</f>
        <v>0</v>
      </c>
      <c r="AB81" s="14" t="n">
        <f aca="false">(Assumptions!$G$10*Assumptions!$G$88)</f>
        <v>0</v>
      </c>
      <c r="AC81" s="14" t="n">
        <f aca="false">(Assumptions!$G$10*Assumptions!$G$88)</f>
        <v>0</v>
      </c>
      <c r="AD81" s="14" t="n">
        <f aca="false">(Assumptions!$G$10*Assumptions!$G$88)</f>
        <v>0</v>
      </c>
      <c r="AE81" s="14" t="n">
        <f aca="false">(Assumptions!$G$10*Assumptions!$G$88)</f>
        <v>0</v>
      </c>
      <c r="AF81" s="14" t="n">
        <f aca="false">(Assumptions!$G$10*Assumptions!$G$88)</f>
        <v>0</v>
      </c>
      <c r="AG81" s="14" t="n">
        <f aca="false">(Assumptions!$G$10*Assumptions!$G$88)</f>
        <v>0</v>
      </c>
      <c r="AH81" s="14" t="n">
        <f aca="false">(Assumptions!$G$10*Assumptions!$G$88)</f>
        <v>0</v>
      </c>
      <c r="AI81" s="14" t="n">
        <f aca="false">(Assumptions!$G$10*Assumptions!$G$88)</f>
        <v>0</v>
      </c>
      <c r="AJ81" s="14" t="n">
        <f aca="false">(Assumptions!$G$10*Assumptions!$G$88)</f>
        <v>0</v>
      </c>
      <c r="AK81" s="14" t="n">
        <f aca="false">(Assumptions!$G$10*Assumptions!$G$88)</f>
        <v>0</v>
      </c>
      <c r="AL81" s="14" t="n">
        <f aca="false">(Assumptions!$G$10*Assumptions!$G$88)</f>
        <v>0</v>
      </c>
    </row>
    <row r="82" customFormat="false" ht="15" hidden="false" customHeight="false" outlineLevel="0" collapsed="false">
      <c r="A82" s="6" t="s">
        <v>478</v>
      </c>
      <c r="B82" s="2" t="s">
        <v>479</v>
      </c>
      <c r="C82" s="14" t="n">
        <f aca="false">CHOOSE(C$3,Assumptions!$G$89,Assumptions!$G$90,Assumptions!$G$91)</f>
        <v>1000</v>
      </c>
      <c r="D82" s="14" t="n">
        <f aca="false">CHOOSE(D$3,Assumptions!$G$89,Assumptions!$G$90,Assumptions!$G$91)</f>
        <v>1000</v>
      </c>
      <c r="E82" s="14" t="n">
        <f aca="false">CHOOSE(E$3,Assumptions!$G$89,Assumptions!$G$90,Assumptions!$G$91)</f>
        <v>1000</v>
      </c>
      <c r="F82" s="14" t="n">
        <f aca="false">CHOOSE(F$3,Assumptions!$G$89,Assumptions!$G$90,Assumptions!$G$91)</f>
        <v>1000</v>
      </c>
      <c r="G82" s="14" t="n">
        <f aca="false">CHOOSE(G$3,Assumptions!$G$89,Assumptions!$G$90,Assumptions!$G$91)</f>
        <v>1000</v>
      </c>
      <c r="H82" s="14" t="n">
        <f aca="false">CHOOSE(H$3,Assumptions!$G$89,Assumptions!$G$90,Assumptions!$G$91)</f>
        <v>1000</v>
      </c>
      <c r="I82" s="14" t="n">
        <f aca="false">CHOOSE(I$3,Assumptions!$G$89,Assumptions!$G$90,Assumptions!$G$91)</f>
        <v>1000</v>
      </c>
      <c r="J82" s="14" t="n">
        <f aca="false">CHOOSE(J$3,Assumptions!$G$89,Assumptions!$G$90,Assumptions!$G$91)</f>
        <v>1000</v>
      </c>
      <c r="K82" s="14" t="n">
        <f aca="false">CHOOSE(K$3,Assumptions!$G$89,Assumptions!$G$90,Assumptions!$G$91)</f>
        <v>1000</v>
      </c>
      <c r="L82" s="14" t="n">
        <f aca="false">CHOOSE(L$3,Assumptions!$G$89,Assumptions!$G$90,Assumptions!$G$91)</f>
        <v>1000</v>
      </c>
      <c r="M82" s="14" t="n">
        <f aca="false">CHOOSE(M$3,Assumptions!$G$89,Assumptions!$G$90,Assumptions!$G$91)</f>
        <v>1000</v>
      </c>
      <c r="N82" s="14" t="n">
        <f aca="false">CHOOSE(N$3,Assumptions!$G$89,Assumptions!$G$90,Assumptions!$G$91)</f>
        <v>1000</v>
      </c>
      <c r="O82" s="14" t="n">
        <f aca="false">CHOOSE(O$3,Assumptions!$G$89,Assumptions!$G$90,Assumptions!$G$91)</f>
        <v>3000</v>
      </c>
      <c r="P82" s="14" t="n">
        <f aca="false">CHOOSE(P$3,Assumptions!$G$89,Assumptions!$G$90,Assumptions!$G$91)</f>
        <v>3000</v>
      </c>
      <c r="Q82" s="14" t="n">
        <f aca="false">CHOOSE(Q$3,Assumptions!$G$89,Assumptions!$G$90,Assumptions!$G$91)</f>
        <v>3000</v>
      </c>
      <c r="R82" s="14" t="n">
        <f aca="false">CHOOSE(R$3,Assumptions!$G$89,Assumptions!$G$90,Assumptions!$G$91)</f>
        <v>3000</v>
      </c>
      <c r="S82" s="14" t="n">
        <f aca="false">CHOOSE(S$3,Assumptions!$G$89,Assumptions!$G$90,Assumptions!$G$91)</f>
        <v>3000</v>
      </c>
      <c r="T82" s="14" t="n">
        <f aca="false">CHOOSE(T$3,Assumptions!$G$89,Assumptions!$G$90,Assumptions!$G$91)</f>
        <v>3000</v>
      </c>
      <c r="U82" s="14" t="n">
        <f aca="false">CHOOSE(U$3,Assumptions!$G$89,Assumptions!$G$90,Assumptions!$G$91)</f>
        <v>3000</v>
      </c>
      <c r="V82" s="14" t="n">
        <f aca="false">CHOOSE(V$3,Assumptions!$G$89,Assumptions!$G$90,Assumptions!$G$91)</f>
        <v>3000</v>
      </c>
      <c r="W82" s="14" t="n">
        <f aca="false">CHOOSE(W$3,Assumptions!$G$89,Assumptions!$G$90,Assumptions!$G$91)</f>
        <v>3000</v>
      </c>
      <c r="X82" s="14" t="n">
        <f aca="false">CHOOSE(X$3,Assumptions!$G$89,Assumptions!$G$90,Assumptions!$G$91)</f>
        <v>3000</v>
      </c>
      <c r="Y82" s="14" t="n">
        <f aca="false">CHOOSE(Y$3,Assumptions!$G$89,Assumptions!$G$90,Assumptions!$G$91)</f>
        <v>3000</v>
      </c>
      <c r="Z82" s="14" t="n">
        <f aca="false">CHOOSE(Z$3,Assumptions!$G$89,Assumptions!$G$90,Assumptions!$G$91)</f>
        <v>3000</v>
      </c>
      <c r="AA82" s="14" t="n">
        <f aca="false">CHOOSE(AA$3,Assumptions!$G$89,Assumptions!$G$90,Assumptions!$G$91)</f>
        <v>6000</v>
      </c>
      <c r="AB82" s="14" t="n">
        <f aca="false">CHOOSE(AB$3,Assumptions!$G$89,Assumptions!$G$90,Assumptions!$G$91)</f>
        <v>6000</v>
      </c>
      <c r="AC82" s="14" t="n">
        <f aca="false">CHOOSE(AC$3,Assumptions!$G$89,Assumptions!$G$90,Assumptions!$G$91)</f>
        <v>6000</v>
      </c>
      <c r="AD82" s="14" t="n">
        <f aca="false">CHOOSE(AD$3,Assumptions!$G$89,Assumptions!$G$90,Assumptions!$G$91)</f>
        <v>6000</v>
      </c>
      <c r="AE82" s="14" t="n">
        <f aca="false">CHOOSE(AE$3,Assumptions!$G$89,Assumptions!$G$90,Assumptions!$G$91)</f>
        <v>6000</v>
      </c>
      <c r="AF82" s="14" t="n">
        <f aca="false">CHOOSE(AF$3,Assumptions!$G$89,Assumptions!$G$90,Assumptions!$G$91)</f>
        <v>6000</v>
      </c>
      <c r="AG82" s="14" t="n">
        <f aca="false">CHOOSE(AG$3,Assumptions!$G$89,Assumptions!$G$90,Assumptions!$G$91)</f>
        <v>6000</v>
      </c>
      <c r="AH82" s="14" t="n">
        <f aca="false">CHOOSE(AH$3,Assumptions!$G$89,Assumptions!$G$90,Assumptions!$G$91)</f>
        <v>6000</v>
      </c>
      <c r="AI82" s="14" t="n">
        <f aca="false">CHOOSE(AI$3,Assumptions!$G$89,Assumptions!$G$90,Assumptions!$G$91)</f>
        <v>6000</v>
      </c>
      <c r="AJ82" s="14" t="n">
        <f aca="false">CHOOSE(AJ$3,Assumptions!$G$89,Assumptions!$G$90,Assumptions!$G$91)</f>
        <v>6000</v>
      </c>
      <c r="AK82" s="14" t="n">
        <f aca="false">CHOOSE(AK$3,Assumptions!$G$89,Assumptions!$G$90,Assumptions!$G$91)</f>
        <v>6000</v>
      </c>
      <c r="AL82" s="14" t="n">
        <f aca="false">CHOOSE(AL$3,Assumptions!$G$89,Assumptions!$G$90,Assumptions!$G$91)</f>
        <v>6000</v>
      </c>
    </row>
    <row r="83" customFormat="false" ht="15" hidden="false" customHeight="false" outlineLevel="0" collapsed="false">
      <c r="A83" s="6" t="s">
        <v>480</v>
      </c>
      <c r="B83" s="2" t="s">
        <v>481</v>
      </c>
      <c r="C83" s="14" t="n">
        <f aca="false">C10</f>
        <v>1000</v>
      </c>
      <c r="D83" s="14" t="n">
        <f aca="false">D10</f>
        <v>1060</v>
      </c>
      <c r="E83" s="14" t="n">
        <f aca="false">E10</f>
        <v>1123.6</v>
      </c>
      <c r="F83" s="14" t="n">
        <f aca="false">F10</f>
        <v>1191.016</v>
      </c>
      <c r="G83" s="14" t="n">
        <f aca="false">G10</f>
        <v>1262.47696</v>
      </c>
      <c r="H83" s="14" t="n">
        <f aca="false">H10</f>
        <v>1338.2255776</v>
      </c>
      <c r="I83" s="14" t="n">
        <f aca="false">I10</f>
        <v>1418.519112256</v>
      </c>
      <c r="J83" s="14" t="n">
        <f aca="false">J10</f>
        <v>1503.63025899136</v>
      </c>
      <c r="K83" s="14" t="n">
        <f aca="false">K10</f>
        <v>1593.84807453084</v>
      </c>
      <c r="L83" s="14" t="n">
        <f aca="false">L10</f>
        <v>1689.47895900269</v>
      </c>
      <c r="M83" s="14" t="n">
        <f aca="false">M10</f>
        <v>1790.84769654285</v>
      </c>
      <c r="N83" s="14" t="n">
        <f aca="false">N10</f>
        <v>1898.29855833543</v>
      </c>
      <c r="O83" s="14" t="n">
        <f aca="false">O10</f>
        <v>2012.19647183555</v>
      </c>
      <c r="P83" s="14" t="n">
        <f aca="false">P10</f>
        <v>2132.92826014569</v>
      </c>
      <c r="Q83" s="14" t="n">
        <f aca="false">Q10</f>
        <v>2260.90395575443</v>
      </c>
      <c r="R83" s="14" t="n">
        <f aca="false">R10</f>
        <v>2396.55819309969</v>
      </c>
      <c r="S83" s="14" t="n">
        <f aca="false">S10</f>
        <v>2540.35168468567</v>
      </c>
      <c r="T83" s="14" t="n">
        <f aca="false">T10</f>
        <v>2692.77278576681</v>
      </c>
      <c r="U83" s="14" t="n">
        <f aca="false">U10</f>
        <v>2854.33915291282</v>
      </c>
      <c r="V83" s="14" t="n">
        <f aca="false">V10</f>
        <v>3025.59950208759</v>
      </c>
      <c r="W83" s="14" t="n">
        <f aca="false">W10</f>
        <v>3207.13547221285</v>
      </c>
      <c r="X83" s="14" t="n">
        <f aca="false">X10</f>
        <v>3399.56360054562</v>
      </c>
      <c r="Y83" s="14" t="n">
        <f aca="false">Y10</f>
        <v>3603.53741657836</v>
      </c>
      <c r="Z83" s="14" t="n">
        <f aca="false">Z10</f>
        <v>3819.74966157306</v>
      </c>
      <c r="AA83" s="14" t="n">
        <f aca="false">AA10</f>
        <v>4048.93464126744</v>
      </c>
      <c r="AB83" s="14" t="n">
        <f aca="false">AB10</f>
        <v>4291.87071974349</v>
      </c>
      <c r="AC83" s="14" t="n">
        <f aca="false">AC10</f>
        <v>4549.3829629281</v>
      </c>
      <c r="AD83" s="14" t="n">
        <f aca="false">AD10</f>
        <v>4822.34594070378</v>
      </c>
      <c r="AE83" s="14" t="n">
        <f aca="false">AE10</f>
        <v>5111.68669714601</v>
      </c>
      <c r="AF83" s="14" t="n">
        <f aca="false">AF10</f>
        <v>5418.38789897477</v>
      </c>
      <c r="AG83" s="14" t="n">
        <f aca="false">AG10</f>
        <v>5743.49117291326</v>
      </c>
      <c r="AH83" s="14" t="n">
        <f aca="false">AH10</f>
        <v>6088.10064328806</v>
      </c>
      <c r="AI83" s="14" t="n">
        <f aca="false">AI10</f>
        <v>6453.38668188534</v>
      </c>
      <c r="AJ83" s="14" t="n">
        <f aca="false">AJ10</f>
        <v>6840.58988279846</v>
      </c>
      <c r="AK83" s="14" t="n">
        <f aca="false">AK10</f>
        <v>7251.02527576637</v>
      </c>
      <c r="AL83" s="14" t="n">
        <f aca="false">AL10</f>
        <v>7686.08679231235</v>
      </c>
    </row>
    <row r="84" customFormat="false" ht="15" hidden="false" customHeight="false" outlineLevel="0" collapsed="false">
      <c r="A84" s="6" t="s">
        <v>482</v>
      </c>
      <c r="B84" s="2" t="s">
        <v>483</v>
      </c>
      <c r="C84" s="14" t="n">
        <f aca="false">C8</f>
        <v>0</v>
      </c>
      <c r="D84" s="14" t="n">
        <f aca="false">D8</f>
        <v>0</v>
      </c>
      <c r="E84" s="14" t="n">
        <f aca="false">E8</f>
        <v>0</v>
      </c>
      <c r="F84" s="14" t="n">
        <f aca="false">F8</f>
        <v>1000</v>
      </c>
      <c r="G84" s="14" t="n">
        <f aca="false">G8</f>
        <v>1070</v>
      </c>
      <c r="H84" s="14" t="n">
        <f aca="false">H8</f>
        <v>1144.9</v>
      </c>
      <c r="I84" s="14" t="n">
        <f aca="false">I8</f>
        <v>1225.043</v>
      </c>
      <c r="J84" s="14" t="n">
        <f aca="false">J8</f>
        <v>1310.79601</v>
      </c>
      <c r="K84" s="14" t="n">
        <f aca="false">K8</f>
        <v>1402.5517307</v>
      </c>
      <c r="L84" s="14" t="n">
        <f aca="false">L8</f>
        <v>1500.730351849</v>
      </c>
      <c r="M84" s="14" t="n">
        <f aca="false">M8</f>
        <v>1605.78147647843</v>
      </c>
      <c r="N84" s="14" t="n">
        <f aca="false">N8</f>
        <v>1718.18617983192</v>
      </c>
      <c r="O84" s="14" t="n">
        <f aca="false">O8</f>
        <v>1838.45921242016</v>
      </c>
      <c r="P84" s="14" t="n">
        <f aca="false">P8</f>
        <v>1967.15135728957</v>
      </c>
      <c r="Q84" s="14" t="n">
        <f aca="false">Q8</f>
        <v>2104.85195229984</v>
      </c>
      <c r="R84" s="14" t="n">
        <f aca="false">R8</f>
        <v>2252.19158896083</v>
      </c>
      <c r="S84" s="14" t="n">
        <f aca="false">S8</f>
        <v>2409.84500018808</v>
      </c>
      <c r="T84" s="14" t="n">
        <f aca="false">T8</f>
        <v>2578.53415020125</v>
      </c>
      <c r="U84" s="14" t="n">
        <f aca="false">U8</f>
        <v>2759.03154071534</v>
      </c>
      <c r="V84" s="14" t="n">
        <f aca="false">V8</f>
        <v>2952.16374856541</v>
      </c>
      <c r="W84" s="14" t="n">
        <f aca="false">W8</f>
        <v>3158.81521096499</v>
      </c>
      <c r="X84" s="14" t="n">
        <f aca="false">X8</f>
        <v>3379.93227573254</v>
      </c>
      <c r="Y84" s="14" t="n">
        <f aca="false">Y8</f>
        <v>3616.52753503382</v>
      </c>
      <c r="Z84" s="14" t="n">
        <f aca="false">Z8</f>
        <v>3869.68446248618</v>
      </c>
      <c r="AA84" s="14" t="n">
        <f aca="false">AA8</f>
        <v>4140.56237486022</v>
      </c>
      <c r="AB84" s="14" t="n">
        <f aca="false">AB8</f>
        <v>4430.40174110043</v>
      </c>
      <c r="AC84" s="14" t="n">
        <f aca="false">AC8</f>
        <v>4740.52986297746</v>
      </c>
      <c r="AD84" s="14" t="n">
        <f aca="false">AD8</f>
        <v>5072.36695338589</v>
      </c>
      <c r="AE84" s="14" t="n">
        <f aca="false">AE8</f>
        <v>5427.4326401229</v>
      </c>
      <c r="AF84" s="14" t="n">
        <f aca="false">AF8</f>
        <v>5807.3529249315</v>
      </c>
      <c r="AG84" s="14" t="n">
        <f aca="false">AG8</f>
        <v>6213.86762967671</v>
      </c>
      <c r="AH84" s="14" t="n">
        <f aca="false">AH8</f>
        <v>6648.83836375408</v>
      </c>
      <c r="AI84" s="14" t="n">
        <f aca="false">AI8</f>
        <v>7114.25704921686</v>
      </c>
      <c r="AJ84" s="14" t="n">
        <f aca="false">AJ8</f>
        <v>7612.25504266204</v>
      </c>
      <c r="AK84" s="14" t="n">
        <f aca="false">AK8</f>
        <v>8145.11289564839</v>
      </c>
      <c r="AL84" s="14" t="n">
        <f aca="false">AL8</f>
        <v>8715.27079834377</v>
      </c>
    </row>
    <row r="85" customFormat="false" ht="15" hidden="false" customHeight="false" outlineLevel="0" collapsed="false">
      <c r="A85" s="6" t="s">
        <v>484</v>
      </c>
      <c r="B85" s="2" t="s">
        <v>485</v>
      </c>
      <c r="C85" s="14" t="n">
        <f aca="false">Assumptions!$G$92</f>
        <v>150</v>
      </c>
      <c r="D85" s="14" t="n">
        <f aca="false">Assumptions!$G$92</f>
        <v>150</v>
      </c>
      <c r="E85" s="14" t="n">
        <f aca="false">Assumptions!$G$92</f>
        <v>150</v>
      </c>
      <c r="F85" s="14" t="n">
        <f aca="false">Assumptions!$G$92</f>
        <v>150</v>
      </c>
      <c r="G85" s="14" t="n">
        <f aca="false">Assumptions!$G$92</f>
        <v>150</v>
      </c>
      <c r="H85" s="14" t="n">
        <f aca="false">Assumptions!$G$92</f>
        <v>150</v>
      </c>
      <c r="I85" s="14" t="n">
        <f aca="false">Assumptions!$G$92</f>
        <v>150</v>
      </c>
      <c r="J85" s="14" t="n">
        <f aca="false">Assumptions!$G$92</f>
        <v>150</v>
      </c>
      <c r="K85" s="14" t="n">
        <f aca="false">Assumptions!$G$92</f>
        <v>150</v>
      </c>
      <c r="L85" s="14" t="n">
        <f aca="false">Assumptions!$G$92</f>
        <v>150</v>
      </c>
      <c r="M85" s="14" t="n">
        <f aca="false">Assumptions!$G$92</f>
        <v>150</v>
      </c>
      <c r="N85" s="14" t="n">
        <f aca="false">Assumptions!$G$92</f>
        <v>150</v>
      </c>
      <c r="O85" s="14" t="n">
        <f aca="false">Assumptions!$G$92</f>
        <v>150</v>
      </c>
      <c r="P85" s="14" t="n">
        <f aca="false">Assumptions!$G$92</f>
        <v>150</v>
      </c>
      <c r="Q85" s="14" t="n">
        <f aca="false">Assumptions!$G$92</f>
        <v>150</v>
      </c>
      <c r="R85" s="14" t="n">
        <f aca="false">Assumptions!$G$92</f>
        <v>150</v>
      </c>
      <c r="S85" s="14" t="n">
        <f aca="false">Assumptions!$G$92</f>
        <v>150</v>
      </c>
      <c r="T85" s="14" t="n">
        <f aca="false">Assumptions!$G$92</f>
        <v>150</v>
      </c>
      <c r="U85" s="14" t="n">
        <f aca="false">Assumptions!$G$92</f>
        <v>150</v>
      </c>
      <c r="V85" s="14" t="n">
        <f aca="false">Assumptions!$G$92</f>
        <v>150</v>
      </c>
      <c r="W85" s="14" t="n">
        <f aca="false">Assumptions!$G$92</f>
        <v>150</v>
      </c>
      <c r="X85" s="14" t="n">
        <f aca="false">Assumptions!$G$92</f>
        <v>150</v>
      </c>
      <c r="Y85" s="14" t="n">
        <f aca="false">Assumptions!$G$92</f>
        <v>150</v>
      </c>
      <c r="Z85" s="14" t="n">
        <f aca="false">Assumptions!$G$92</f>
        <v>150</v>
      </c>
      <c r="AA85" s="14" t="n">
        <f aca="false">Assumptions!$G$92</f>
        <v>150</v>
      </c>
      <c r="AB85" s="14" t="n">
        <f aca="false">Assumptions!$G$92</f>
        <v>150</v>
      </c>
      <c r="AC85" s="14" t="n">
        <f aca="false">Assumptions!$G$92</f>
        <v>150</v>
      </c>
      <c r="AD85" s="14" t="n">
        <f aca="false">Assumptions!$G$92</f>
        <v>150</v>
      </c>
      <c r="AE85" s="14" t="n">
        <f aca="false">Assumptions!$G$92</f>
        <v>150</v>
      </c>
      <c r="AF85" s="14" t="n">
        <f aca="false">Assumptions!$G$92</f>
        <v>150</v>
      </c>
      <c r="AG85" s="14" t="n">
        <f aca="false">Assumptions!$G$92</f>
        <v>150</v>
      </c>
      <c r="AH85" s="14" t="n">
        <f aca="false">Assumptions!$G$92</f>
        <v>150</v>
      </c>
      <c r="AI85" s="14" t="n">
        <f aca="false">Assumptions!$G$92</f>
        <v>150</v>
      </c>
      <c r="AJ85" s="14" t="n">
        <f aca="false">Assumptions!$G$92</f>
        <v>150</v>
      </c>
      <c r="AK85" s="14" t="n">
        <f aca="false">Assumptions!$G$92</f>
        <v>150</v>
      </c>
      <c r="AL85" s="14" t="n">
        <f aca="false">Assumptions!$G$92</f>
        <v>150</v>
      </c>
    </row>
    <row r="86" customFormat="false" ht="15" hidden="false" customHeight="false" outlineLevel="0" collapsed="false">
      <c r="A86" s="6" t="s">
        <v>486</v>
      </c>
      <c r="B86" s="2" t="s">
        <v>487</v>
      </c>
      <c r="C86" s="14" t="n">
        <f aca="false">(((IF((C$2=1),(((Assumptions!$G$93+Assumptions!$G$94)+Assumptions!$G$95)+Assumptions!$G$96),0)+Assumptions!$G$97)+IF(AND((C$2&gt;1),(MOD((C$2-1),12)=0)),Assumptions!$G$98,0))+IF(AND((Assumptions!$G$11=1),(C$2&gt;=Assumptions!$G$99)),Assumptions!$G$100,0))</f>
        <v>3800</v>
      </c>
      <c r="D86" s="14" t="n">
        <f aca="false">(((IF((D$2=1),(((Assumptions!$G$93+Assumptions!$G$94)+Assumptions!$G$95)+Assumptions!$G$96),0)+Assumptions!$G$97)+IF(AND((D$2&gt;1),(MOD((D$2-1),12)=0)),Assumptions!$G$98,0))+IF(AND((Assumptions!$G$11=1),(D$2&gt;=Assumptions!$G$99)),Assumptions!$G$100,0))</f>
        <v>100</v>
      </c>
      <c r="E86" s="14" t="n">
        <f aca="false">(((IF((E$2=1),(((Assumptions!$G$93+Assumptions!$G$94)+Assumptions!$G$95)+Assumptions!$G$96),0)+Assumptions!$G$97)+IF(AND((E$2&gt;1),(MOD((E$2-1),12)=0)),Assumptions!$G$98,0))+IF(AND((Assumptions!$G$11=1),(E$2&gt;=Assumptions!$G$99)),Assumptions!$G$100,0))</f>
        <v>100</v>
      </c>
      <c r="F86" s="14" t="n">
        <f aca="false">(((IF((F$2=1),(((Assumptions!$G$93+Assumptions!$G$94)+Assumptions!$G$95)+Assumptions!$G$96),0)+Assumptions!$G$97)+IF(AND((F$2&gt;1),(MOD((F$2-1),12)=0)),Assumptions!$G$98,0))+IF(AND((Assumptions!$G$11=1),(F$2&gt;=Assumptions!$G$99)),Assumptions!$G$100,0))</f>
        <v>100</v>
      </c>
      <c r="G86" s="14" t="n">
        <f aca="false">(((IF((G$2=1),(((Assumptions!$G$93+Assumptions!$G$94)+Assumptions!$G$95)+Assumptions!$G$96),0)+Assumptions!$G$97)+IF(AND((G$2&gt;1),(MOD((G$2-1),12)=0)),Assumptions!$G$98,0))+IF(AND((Assumptions!$G$11=1),(G$2&gt;=Assumptions!$G$99)),Assumptions!$G$100,0))</f>
        <v>100</v>
      </c>
      <c r="H86" s="14" t="n">
        <f aca="false">(((IF((H$2=1),(((Assumptions!$G$93+Assumptions!$G$94)+Assumptions!$G$95)+Assumptions!$G$96),0)+Assumptions!$G$97)+IF(AND((H$2&gt;1),(MOD((H$2-1),12)=0)),Assumptions!$G$98,0))+IF(AND((Assumptions!$G$11=1),(H$2&gt;=Assumptions!$G$99)),Assumptions!$G$100,0))</f>
        <v>100</v>
      </c>
      <c r="I86" s="14" t="n">
        <f aca="false">(((IF((I$2=1),(((Assumptions!$G$93+Assumptions!$G$94)+Assumptions!$G$95)+Assumptions!$G$96),0)+Assumptions!$G$97)+IF(AND((I$2&gt;1),(MOD((I$2-1),12)=0)),Assumptions!$G$98,0))+IF(AND((Assumptions!$G$11=1),(I$2&gt;=Assumptions!$G$99)),Assumptions!$G$100,0))</f>
        <v>100</v>
      </c>
      <c r="J86" s="14" t="n">
        <f aca="false">(((IF((J$2=1),(((Assumptions!$G$93+Assumptions!$G$94)+Assumptions!$G$95)+Assumptions!$G$96),0)+Assumptions!$G$97)+IF(AND((J$2&gt;1),(MOD((J$2-1),12)=0)),Assumptions!$G$98,0))+IF(AND((Assumptions!$G$11=1),(J$2&gt;=Assumptions!$G$99)),Assumptions!$G$100,0))</f>
        <v>100</v>
      </c>
      <c r="K86" s="14" t="n">
        <f aca="false">(((IF((K$2=1),(((Assumptions!$G$93+Assumptions!$G$94)+Assumptions!$G$95)+Assumptions!$G$96),0)+Assumptions!$G$97)+IF(AND((K$2&gt;1),(MOD((K$2-1),12)=0)),Assumptions!$G$98,0))+IF(AND((Assumptions!$G$11=1),(K$2&gt;=Assumptions!$G$99)),Assumptions!$G$100,0))</f>
        <v>100</v>
      </c>
      <c r="L86" s="14" t="n">
        <f aca="false">(((IF((L$2=1),(((Assumptions!$G$93+Assumptions!$G$94)+Assumptions!$G$95)+Assumptions!$G$96),0)+Assumptions!$G$97)+IF(AND((L$2&gt;1),(MOD((L$2-1),12)=0)),Assumptions!$G$98,0))+IF(AND((Assumptions!$G$11=1),(L$2&gt;=Assumptions!$G$99)),Assumptions!$G$100,0))</f>
        <v>100</v>
      </c>
      <c r="M86" s="14" t="n">
        <f aca="false">(((IF((M$2=1),(((Assumptions!$G$93+Assumptions!$G$94)+Assumptions!$G$95)+Assumptions!$G$96),0)+Assumptions!$G$97)+IF(AND((M$2&gt;1),(MOD((M$2-1),12)=0)),Assumptions!$G$98,0))+IF(AND((Assumptions!$G$11=1),(M$2&gt;=Assumptions!$G$99)),Assumptions!$G$100,0))</f>
        <v>100</v>
      </c>
      <c r="N86" s="14" t="n">
        <f aca="false">(((IF((N$2=1),(((Assumptions!$G$93+Assumptions!$G$94)+Assumptions!$G$95)+Assumptions!$G$96),0)+Assumptions!$G$97)+IF(AND((N$2&gt;1),(MOD((N$2-1),12)=0)),Assumptions!$G$98,0))+IF(AND((Assumptions!$G$11=1),(N$2&gt;=Assumptions!$G$99)),Assumptions!$G$100,0))</f>
        <v>100</v>
      </c>
      <c r="O86" s="14" t="n">
        <f aca="false">(((IF((O$2=1),(((Assumptions!$G$93+Assumptions!$G$94)+Assumptions!$G$95)+Assumptions!$G$96),0)+Assumptions!$G$97)+IF(AND((O$2&gt;1),(MOD((O$2-1),12)=0)),Assumptions!$G$98,0))+IF(AND((Assumptions!$G$11=1),(O$2&gt;=Assumptions!$G$99)),Assumptions!$G$100,0))</f>
        <v>1100</v>
      </c>
      <c r="P86" s="14" t="n">
        <f aca="false">(((IF((P$2=1),(((Assumptions!$G$93+Assumptions!$G$94)+Assumptions!$G$95)+Assumptions!$G$96),0)+Assumptions!$G$97)+IF(AND((P$2&gt;1),(MOD((P$2-1),12)=0)),Assumptions!$G$98,0))+IF(AND((Assumptions!$G$11=1),(P$2&gt;=Assumptions!$G$99)),Assumptions!$G$100,0))</f>
        <v>100</v>
      </c>
      <c r="Q86" s="14" t="n">
        <f aca="false">(((IF((Q$2=1),(((Assumptions!$G$93+Assumptions!$G$94)+Assumptions!$G$95)+Assumptions!$G$96),0)+Assumptions!$G$97)+IF(AND((Q$2&gt;1),(MOD((Q$2-1),12)=0)),Assumptions!$G$98,0))+IF(AND((Assumptions!$G$11=1),(Q$2&gt;=Assumptions!$G$99)),Assumptions!$G$100,0))</f>
        <v>100</v>
      </c>
      <c r="R86" s="14" t="n">
        <f aca="false">(((IF((R$2=1),(((Assumptions!$G$93+Assumptions!$G$94)+Assumptions!$G$95)+Assumptions!$G$96),0)+Assumptions!$G$97)+IF(AND((R$2&gt;1),(MOD((R$2-1),12)=0)),Assumptions!$G$98,0))+IF(AND((Assumptions!$G$11=1),(R$2&gt;=Assumptions!$G$99)),Assumptions!$G$100,0))</f>
        <v>100</v>
      </c>
      <c r="S86" s="14" t="n">
        <f aca="false">(((IF((S$2=1),(((Assumptions!$G$93+Assumptions!$G$94)+Assumptions!$G$95)+Assumptions!$G$96),0)+Assumptions!$G$97)+IF(AND((S$2&gt;1),(MOD((S$2-1),12)=0)),Assumptions!$G$98,0))+IF(AND((Assumptions!$G$11=1),(S$2&gt;=Assumptions!$G$99)),Assumptions!$G$100,0))</f>
        <v>100</v>
      </c>
      <c r="T86" s="14" t="n">
        <f aca="false">(((IF((T$2=1),(((Assumptions!$G$93+Assumptions!$G$94)+Assumptions!$G$95)+Assumptions!$G$96),0)+Assumptions!$G$97)+IF(AND((T$2&gt;1),(MOD((T$2-1),12)=0)),Assumptions!$G$98,0))+IF(AND((Assumptions!$G$11=1),(T$2&gt;=Assumptions!$G$99)),Assumptions!$G$100,0))</f>
        <v>100</v>
      </c>
      <c r="U86" s="14" t="n">
        <f aca="false">(((IF((U$2=1),(((Assumptions!$G$93+Assumptions!$G$94)+Assumptions!$G$95)+Assumptions!$G$96),0)+Assumptions!$G$97)+IF(AND((U$2&gt;1),(MOD((U$2-1),12)=0)),Assumptions!$G$98,0))+IF(AND((Assumptions!$G$11=1),(U$2&gt;=Assumptions!$G$99)),Assumptions!$G$100,0))</f>
        <v>100</v>
      </c>
      <c r="V86" s="14" t="n">
        <f aca="false">(((IF((V$2=1),(((Assumptions!$G$93+Assumptions!$G$94)+Assumptions!$G$95)+Assumptions!$G$96),0)+Assumptions!$G$97)+IF(AND((V$2&gt;1),(MOD((V$2-1),12)=0)),Assumptions!$G$98,0))+IF(AND((Assumptions!$G$11=1),(V$2&gt;=Assumptions!$G$99)),Assumptions!$G$100,0))</f>
        <v>100</v>
      </c>
      <c r="W86" s="14" t="n">
        <f aca="false">(((IF((W$2=1),(((Assumptions!$G$93+Assumptions!$G$94)+Assumptions!$G$95)+Assumptions!$G$96),0)+Assumptions!$G$97)+IF(AND((W$2&gt;1),(MOD((W$2-1),12)=0)),Assumptions!$G$98,0))+IF(AND((Assumptions!$G$11=1),(W$2&gt;=Assumptions!$G$99)),Assumptions!$G$100,0))</f>
        <v>100</v>
      </c>
      <c r="X86" s="14" t="n">
        <f aca="false">(((IF((X$2=1),(((Assumptions!$G$93+Assumptions!$G$94)+Assumptions!$G$95)+Assumptions!$G$96),0)+Assumptions!$G$97)+IF(AND((X$2&gt;1),(MOD((X$2-1),12)=0)),Assumptions!$G$98,0))+IF(AND((Assumptions!$G$11=1),(X$2&gt;=Assumptions!$G$99)),Assumptions!$G$100,0))</f>
        <v>100</v>
      </c>
      <c r="Y86" s="14" t="n">
        <f aca="false">(((IF((Y$2=1),(((Assumptions!$G$93+Assumptions!$G$94)+Assumptions!$G$95)+Assumptions!$G$96),0)+Assumptions!$G$97)+IF(AND((Y$2&gt;1),(MOD((Y$2-1),12)=0)),Assumptions!$G$98,0))+IF(AND((Assumptions!$G$11=1),(Y$2&gt;=Assumptions!$G$99)),Assumptions!$G$100,0))</f>
        <v>100</v>
      </c>
      <c r="Z86" s="14" t="n">
        <f aca="false">(((IF((Z$2=1),(((Assumptions!$G$93+Assumptions!$G$94)+Assumptions!$G$95)+Assumptions!$G$96),0)+Assumptions!$G$97)+IF(AND((Z$2&gt;1),(MOD((Z$2-1),12)=0)),Assumptions!$G$98,0))+IF(AND((Assumptions!$G$11=1),(Z$2&gt;=Assumptions!$G$99)),Assumptions!$G$100,0))</f>
        <v>100</v>
      </c>
      <c r="AA86" s="14" t="n">
        <f aca="false">(((IF((AA$2=1),(((Assumptions!$G$93+Assumptions!$G$94)+Assumptions!$G$95)+Assumptions!$G$96),0)+Assumptions!$G$97)+IF(AND((AA$2&gt;1),(MOD((AA$2-1),12)=0)),Assumptions!$G$98,0))+IF(AND((Assumptions!$G$11=1),(AA$2&gt;=Assumptions!$G$99)),Assumptions!$G$100,0))</f>
        <v>1100</v>
      </c>
      <c r="AB86" s="14" t="n">
        <f aca="false">(((IF((AB$2=1),(((Assumptions!$G$93+Assumptions!$G$94)+Assumptions!$G$95)+Assumptions!$G$96),0)+Assumptions!$G$97)+IF(AND((AB$2&gt;1),(MOD((AB$2-1),12)=0)),Assumptions!$G$98,0))+IF(AND((Assumptions!$G$11=1),(AB$2&gt;=Assumptions!$G$99)),Assumptions!$G$100,0))</f>
        <v>100</v>
      </c>
      <c r="AC86" s="14" t="n">
        <f aca="false">(((IF((AC$2=1),(((Assumptions!$G$93+Assumptions!$G$94)+Assumptions!$G$95)+Assumptions!$G$96),0)+Assumptions!$G$97)+IF(AND((AC$2&gt;1),(MOD((AC$2-1),12)=0)),Assumptions!$G$98,0))+IF(AND((Assumptions!$G$11=1),(AC$2&gt;=Assumptions!$G$99)),Assumptions!$G$100,0))</f>
        <v>100</v>
      </c>
      <c r="AD86" s="14" t="n">
        <f aca="false">(((IF((AD$2=1),(((Assumptions!$G$93+Assumptions!$G$94)+Assumptions!$G$95)+Assumptions!$G$96),0)+Assumptions!$G$97)+IF(AND((AD$2&gt;1),(MOD((AD$2-1),12)=0)),Assumptions!$G$98,0))+IF(AND((Assumptions!$G$11=1),(AD$2&gt;=Assumptions!$G$99)),Assumptions!$G$100,0))</f>
        <v>100</v>
      </c>
      <c r="AE86" s="14" t="n">
        <f aca="false">(((IF((AE$2=1),(((Assumptions!$G$93+Assumptions!$G$94)+Assumptions!$G$95)+Assumptions!$G$96),0)+Assumptions!$G$97)+IF(AND((AE$2&gt;1),(MOD((AE$2-1),12)=0)),Assumptions!$G$98,0))+IF(AND((Assumptions!$G$11=1),(AE$2&gt;=Assumptions!$G$99)),Assumptions!$G$100,0))</f>
        <v>100</v>
      </c>
      <c r="AF86" s="14" t="n">
        <f aca="false">(((IF((AF$2=1),(((Assumptions!$G$93+Assumptions!$G$94)+Assumptions!$G$95)+Assumptions!$G$96),0)+Assumptions!$G$97)+IF(AND((AF$2&gt;1),(MOD((AF$2-1),12)=0)),Assumptions!$G$98,0))+IF(AND((Assumptions!$G$11=1),(AF$2&gt;=Assumptions!$G$99)),Assumptions!$G$100,0))</f>
        <v>100</v>
      </c>
      <c r="AG86" s="14" t="n">
        <f aca="false">(((IF((AG$2=1),(((Assumptions!$G$93+Assumptions!$G$94)+Assumptions!$G$95)+Assumptions!$G$96),0)+Assumptions!$G$97)+IF(AND((AG$2&gt;1),(MOD((AG$2-1),12)=0)),Assumptions!$G$98,0))+IF(AND((Assumptions!$G$11=1),(AG$2&gt;=Assumptions!$G$99)),Assumptions!$G$100,0))</f>
        <v>100</v>
      </c>
      <c r="AH86" s="14" t="n">
        <f aca="false">(((IF((AH$2=1),(((Assumptions!$G$93+Assumptions!$G$94)+Assumptions!$G$95)+Assumptions!$G$96),0)+Assumptions!$G$97)+IF(AND((AH$2&gt;1),(MOD((AH$2-1),12)=0)),Assumptions!$G$98,0))+IF(AND((Assumptions!$G$11=1),(AH$2&gt;=Assumptions!$G$99)),Assumptions!$G$100,0))</f>
        <v>100</v>
      </c>
      <c r="AI86" s="14" t="n">
        <f aca="false">(((IF((AI$2=1),(((Assumptions!$G$93+Assumptions!$G$94)+Assumptions!$G$95)+Assumptions!$G$96),0)+Assumptions!$G$97)+IF(AND((AI$2&gt;1),(MOD((AI$2-1),12)=0)),Assumptions!$G$98,0))+IF(AND((Assumptions!$G$11=1),(AI$2&gt;=Assumptions!$G$99)),Assumptions!$G$100,0))</f>
        <v>100</v>
      </c>
      <c r="AJ86" s="14" t="n">
        <f aca="false">(((IF((AJ$2=1),(((Assumptions!$G$93+Assumptions!$G$94)+Assumptions!$G$95)+Assumptions!$G$96),0)+Assumptions!$G$97)+IF(AND((AJ$2&gt;1),(MOD((AJ$2-1),12)=0)),Assumptions!$G$98,0))+IF(AND((Assumptions!$G$11=1),(AJ$2&gt;=Assumptions!$G$99)),Assumptions!$G$100,0))</f>
        <v>100</v>
      </c>
      <c r="AK86" s="14" t="n">
        <f aca="false">(((IF((AK$2=1),(((Assumptions!$G$93+Assumptions!$G$94)+Assumptions!$G$95)+Assumptions!$G$96),0)+Assumptions!$G$97)+IF(AND((AK$2&gt;1),(MOD((AK$2-1),12)=0)),Assumptions!$G$98,0))+IF(AND((Assumptions!$G$11=1),(AK$2&gt;=Assumptions!$G$99)),Assumptions!$G$100,0))</f>
        <v>100</v>
      </c>
      <c r="AL86" s="14" t="n">
        <f aca="false">(((IF((AL$2=1),(((Assumptions!$G$93+Assumptions!$G$94)+Assumptions!$G$95)+Assumptions!$G$96),0)+Assumptions!$G$97)+IF(AND((AL$2&gt;1),(MOD((AL$2-1),12)=0)),Assumptions!$G$98,0))+IF(AND((Assumptions!$G$11=1),(AL$2&gt;=Assumptions!$G$99)),Assumptions!$G$100,0))</f>
        <v>100</v>
      </c>
    </row>
    <row r="87" customFormat="false" ht="15" hidden="false" customHeight="false" outlineLevel="0" collapsed="false">
      <c r="A87" s="6" t="s">
        <v>488</v>
      </c>
      <c r="B87" s="2" t="s">
        <v>489</v>
      </c>
      <c r="C87" s="14" t="n">
        <f aca="false">CHOOSE(C$3,Assumptions!$G$101,Assumptions!$G$102,Assumptions!$G$103)</f>
        <v>150</v>
      </c>
      <c r="D87" s="14" t="n">
        <f aca="false">CHOOSE(D$3,Assumptions!$G$101,Assumptions!$G$102,Assumptions!$G$103)</f>
        <v>150</v>
      </c>
      <c r="E87" s="14" t="n">
        <f aca="false">CHOOSE(E$3,Assumptions!$G$101,Assumptions!$G$102,Assumptions!$G$103)</f>
        <v>150</v>
      </c>
      <c r="F87" s="14" t="n">
        <f aca="false">CHOOSE(F$3,Assumptions!$G$101,Assumptions!$G$102,Assumptions!$G$103)</f>
        <v>150</v>
      </c>
      <c r="G87" s="14" t="n">
        <f aca="false">CHOOSE(G$3,Assumptions!$G$101,Assumptions!$G$102,Assumptions!$G$103)</f>
        <v>150</v>
      </c>
      <c r="H87" s="14" t="n">
        <f aca="false">CHOOSE(H$3,Assumptions!$G$101,Assumptions!$G$102,Assumptions!$G$103)</f>
        <v>150</v>
      </c>
      <c r="I87" s="14" t="n">
        <f aca="false">CHOOSE(I$3,Assumptions!$G$101,Assumptions!$G$102,Assumptions!$G$103)</f>
        <v>150</v>
      </c>
      <c r="J87" s="14" t="n">
        <f aca="false">CHOOSE(J$3,Assumptions!$G$101,Assumptions!$G$102,Assumptions!$G$103)</f>
        <v>150</v>
      </c>
      <c r="K87" s="14" t="n">
        <f aca="false">CHOOSE(K$3,Assumptions!$G$101,Assumptions!$G$102,Assumptions!$G$103)</f>
        <v>150</v>
      </c>
      <c r="L87" s="14" t="n">
        <f aca="false">CHOOSE(L$3,Assumptions!$G$101,Assumptions!$G$102,Assumptions!$G$103)</f>
        <v>150</v>
      </c>
      <c r="M87" s="14" t="n">
        <f aca="false">CHOOSE(M$3,Assumptions!$G$101,Assumptions!$G$102,Assumptions!$G$103)</f>
        <v>150</v>
      </c>
      <c r="N87" s="14" t="n">
        <f aca="false">CHOOSE(N$3,Assumptions!$G$101,Assumptions!$G$102,Assumptions!$G$103)</f>
        <v>150</v>
      </c>
      <c r="O87" s="14" t="n">
        <f aca="false">CHOOSE(O$3,Assumptions!$G$101,Assumptions!$G$102,Assumptions!$G$103)</f>
        <v>250</v>
      </c>
      <c r="P87" s="14" t="n">
        <f aca="false">CHOOSE(P$3,Assumptions!$G$101,Assumptions!$G$102,Assumptions!$G$103)</f>
        <v>250</v>
      </c>
      <c r="Q87" s="14" t="n">
        <f aca="false">CHOOSE(Q$3,Assumptions!$G$101,Assumptions!$G$102,Assumptions!$G$103)</f>
        <v>250</v>
      </c>
      <c r="R87" s="14" t="n">
        <f aca="false">CHOOSE(R$3,Assumptions!$G$101,Assumptions!$G$102,Assumptions!$G$103)</f>
        <v>250</v>
      </c>
      <c r="S87" s="14" t="n">
        <f aca="false">CHOOSE(S$3,Assumptions!$G$101,Assumptions!$G$102,Assumptions!$G$103)</f>
        <v>250</v>
      </c>
      <c r="T87" s="14" t="n">
        <f aca="false">CHOOSE(T$3,Assumptions!$G$101,Assumptions!$G$102,Assumptions!$G$103)</f>
        <v>250</v>
      </c>
      <c r="U87" s="14" t="n">
        <f aca="false">CHOOSE(U$3,Assumptions!$G$101,Assumptions!$G$102,Assumptions!$G$103)</f>
        <v>250</v>
      </c>
      <c r="V87" s="14" t="n">
        <f aca="false">CHOOSE(V$3,Assumptions!$G$101,Assumptions!$G$102,Assumptions!$G$103)</f>
        <v>250</v>
      </c>
      <c r="W87" s="14" t="n">
        <f aca="false">CHOOSE(W$3,Assumptions!$G$101,Assumptions!$G$102,Assumptions!$G$103)</f>
        <v>250</v>
      </c>
      <c r="X87" s="14" t="n">
        <f aca="false">CHOOSE(X$3,Assumptions!$G$101,Assumptions!$G$102,Assumptions!$G$103)</f>
        <v>250</v>
      </c>
      <c r="Y87" s="14" t="n">
        <f aca="false">CHOOSE(Y$3,Assumptions!$G$101,Assumptions!$G$102,Assumptions!$G$103)</f>
        <v>250</v>
      </c>
      <c r="Z87" s="14" t="n">
        <f aca="false">CHOOSE(Z$3,Assumptions!$G$101,Assumptions!$G$102,Assumptions!$G$103)</f>
        <v>250</v>
      </c>
      <c r="AA87" s="14" t="n">
        <f aca="false">CHOOSE(AA$3,Assumptions!$G$101,Assumptions!$G$102,Assumptions!$G$103)</f>
        <v>400</v>
      </c>
      <c r="AB87" s="14" t="n">
        <f aca="false">CHOOSE(AB$3,Assumptions!$G$101,Assumptions!$G$102,Assumptions!$G$103)</f>
        <v>400</v>
      </c>
      <c r="AC87" s="14" t="n">
        <f aca="false">CHOOSE(AC$3,Assumptions!$G$101,Assumptions!$G$102,Assumptions!$G$103)</f>
        <v>400</v>
      </c>
      <c r="AD87" s="14" t="n">
        <f aca="false">CHOOSE(AD$3,Assumptions!$G$101,Assumptions!$G$102,Assumptions!$G$103)</f>
        <v>400</v>
      </c>
      <c r="AE87" s="14" t="n">
        <f aca="false">CHOOSE(AE$3,Assumptions!$G$101,Assumptions!$G$102,Assumptions!$G$103)</f>
        <v>400</v>
      </c>
      <c r="AF87" s="14" t="n">
        <f aca="false">CHOOSE(AF$3,Assumptions!$G$101,Assumptions!$G$102,Assumptions!$G$103)</f>
        <v>400</v>
      </c>
      <c r="AG87" s="14" t="n">
        <f aca="false">CHOOSE(AG$3,Assumptions!$G$101,Assumptions!$G$102,Assumptions!$G$103)</f>
        <v>400</v>
      </c>
      <c r="AH87" s="14" t="n">
        <f aca="false">CHOOSE(AH$3,Assumptions!$G$101,Assumptions!$G$102,Assumptions!$G$103)</f>
        <v>400</v>
      </c>
      <c r="AI87" s="14" t="n">
        <f aca="false">CHOOSE(AI$3,Assumptions!$G$101,Assumptions!$G$102,Assumptions!$G$103)</f>
        <v>400</v>
      </c>
      <c r="AJ87" s="14" t="n">
        <f aca="false">CHOOSE(AJ$3,Assumptions!$G$101,Assumptions!$G$102,Assumptions!$G$103)</f>
        <v>400</v>
      </c>
      <c r="AK87" s="14" t="n">
        <f aca="false">CHOOSE(AK$3,Assumptions!$G$101,Assumptions!$G$102,Assumptions!$G$103)</f>
        <v>400</v>
      </c>
      <c r="AL87" s="14" t="n">
        <f aca="false">CHOOSE(AL$3,Assumptions!$G$101,Assumptions!$G$102,Assumptions!$G$103)</f>
        <v>400</v>
      </c>
    </row>
    <row r="88" customFormat="false" ht="15" hidden="false" customHeight="false" outlineLevel="0" collapsed="false">
      <c r="A88" s="6" t="s">
        <v>490</v>
      </c>
      <c r="B88" s="2" t="s">
        <v>491</v>
      </c>
      <c r="C88" s="14" t="n">
        <f aca="false">(IF((MOD((C$2-1),12)=0),Assumptions!$G$104,0)+IF((C$2=1),Assumptions!$G$105,0))</f>
        <v>124</v>
      </c>
      <c r="D88" s="14" t="n">
        <f aca="false">(IF((MOD((D$2-1),12)=0),Assumptions!$G$104,0)+IF((D$2=1),Assumptions!$G$105,0))</f>
        <v>0</v>
      </c>
      <c r="E88" s="14" t="n">
        <f aca="false">(IF((MOD((E$2-1),12)=0),Assumptions!$G$104,0)+IF((E$2=1),Assumptions!$G$105,0))</f>
        <v>0</v>
      </c>
      <c r="F88" s="14" t="n">
        <f aca="false">(IF((MOD((F$2-1),12)=0),Assumptions!$G$104,0)+IF((F$2=1),Assumptions!$G$105,0))</f>
        <v>0</v>
      </c>
      <c r="G88" s="14" t="n">
        <f aca="false">(IF((MOD((G$2-1),12)=0),Assumptions!$G$104,0)+IF((G$2=1),Assumptions!$G$105,0))</f>
        <v>0</v>
      </c>
      <c r="H88" s="14" t="n">
        <f aca="false">(IF((MOD((H$2-1),12)=0),Assumptions!$G$104,0)+IF((H$2=1),Assumptions!$G$105,0))</f>
        <v>0</v>
      </c>
      <c r="I88" s="14" t="n">
        <f aca="false">(IF((MOD((I$2-1),12)=0),Assumptions!$G$104,0)+IF((I$2=1),Assumptions!$G$105,0))</f>
        <v>0</v>
      </c>
      <c r="J88" s="14" t="n">
        <f aca="false">(IF((MOD((J$2-1),12)=0),Assumptions!$G$104,0)+IF((J$2=1),Assumptions!$G$105,0))</f>
        <v>0</v>
      </c>
      <c r="K88" s="14" t="n">
        <f aca="false">(IF((MOD((K$2-1),12)=0),Assumptions!$G$104,0)+IF((K$2=1),Assumptions!$G$105,0))</f>
        <v>0</v>
      </c>
      <c r="L88" s="14" t="n">
        <f aca="false">(IF((MOD((L$2-1),12)=0),Assumptions!$G$104,0)+IF((L$2=1),Assumptions!$G$105,0))</f>
        <v>0</v>
      </c>
      <c r="M88" s="14" t="n">
        <f aca="false">(IF((MOD((M$2-1),12)=0),Assumptions!$G$104,0)+IF((M$2=1),Assumptions!$G$105,0))</f>
        <v>0</v>
      </c>
      <c r="N88" s="14" t="n">
        <f aca="false">(IF((MOD((N$2-1),12)=0),Assumptions!$G$104,0)+IF((N$2=1),Assumptions!$G$105,0))</f>
        <v>0</v>
      </c>
      <c r="O88" s="14" t="n">
        <f aca="false">(IF((MOD((O$2-1),12)=0),Assumptions!$G$104,0)+IF((O$2=1),Assumptions!$G$105,0))</f>
        <v>99</v>
      </c>
      <c r="P88" s="14" t="n">
        <f aca="false">(IF((MOD((P$2-1),12)=0),Assumptions!$G$104,0)+IF((P$2=1),Assumptions!$G$105,0))</f>
        <v>0</v>
      </c>
      <c r="Q88" s="14" t="n">
        <f aca="false">(IF((MOD((Q$2-1),12)=0),Assumptions!$G$104,0)+IF((Q$2=1),Assumptions!$G$105,0))</f>
        <v>0</v>
      </c>
      <c r="R88" s="14" t="n">
        <f aca="false">(IF((MOD((R$2-1),12)=0),Assumptions!$G$104,0)+IF((R$2=1),Assumptions!$G$105,0))</f>
        <v>0</v>
      </c>
      <c r="S88" s="14" t="n">
        <f aca="false">(IF((MOD((S$2-1),12)=0),Assumptions!$G$104,0)+IF((S$2=1),Assumptions!$G$105,0))</f>
        <v>0</v>
      </c>
      <c r="T88" s="14" t="n">
        <f aca="false">(IF((MOD((T$2-1),12)=0),Assumptions!$G$104,0)+IF((T$2=1),Assumptions!$G$105,0))</f>
        <v>0</v>
      </c>
      <c r="U88" s="14" t="n">
        <f aca="false">(IF((MOD((U$2-1),12)=0),Assumptions!$G$104,0)+IF((U$2=1),Assumptions!$G$105,0))</f>
        <v>0</v>
      </c>
      <c r="V88" s="14" t="n">
        <f aca="false">(IF((MOD((V$2-1),12)=0),Assumptions!$G$104,0)+IF((V$2=1),Assumptions!$G$105,0))</f>
        <v>0</v>
      </c>
      <c r="W88" s="14" t="n">
        <f aca="false">(IF((MOD((W$2-1),12)=0),Assumptions!$G$104,0)+IF((W$2=1),Assumptions!$G$105,0))</f>
        <v>0</v>
      </c>
      <c r="X88" s="14" t="n">
        <f aca="false">(IF((MOD((X$2-1),12)=0),Assumptions!$G$104,0)+IF((X$2=1),Assumptions!$G$105,0))</f>
        <v>0</v>
      </c>
      <c r="Y88" s="14" t="n">
        <f aca="false">(IF((MOD((Y$2-1),12)=0),Assumptions!$G$104,0)+IF((Y$2=1),Assumptions!$G$105,0))</f>
        <v>0</v>
      </c>
      <c r="Z88" s="14" t="n">
        <f aca="false">(IF((MOD((Z$2-1),12)=0),Assumptions!$G$104,0)+IF((Z$2=1),Assumptions!$G$105,0))</f>
        <v>0</v>
      </c>
      <c r="AA88" s="14" t="n">
        <f aca="false">(IF((MOD((AA$2-1),12)=0),Assumptions!$G$104,0)+IF((AA$2=1),Assumptions!$G$105,0))</f>
        <v>99</v>
      </c>
      <c r="AB88" s="14" t="n">
        <f aca="false">(IF((MOD((AB$2-1),12)=0),Assumptions!$G$104,0)+IF((AB$2=1),Assumptions!$G$105,0))</f>
        <v>0</v>
      </c>
      <c r="AC88" s="14" t="n">
        <f aca="false">(IF((MOD((AC$2-1),12)=0),Assumptions!$G$104,0)+IF((AC$2=1),Assumptions!$G$105,0))</f>
        <v>0</v>
      </c>
      <c r="AD88" s="14" t="n">
        <f aca="false">(IF((MOD((AD$2-1),12)=0),Assumptions!$G$104,0)+IF((AD$2=1),Assumptions!$G$105,0))</f>
        <v>0</v>
      </c>
      <c r="AE88" s="14" t="n">
        <f aca="false">(IF((MOD((AE$2-1),12)=0),Assumptions!$G$104,0)+IF((AE$2=1),Assumptions!$G$105,0))</f>
        <v>0</v>
      </c>
      <c r="AF88" s="14" t="n">
        <f aca="false">(IF((MOD((AF$2-1),12)=0),Assumptions!$G$104,0)+IF((AF$2=1),Assumptions!$G$105,0))</f>
        <v>0</v>
      </c>
      <c r="AG88" s="14" t="n">
        <f aca="false">(IF((MOD((AG$2-1),12)=0),Assumptions!$G$104,0)+IF((AG$2=1),Assumptions!$G$105,0))</f>
        <v>0</v>
      </c>
      <c r="AH88" s="14" t="n">
        <f aca="false">(IF((MOD((AH$2-1),12)=0),Assumptions!$G$104,0)+IF((AH$2=1),Assumptions!$G$105,0))</f>
        <v>0</v>
      </c>
      <c r="AI88" s="14" t="n">
        <f aca="false">(IF((MOD((AI$2-1),12)=0),Assumptions!$G$104,0)+IF((AI$2=1),Assumptions!$G$105,0))</f>
        <v>0</v>
      </c>
      <c r="AJ88" s="14" t="n">
        <f aca="false">(IF((MOD((AJ$2-1),12)=0),Assumptions!$G$104,0)+IF((AJ$2=1),Assumptions!$G$105,0))</f>
        <v>0</v>
      </c>
      <c r="AK88" s="14" t="n">
        <f aca="false">(IF((MOD((AK$2-1),12)=0),Assumptions!$G$104,0)+IF((AK$2=1),Assumptions!$G$105,0))</f>
        <v>0</v>
      </c>
      <c r="AL88" s="14" t="n">
        <f aca="false">(IF((MOD((AL$2-1),12)=0),Assumptions!$G$104,0)+IF((AL$2=1),Assumptions!$G$105,0))</f>
        <v>0</v>
      </c>
    </row>
    <row r="89" customFormat="false" ht="15" hidden="false" customHeight="false" outlineLevel="0" collapsed="false">
      <c r="A89" s="6" t="s">
        <v>492</v>
      </c>
      <c r="B89" s="2" t="s">
        <v>493</v>
      </c>
      <c r="C89" s="14" t="n">
        <f aca="false">Assumptions!$G$106</f>
        <v>100</v>
      </c>
      <c r="D89" s="14" t="n">
        <f aca="false">Assumptions!$G$106</f>
        <v>100</v>
      </c>
      <c r="E89" s="14" t="n">
        <f aca="false">Assumptions!$G$106</f>
        <v>100</v>
      </c>
      <c r="F89" s="14" t="n">
        <f aca="false">Assumptions!$G$106</f>
        <v>100</v>
      </c>
      <c r="G89" s="14" t="n">
        <f aca="false">Assumptions!$G$106</f>
        <v>100</v>
      </c>
      <c r="H89" s="14" t="n">
        <f aca="false">Assumptions!$G$106</f>
        <v>100</v>
      </c>
      <c r="I89" s="14" t="n">
        <f aca="false">Assumptions!$G$106</f>
        <v>100</v>
      </c>
      <c r="J89" s="14" t="n">
        <f aca="false">Assumptions!$G$106</f>
        <v>100</v>
      </c>
      <c r="K89" s="14" t="n">
        <f aca="false">Assumptions!$G$106</f>
        <v>100</v>
      </c>
      <c r="L89" s="14" t="n">
        <f aca="false">Assumptions!$G$106</f>
        <v>100</v>
      </c>
      <c r="M89" s="14" t="n">
        <f aca="false">Assumptions!$G$106</f>
        <v>100</v>
      </c>
      <c r="N89" s="14" t="n">
        <f aca="false">Assumptions!$G$106</f>
        <v>100</v>
      </c>
      <c r="O89" s="14" t="n">
        <f aca="false">Assumptions!$G$106</f>
        <v>100</v>
      </c>
      <c r="P89" s="14" t="n">
        <f aca="false">Assumptions!$G$106</f>
        <v>100</v>
      </c>
      <c r="Q89" s="14" t="n">
        <f aca="false">Assumptions!$G$106</f>
        <v>100</v>
      </c>
      <c r="R89" s="14" t="n">
        <f aca="false">Assumptions!$G$106</f>
        <v>100</v>
      </c>
      <c r="S89" s="14" t="n">
        <f aca="false">Assumptions!$G$106</f>
        <v>100</v>
      </c>
      <c r="T89" s="14" t="n">
        <f aca="false">Assumptions!$G$106</f>
        <v>100</v>
      </c>
      <c r="U89" s="14" t="n">
        <f aca="false">Assumptions!$G$106</f>
        <v>100</v>
      </c>
      <c r="V89" s="14" t="n">
        <f aca="false">Assumptions!$G$106</f>
        <v>100</v>
      </c>
      <c r="W89" s="14" t="n">
        <f aca="false">Assumptions!$G$106</f>
        <v>100</v>
      </c>
      <c r="X89" s="14" t="n">
        <f aca="false">Assumptions!$G$106</f>
        <v>100</v>
      </c>
      <c r="Y89" s="14" t="n">
        <f aca="false">Assumptions!$G$106</f>
        <v>100</v>
      </c>
      <c r="Z89" s="14" t="n">
        <f aca="false">Assumptions!$G$106</f>
        <v>100</v>
      </c>
      <c r="AA89" s="14" t="n">
        <f aca="false">Assumptions!$G$106</f>
        <v>100</v>
      </c>
      <c r="AB89" s="14" t="n">
        <f aca="false">Assumptions!$G$106</f>
        <v>100</v>
      </c>
      <c r="AC89" s="14" t="n">
        <f aca="false">Assumptions!$G$106</f>
        <v>100</v>
      </c>
      <c r="AD89" s="14" t="n">
        <f aca="false">Assumptions!$G$106</f>
        <v>100</v>
      </c>
      <c r="AE89" s="14" t="n">
        <f aca="false">Assumptions!$G$106</f>
        <v>100</v>
      </c>
      <c r="AF89" s="14" t="n">
        <f aca="false">Assumptions!$G$106</f>
        <v>100</v>
      </c>
      <c r="AG89" s="14" t="n">
        <f aca="false">Assumptions!$G$106</f>
        <v>100</v>
      </c>
      <c r="AH89" s="14" t="n">
        <f aca="false">Assumptions!$G$106</f>
        <v>100</v>
      </c>
      <c r="AI89" s="14" t="n">
        <f aca="false">Assumptions!$G$106</f>
        <v>100</v>
      </c>
      <c r="AJ89" s="14" t="n">
        <f aca="false">Assumptions!$G$106</f>
        <v>100</v>
      </c>
      <c r="AK89" s="14" t="n">
        <f aca="false">Assumptions!$G$106</f>
        <v>100</v>
      </c>
      <c r="AL89" s="14" t="n">
        <f aca="false">Assumptions!$G$106</f>
        <v>100</v>
      </c>
    </row>
    <row r="90" customFormat="false" ht="15" hidden="false" customHeight="false" outlineLevel="0" collapsed="false">
      <c r="A90" s="21" t="s">
        <v>494</v>
      </c>
      <c r="B90" s="2" t="s">
        <v>495</v>
      </c>
      <c r="C90" s="23" t="n">
        <f aca="false">((((((((C81+C82)+C83)+C84)+C85)+C86)+C87)+C88)+C89)</f>
        <v>6324</v>
      </c>
      <c r="D90" s="23" t="n">
        <f aca="false">((((((((D81+D82)+D83)+D84)+D85)+D86)+D87)+D88)+D89)</f>
        <v>2560</v>
      </c>
      <c r="E90" s="23" t="n">
        <f aca="false">((((((((E81+E82)+E83)+E84)+E85)+E86)+E87)+E88)+E89)</f>
        <v>2623.6</v>
      </c>
      <c r="F90" s="23" t="n">
        <f aca="false">((((((((F81+F82)+F83)+F84)+F85)+F86)+F87)+F88)+F89)</f>
        <v>3691.016</v>
      </c>
      <c r="G90" s="23" t="n">
        <f aca="false">((((((((G81+G82)+G83)+G84)+G85)+G86)+G87)+G88)+G89)</f>
        <v>3832.47696</v>
      </c>
      <c r="H90" s="23" t="n">
        <f aca="false">((((((((H81+H82)+H83)+H84)+H85)+H86)+H87)+H88)+H89)</f>
        <v>3983.1255776</v>
      </c>
      <c r="I90" s="23" t="n">
        <f aca="false">((((((((I81+I82)+I83)+I84)+I85)+I86)+I87)+I88)+I89)</f>
        <v>4143.562112256</v>
      </c>
      <c r="J90" s="23" t="n">
        <f aca="false">((((((((J81+J82)+J83)+J84)+J85)+J86)+J87)+J88)+J89)</f>
        <v>4314.42626899136</v>
      </c>
      <c r="K90" s="23" t="n">
        <f aca="false">((((((((K81+K82)+K83)+K84)+K85)+K86)+K87)+K88)+K89)</f>
        <v>4496.39980523084</v>
      </c>
      <c r="L90" s="23" t="n">
        <f aca="false">((((((((L81+L82)+L83)+L84)+L85)+L86)+L87)+L88)+L89)</f>
        <v>4690.20931085169</v>
      </c>
      <c r="M90" s="23" t="n">
        <f aca="false">((((((((M81+M82)+M83)+M84)+M85)+M86)+M87)+M88)+M89)</f>
        <v>4896.62917302129</v>
      </c>
      <c r="N90" s="23" t="n">
        <f aca="false">((((((((N81+N82)+N83)+N84)+N85)+N86)+N87)+N88)+N89)</f>
        <v>5116.48473816735</v>
      </c>
      <c r="O90" s="23" t="n">
        <f aca="false">((((((((O81+O82)+O83)+O84)+O85)+O86)+O87)+O88)+O89)</f>
        <v>8549.65568425571</v>
      </c>
      <c r="P90" s="23" t="n">
        <f aca="false">((((((((P81+P82)+P83)+P84)+P85)+P86)+P87)+P88)+P89)</f>
        <v>7700.07961743525</v>
      </c>
      <c r="Q90" s="23" t="n">
        <f aca="false">((((((((Q81+Q82)+Q83)+Q84)+Q85)+Q86)+Q87)+Q88)+Q89)</f>
        <v>7965.75590805426</v>
      </c>
      <c r="R90" s="23" t="n">
        <f aca="false">((((((((R81+R82)+R83)+R84)+R85)+R86)+R87)+R88)+R89)</f>
        <v>8248.74978206052</v>
      </c>
      <c r="S90" s="23" t="n">
        <f aca="false">((((((((S81+S82)+S83)+S84)+S85)+S86)+S87)+S88)+S89)</f>
        <v>8550.19668487376</v>
      </c>
      <c r="T90" s="23" t="n">
        <f aca="false">((((((((T81+T82)+T83)+T84)+T85)+T86)+T87)+T88)+T89)</f>
        <v>8871.30693596806</v>
      </c>
      <c r="U90" s="23" t="n">
        <f aca="false">((((((((U81+U82)+U83)+U84)+U85)+U86)+U87)+U88)+U89)</f>
        <v>9213.37069362816</v>
      </c>
      <c r="V90" s="23" t="n">
        <f aca="false">((((((((V81+V82)+V83)+V84)+V85)+V86)+V87)+V88)+V89)</f>
        <v>9577.763250653</v>
      </c>
      <c r="W90" s="23" t="n">
        <f aca="false">((((((((W81+W82)+W83)+W84)+W85)+W86)+W87)+W88)+W89)</f>
        <v>9965.95068317784</v>
      </c>
      <c r="X90" s="23" t="n">
        <f aca="false">((((((((X81+X82)+X83)+X84)+X85)+X86)+X87)+X88)+X89)</f>
        <v>10379.4958762782</v>
      </c>
      <c r="Y90" s="23" t="n">
        <f aca="false">((((((((Y81+Y82)+Y83)+Y84)+Y85)+Y86)+Y87)+Y88)+Y89)</f>
        <v>10820.0649516122</v>
      </c>
      <c r="Z90" s="23" t="n">
        <f aca="false">((((((((Z81+Z82)+Z83)+Z84)+Z85)+Z86)+Z87)+Z88)+Z89)</f>
        <v>11289.4341240592</v>
      </c>
      <c r="AA90" s="23" t="n">
        <f aca="false">((((((((AA81+AA82)+AA83)+AA84)+AA85)+AA86)+AA87)+AA88)+AA89)</f>
        <v>16038.4970161277</v>
      </c>
      <c r="AB90" s="23" t="n">
        <f aca="false">((((((((AB81+AB82)+AB83)+AB84)+AB85)+AB86)+AB87)+AB88)+AB89)</f>
        <v>15472.2724608439</v>
      </c>
      <c r="AC90" s="23" t="n">
        <f aca="false">((((((((AC81+AC82)+AC83)+AC84)+AC85)+AC86)+AC87)+AC88)+AC89)</f>
        <v>16039.9128259056</v>
      </c>
      <c r="AD90" s="23" t="n">
        <f aca="false">((((((((AD81+AD82)+AD83)+AD84)+AD85)+AD86)+AD87)+AD88)+AD89)</f>
        <v>16644.7128940897</v>
      </c>
      <c r="AE90" s="23" t="n">
        <f aca="false">((((((((AE81+AE82)+AE83)+AE84)+AE85)+AE86)+AE87)+AE88)+AE89)</f>
        <v>17289.1193372689</v>
      </c>
      <c r="AF90" s="23" t="n">
        <f aca="false">((((((((AF81+AF82)+AF83)+AF84)+AF85)+AF86)+AF87)+AF88)+AF89)</f>
        <v>17975.7408239063</v>
      </c>
      <c r="AG90" s="23" t="n">
        <f aca="false">((((((((AG81+AG82)+AG83)+AG84)+AG85)+AG86)+AG87)+AG88)+AG89)</f>
        <v>18707.35880259</v>
      </c>
      <c r="AH90" s="23" t="n">
        <f aca="false">((((((((AH81+AH82)+AH83)+AH84)+AH85)+AH86)+AH87)+AH88)+AH89)</f>
        <v>19486.9390070421</v>
      </c>
      <c r="AI90" s="23" t="n">
        <f aca="false">((((((((AI81+AI82)+AI83)+AI84)+AI85)+AI86)+AI87)+AI88)+AI89)</f>
        <v>20317.6437311022</v>
      </c>
      <c r="AJ90" s="23" t="n">
        <f aca="false">((((((((AJ81+AJ82)+AJ83)+AJ84)+AJ85)+AJ86)+AJ87)+AJ88)+AJ89)</f>
        <v>21202.8449254605</v>
      </c>
      <c r="AK90" s="23" t="n">
        <f aca="false">((((((((AK81+AK82)+AK83)+AK84)+AK85)+AK86)+AK87)+AK88)+AK89)</f>
        <v>22146.1381714148</v>
      </c>
      <c r="AL90" s="23" t="n">
        <f aca="false">((((((((AL81+AL82)+AL83)+AL84)+AL85)+AL86)+AL87)+AL88)+AL89)</f>
        <v>23151.3575906561</v>
      </c>
    </row>
    <row r="91" customFormat="false" ht="15" hidden="false" customHeight="false" outlineLevel="0" collapsed="false">
      <c r="A91" s="21" t="s">
        <v>496</v>
      </c>
      <c r="B91" s="2" t="s">
        <v>497</v>
      </c>
      <c r="C91" s="23" t="n">
        <f aca="false">(C77-C90)</f>
        <v>-5423.95387564375</v>
      </c>
      <c r="D91" s="23" t="n">
        <f aca="false">(D77-D90)</f>
        <v>-769.335347227951</v>
      </c>
      <c r="E91" s="23" t="n">
        <f aca="false">(E77-E90)</f>
        <v>93.7449924966586</v>
      </c>
      <c r="F91" s="23" t="n">
        <f aca="false">(F77-F90)</f>
        <v>514.424495374988</v>
      </c>
      <c r="G91" s="23" t="n">
        <f aca="false">(G77-G90)</f>
        <v>1560.89221890487</v>
      </c>
      <c r="H91" s="23" t="n">
        <f aca="false">(H77-H90)</f>
        <v>2672.8032345825</v>
      </c>
      <c r="I91" s="23" t="n">
        <f aca="false">(I77-I90)</f>
        <v>3886.18649847974</v>
      </c>
      <c r="J91" s="23" t="n">
        <f aca="false">(J77-J90)</f>
        <v>5149.33181849437</v>
      </c>
      <c r="K91" s="23" t="n">
        <f aca="false">(K77-K90)</f>
        <v>6506.0591421123</v>
      </c>
      <c r="L91" s="23" t="n">
        <f aca="false">(L77-L90)</f>
        <v>7966.85516902612</v>
      </c>
      <c r="M91" s="23" t="n">
        <f aca="false">(M77-M90)</f>
        <v>9542.92917166534</v>
      </c>
      <c r="N91" s="23" t="n">
        <f aca="false">(N77-N90)</f>
        <v>11246.301579232</v>
      </c>
      <c r="O91" s="23" t="n">
        <f aca="false">(O77-O90)</f>
        <v>7446.75365532977</v>
      </c>
      <c r="P91" s="23" t="n">
        <f aca="false">(P77-P90)</f>
        <v>10091.5970852494</v>
      </c>
      <c r="Q91" s="23" t="n">
        <f aca="false">(Q77-Q90)</f>
        <v>11767.2587804343</v>
      </c>
      <c r="R91" s="23" t="n">
        <f aca="false">(R77-R90)</f>
        <v>13568.542554544</v>
      </c>
      <c r="S91" s="23" t="n">
        <f aca="false">(S77-S90)</f>
        <v>15526.6748904228</v>
      </c>
      <c r="T91" s="23" t="n">
        <f aca="false">(T77-T90)</f>
        <v>17654.421817684</v>
      </c>
      <c r="U91" s="23" t="n">
        <f aca="false">(U77-U90)</f>
        <v>19967.8697128085</v>
      </c>
      <c r="V91" s="23" t="n">
        <f aca="false">(V77-V90)</f>
        <v>22484.5313454395</v>
      </c>
      <c r="W91" s="23" t="n">
        <f aca="false">(W77-W90)</f>
        <v>25223.4339254378</v>
      </c>
      <c r="X91" s="23" t="n">
        <f aca="false">(X77-X90)</f>
        <v>28205.2620889954</v>
      </c>
      <c r="Y91" s="23" t="n">
        <f aca="false">(Y77-Y90)</f>
        <v>31452.5140731737</v>
      </c>
      <c r="Z91" s="23" t="n">
        <f aca="false">(Z77-Z90)</f>
        <v>34989.6713118911</v>
      </c>
      <c r="AA91" s="23" t="n">
        <f aca="false">(AA77-AA90)</f>
        <v>34491.7518431238</v>
      </c>
      <c r="AB91" s="23" t="n">
        <f aca="false">(AB77-AB90)</f>
        <v>39692.2195343838</v>
      </c>
      <c r="AC91" s="23" t="n">
        <f aca="false">(AC77-AC90)</f>
        <v>44161.9696114584</v>
      </c>
      <c r="AD91" s="23" t="n">
        <f aca="false">(AD77-AD90)</f>
        <v>49024.6337610437</v>
      </c>
      <c r="AE91" s="23" t="n">
        <f aca="false">(AE77-AE90)</f>
        <v>54326.1627632658</v>
      </c>
      <c r="AF91" s="23" t="n">
        <f aca="false">(AF77-AF90)</f>
        <v>60105.3454597335</v>
      </c>
      <c r="AG91" s="23" t="n">
        <f aca="false">(AG77-AG90)</f>
        <v>66405.6521068578</v>
      </c>
      <c r="AH91" s="23" t="n">
        <f aca="false">(AH77-AH90)</f>
        <v>73274.4854605841</v>
      </c>
      <c r="AI91" s="23" t="n">
        <f aca="false">(AI77-AI90)</f>
        <v>78613.512016807</v>
      </c>
      <c r="AJ91" s="23" t="n">
        <f aca="false">(AJ77-AJ90)</f>
        <v>86779.0484382676</v>
      </c>
      <c r="AK91" s="23" t="n">
        <f aca="false">(AK77-AK90)</f>
        <v>95682.4831990923</v>
      </c>
      <c r="AL91" s="23" t="n">
        <f aca="false">(AL77-AL90)</f>
        <v>105390.736089057</v>
      </c>
    </row>
    <row r="92" customFormat="false" ht="15" hidden="false" customHeight="false" outlineLevel="0" collapsed="false">
      <c r="A92" s="6" t="s">
        <v>498</v>
      </c>
      <c r="B92" s="2" t="s">
        <v>499</v>
      </c>
      <c r="C92" s="16" t="n">
        <f aca="false">IF(C67=0,0,C91/C67)</f>
        <v>-3.95881950297061</v>
      </c>
      <c r="D92" s="16" t="n">
        <f aca="false">IF(D67=0,0,D91/D67)</f>
        <v>-0.337246404666297</v>
      </c>
      <c r="E92" s="16" t="n">
        <f aca="false">IF(E67=0,0,E91/E67)</f>
        <v>0.0290442792371038</v>
      </c>
      <c r="F92" s="16" t="n">
        <f aca="false">IF(F67=0,0,F91/F67)</f>
        <v>0.108422532332807</v>
      </c>
      <c r="G92" s="16" t="n">
        <f aca="false">IF(G67=0,0,G91/G67)</f>
        <v>0.262062987411056</v>
      </c>
      <c r="H92" s="16" t="n">
        <f aca="false">IF(H67=0,0,H91/H67)</f>
        <v>0.368987008711157</v>
      </c>
      <c r="I92" s="16" t="n">
        <f aca="false">IF(I67=0,0,I91/I67)</f>
        <v>0.432391054681055</v>
      </c>
      <c r="J92" s="16" t="n">
        <f aca="false">IF(J67=0,0,J91/J67)</f>
        <v>0.489836647815152</v>
      </c>
      <c r="K92" s="16" t="n">
        <f aca="false">IF(K67=0,0,K91/K67)</f>
        <v>0.535542466240757</v>
      </c>
      <c r="L92" s="16" t="n">
        <f aca="false">IF(L67=0,0,L91/L67)</f>
        <v>0.572818916454829</v>
      </c>
      <c r="M92" s="16" t="n">
        <f aca="false">IF(M67=0,0,M91/M67)</f>
        <v>0.603832998652421</v>
      </c>
      <c r="N92" s="16" t="n">
        <f aca="false">IF(N67=0,0,N91/N67)</f>
        <v>0.63006323283178</v>
      </c>
      <c r="O92" s="16" t="n">
        <f aca="false">IF(O67=0,0,O91/O67)</f>
        <v>0.37494189861877</v>
      </c>
      <c r="P92" s="16" t="n">
        <f aca="false">IF(P67=0,0,P91/P67)</f>
        <v>0.4581035045078</v>
      </c>
      <c r="Q92" s="16" t="n">
        <f aca="false">IF(Q67=0,0,Q91/Q67)</f>
        <v>0.482796511270221</v>
      </c>
      <c r="R92" s="16" t="n">
        <f aca="false">IF(R67=0,0,R91/R67)</f>
        <v>0.504536244452511</v>
      </c>
      <c r="S92" s="16" t="n">
        <f aca="false">IF(S67=0,0,S91/S67)</f>
        <v>0.524157647529041</v>
      </c>
      <c r="T92" s="16" t="n">
        <f aca="false">IF(T67=0,0,T91/T67)</f>
        <v>0.541878473238946</v>
      </c>
      <c r="U92" s="16" t="n">
        <f aca="false">IF(U67=0,0,U91/U67)</f>
        <v>0.557951805550868</v>
      </c>
      <c r="V92" s="16" t="n">
        <f aca="false">IF(V67=0,0,V91/V67)</f>
        <v>0.572588263128711</v>
      </c>
      <c r="W92" s="16" t="n">
        <f aca="false">IF(W67=0,0,W91/W67)</f>
        <v>0.585963636345353</v>
      </c>
      <c r="X92" s="16" t="n">
        <f aca="false">IF(X67=0,0,X91/X67)</f>
        <v>0.598225969840602</v>
      </c>
      <c r="Y92" s="16" t="n">
        <f aca="false">IF(Y67=0,0,Y91/Y67)</f>
        <v>0.609500980772382</v>
      </c>
      <c r="Z92" s="16" t="n">
        <f aca="false">IF(Z67=0,0,Z91/Z67)</f>
        <v>0.61989623371598</v>
      </c>
      <c r="AA92" s="16" t="n">
        <f aca="false">IF(AA67=0,0,AA91/AA67)</f>
        <v>0.559934336425136</v>
      </c>
      <c r="AB92" s="16" t="n">
        <f aca="false">IF(AB67=0,0,AB91/AB67)</f>
        <v>0.590663131293892</v>
      </c>
      <c r="AC92" s="16" t="n">
        <f aca="false">IF(AC67=0,0,AC91/AC67)</f>
        <v>0.602598317252379</v>
      </c>
      <c r="AD92" s="16" t="n">
        <f aca="false">IF(AD67=0,0,AD91/AD67)</f>
        <v>0.613623561236625</v>
      </c>
      <c r="AE92" s="16" t="n">
        <f aca="false">IF(AE67=0,0,AE91/AE67)</f>
        <v>0.623879809825484</v>
      </c>
      <c r="AF92" s="16" t="n">
        <f aca="false">IF(AF67=0,0,AF91/AF67)</f>
        <v>0.633419412552345</v>
      </c>
      <c r="AG92" s="16" t="n">
        <f aca="false">IF(AG67=0,0,AG91/AG67)</f>
        <v>0.642304129284761</v>
      </c>
      <c r="AH92" s="16" t="n">
        <f aca="false">IF(AH67=0,0,AH91/AH67)</f>
        <v>0.650589722436935</v>
      </c>
      <c r="AI92" s="16" t="n">
        <f aca="false">IF(AI67=0,0,AI91/AI67)</f>
        <v>0.640801142985658</v>
      </c>
      <c r="AJ92" s="16" t="n">
        <f aca="false">IF(AJ67=0,0,AJ91/AJ67)</f>
        <v>0.649468551938275</v>
      </c>
      <c r="AK92" s="16" t="n">
        <f aca="false">IF(AK67=0,0,AK91/AK67)</f>
        <v>0.657554658882225</v>
      </c>
      <c r="AL92" s="16" t="n">
        <f aca="false">IF(AL67=0,0,AL91/AL67)</f>
        <v>0.665106736878943</v>
      </c>
    </row>
    <row r="94" customFormat="false" ht="15" hidden="false" customHeight="false" outlineLevel="0" collapsed="false">
      <c r="A94" s="4" t="s">
        <v>500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  <c r="AJ94" s="5"/>
      <c r="AK94" s="5"/>
      <c r="AL94" s="5"/>
    </row>
    <row r="95" customFormat="false" ht="15" hidden="false" customHeight="false" outlineLevel="0" collapsed="false">
      <c r="A95" s="6" t="s">
        <v>501</v>
      </c>
      <c r="B95" s="2" t="s">
        <v>502</v>
      </c>
      <c r="C95" s="14" t="n">
        <f aca="false">(C30*Assumptions!$G$112)</f>
        <v>5990.32532175</v>
      </c>
      <c r="D95" s="14" t="n">
        <f aca="false">(D30*Assumptions!$G$112)</f>
        <v>7021.11912269182</v>
      </c>
      <c r="E95" s="14" t="n">
        <f aca="false">(E30*Assumptions!$G$112)</f>
        <v>7983.13353064345</v>
      </c>
      <c r="F95" s="14" t="n">
        <f aca="false">(F30*Assumptions!$G$112)</f>
        <v>9503.43658384027</v>
      </c>
      <c r="G95" s="14" t="n">
        <f aca="false">(G30*Assumptions!$G$112)</f>
        <v>10651.9374360573</v>
      </c>
      <c r="H95" s="14" t="n">
        <f aca="false">(H30*Assumptions!$G$112)</f>
        <v>11859.6418238738</v>
      </c>
      <c r="I95" s="14" t="n">
        <f aca="false">(I30*Assumptions!$G$112)</f>
        <v>13145.1485192726</v>
      </c>
      <c r="J95" s="14" t="n">
        <f aca="false">(J30*Assumptions!$G$112)</f>
        <v>14518.2725004383</v>
      </c>
      <c r="K95" s="14" t="n">
        <f aca="false">(K30*Assumptions!$G$112)</f>
        <v>15989.1802966684</v>
      </c>
      <c r="L95" s="14" t="n">
        <f aca="false">(L30*Assumptions!$G$112)</f>
        <v>17568.6739634389</v>
      </c>
      <c r="M95" s="14" t="n">
        <f aca="false">(M30*Assumptions!$G$112)</f>
        <v>19268.280164633</v>
      </c>
      <c r="N95" s="14" t="n">
        <f aca="false">(N30*Assumptions!$G$112)</f>
        <v>21100.3393517831</v>
      </c>
      <c r="O95" s="14" t="n">
        <f aca="false">(O30*Assumptions!$G$112)</f>
        <v>25755.2239510888</v>
      </c>
      <c r="P95" s="14" t="n">
        <f aca="false">(P30*Assumptions!$G$112)</f>
        <v>28203.1220545773</v>
      </c>
      <c r="Q95" s="14" t="n">
        <f aca="false">(Q30*Assumptions!$G$112)</f>
        <v>30793.9618047748</v>
      </c>
      <c r="R95" s="14" t="n">
        <f aca="false">(R30*Assumptions!$G$112)</f>
        <v>33826.5469730299</v>
      </c>
      <c r="S95" s="14" t="n">
        <f aca="false">(S30*Assumptions!$G$112)</f>
        <v>36889.022087591</v>
      </c>
      <c r="T95" s="14" t="n">
        <f aca="false">(T30*Assumptions!$G$112)</f>
        <v>40204.9481012773</v>
      </c>
      <c r="U95" s="14" t="n">
        <f aca="false">(U30*Assumptions!$G$112)</f>
        <v>43802.525892626</v>
      </c>
      <c r="V95" s="14" t="n">
        <f aca="false">(V30*Assumptions!$G$112)</f>
        <v>47707.5370045301</v>
      </c>
      <c r="W95" s="14" t="n">
        <f aca="false">(W30*Assumptions!$G$112)</f>
        <v>51947.862625822</v>
      </c>
      <c r="X95" s="14" t="n">
        <f aca="false">(X30*Assumptions!$G$112)</f>
        <v>56553.785073479</v>
      </c>
      <c r="Y95" s="14" t="n">
        <f aca="false">(Y30*Assumptions!$G$112)</f>
        <v>61558.2115368374</v>
      </c>
      <c r="Z95" s="14" t="n">
        <f aca="false">(Z30*Assumptions!$G$112)</f>
        <v>66996.9147006895</v>
      </c>
      <c r="AA95" s="14" t="n">
        <f aca="false">(AA30*Assumptions!$G$112)</f>
        <v>74334.3653172821</v>
      </c>
      <c r="AB95" s="14" t="n">
        <f aca="false">(AB30*Assumptions!$G$112)</f>
        <v>80925.8072944506</v>
      </c>
      <c r="AC95" s="14" t="n">
        <f aca="false">(AC30*Assumptions!$G$112)</f>
        <v>88061.3612028483</v>
      </c>
      <c r="AD95" s="14" t="n">
        <f aca="false">(AD30*Assumptions!$G$112)</f>
        <v>95941.4190993939</v>
      </c>
      <c r="AE95" s="14" t="n">
        <f aca="false">(AE30*Assumptions!$G$112)</f>
        <v>104391.511247023</v>
      </c>
      <c r="AF95" s="14" t="n">
        <f aca="false">(AF30*Assumptions!$G$112)</f>
        <v>113579.727659477</v>
      </c>
      <c r="AG95" s="14" t="n">
        <f aca="false">(AG30*Assumptions!$G$112)</f>
        <v>123574.434252319</v>
      </c>
      <c r="AH95" s="14" t="n">
        <f aca="false">(AH30*Assumptions!$G$112)</f>
        <v>134447.477438465</v>
      </c>
      <c r="AI95" s="14" t="n">
        <f aca="false">(AI30*Assumptions!$G$112)</f>
        <v>146277.018000417</v>
      </c>
      <c r="AJ95" s="14" t="n">
        <f aca="false">(AJ30*Assumptions!$G$112)</f>
        <v>159148.153995371</v>
      </c>
      <c r="AK95" s="14" t="n">
        <f aca="false">(AK30*Assumptions!$G$112)</f>
        <v>173153.54375782</v>
      </c>
      <c r="AL95" s="14" t="n">
        <f aca="false">(AL30*Assumptions!$G$112)</f>
        <v>188394.083200126</v>
      </c>
    </row>
    <row r="96" customFormat="false" ht="15" hidden="false" customHeight="false" outlineLevel="0" collapsed="false">
      <c r="A96" s="6" t="s">
        <v>503</v>
      </c>
      <c r="B96" s="2" t="s">
        <v>504</v>
      </c>
      <c r="C96" s="14" t="n">
        <f aca="false">(C95-C60)</f>
        <v>4620.23156739375</v>
      </c>
      <c r="D96" s="14" t="n">
        <f aca="false">(D95-D60)</f>
        <v>4739.89288400381</v>
      </c>
      <c r="E96" s="14" t="n">
        <f aca="false">(E95-E60)</f>
        <v>4755.47579703717</v>
      </c>
      <c r="F96" s="14" t="n">
        <f aca="false">(F95-F60)</f>
        <v>5158.88359613173</v>
      </c>
      <c r="G96" s="14" t="n">
        <f aca="false">(G95-G60)</f>
        <v>5169.48155578785</v>
      </c>
      <c r="H96" s="14" t="n">
        <f aca="false">(H95-H60)</f>
        <v>5167.41568937389</v>
      </c>
      <c r="I96" s="14" t="n">
        <f aca="false">(I95-I60)</f>
        <v>5161.15733554309</v>
      </c>
      <c r="J96" s="14" t="n">
        <f aca="false">(J95-J60)</f>
        <v>5150.81869112782</v>
      </c>
      <c r="K96" s="14" t="n">
        <f aca="false">(K95-K60)</f>
        <v>5136.30720075766</v>
      </c>
      <c r="L96" s="14" t="n">
        <f aca="false">(L95-L60)</f>
        <v>5117.5080867734</v>
      </c>
      <c r="M96" s="14" t="n">
        <f aca="false">(M95-M60)</f>
        <v>5094.28785470399</v>
      </c>
      <c r="N96" s="14" t="n">
        <f aca="false">(N95-N60)</f>
        <v>5066.49368566408</v>
      </c>
      <c r="O96" s="14" t="n">
        <f aca="false">(O95-O60)</f>
        <v>7908.0038579174</v>
      </c>
      <c r="P96" s="14" t="n">
        <f aca="false">(P95-P60)</f>
        <v>8401.20989583099</v>
      </c>
      <c r="Q96" s="14" t="n">
        <f aca="false">(Q95-Q60)</f>
        <v>8877.92933307262</v>
      </c>
      <c r="R96" s="14" t="n">
        <f aca="false">(R95-R60)</f>
        <v>9638.54482401128</v>
      </c>
      <c r="S96" s="14" t="n">
        <f aca="false">(S95-S60)</f>
        <v>10239.8630548198</v>
      </c>
      <c r="T96" s="14" t="n">
        <f aca="false">(T95-T60)</f>
        <v>10887.5363032892</v>
      </c>
      <c r="U96" s="14" t="n">
        <f aca="false">(U95-U60)</f>
        <v>11590.744399391</v>
      </c>
      <c r="V96" s="14" t="n">
        <f aca="false">(V95-V60)</f>
        <v>12354.6548687265</v>
      </c>
      <c r="W96" s="14" t="n">
        <f aca="false">(W95-W60)</f>
        <v>13184.7826153133</v>
      </c>
      <c r="X96" s="14" t="n">
        <f aca="false">(X95-X60)</f>
        <v>14087.1274050393</v>
      </c>
      <c r="Y96" s="14" t="n">
        <f aca="false">(Y95-Y60)</f>
        <v>15068.2200239184</v>
      </c>
      <c r="Z96" s="14" t="n">
        <f aca="false">(Z95-Z60)</f>
        <v>16135.1702236812</v>
      </c>
      <c r="AA96" s="14" t="n">
        <f aca="false">(AA95-AA60)</f>
        <v>18825.5861398277</v>
      </c>
      <c r="AB96" s="14" t="n">
        <f aca="false">(AB95-AB60)</f>
        <v>20368.9332953613</v>
      </c>
      <c r="AC96" s="14" t="n">
        <f aca="false">(AC95-AC60)</f>
        <v>22017.1346259576</v>
      </c>
      <c r="AD96" s="14" t="n">
        <f aca="false">(AD95-AD60)</f>
        <v>23940.238207272</v>
      </c>
      <c r="AE96" s="14" t="n">
        <f aca="false">(AE95-AE60)</f>
        <v>25913.1878461219</v>
      </c>
      <c r="AF96" s="14" t="n">
        <f aca="false">(AF95-AF60)</f>
        <v>28057.5579169679</v>
      </c>
      <c r="AG96" s="14" t="n">
        <f aca="false">(AG95-AG60)</f>
        <v>30391.2919583189</v>
      </c>
      <c r="AH96" s="14" t="n">
        <f aca="false">(AH95-AH60)</f>
        <v>32931.3589773772</v>
      </c>
      <c r="AI96" s="14" t="n">
        <f aca="false">(AI95-AI60)</f>
        <v>35696.1827390872</v>
      </c>
      <c r="AJ96" s="14" t="n">
        <f aca="false">(AJ95-AJ60)</f>
        <v>38705.8286986577</v>
      </c>
      <c r="AK96" s="14" t="n">
        <f aca="false">(AK95-AK60)</f>
        <v>41982.1523714408</v>
      </c>
      <c r="AL96" s="14" t="n">
        <f aca="false">(AL95-AL60)</f>
        <v>45548.9597480946</v>
      </c>
    </row>
    <row r="97" customFormat="false" ht="15" hidden="false" customHeight="false" outlineLevel="0" collapsed="false">
      <c r="A97" s="21" t="s">
        <v>505</v>
      </c>
      <c r="B97" s="2" t="s">
        <v>506</v>
      </c>
      <c r="C97" s="23" t="n">
        <f aca="false">(C91+C96)</f>
        <v>-803.72230825</v>
      </c>
      <c r="D97" s="23" t="n">
        <f aca="false">(D91+D96)</f>
        <v>3970.55753677586</v>
      </c>
      <c r="E97" s="23" t="n">
        <f aca="false">(E91+E96)</f>
        <v>4849.22078953383</v>
      </c>
      <c r="F97" s="23" t="n">
        <f aca="false">(F91+F96)</f>
        <v>5673.30809150672</v>
      </c>
      <c r="G97" s="23" t="n">
        <f aca="false">(G91+G96)</f>
        <v>6730.37377469271</v>
      </c>
      <c r="H97" s="23" t="n">
        <f aca="false">(H91+H96)</f>
        <v>7840.21892395639</v>
      </c>
      <c r="I97" s="23" t="n">
        <f aca="false">(I91+I96)</f>
        <v>9047.34383402283</v>
      </c>
      <c r="J97" s="23" t="n">
        <f aca="false">(J91+J96)</f>
        <v>10300.1505096222</v>
      </c>
      <c r="K97" s="23" t="n">
        <f aca="false">(K91+K96)</f>
        <v>11642.36634287</v>
      </c>
      <c r="L97" s="23" t="n">
        <f aca="false">(L91+L96)</f>
        <v>13084.3632557995</v>
      </c>
      <c r="M97" s="23" t="n">
        <f aca="false">(M91+M96)</f>
        <v>14637.2170263693</v>
      </c>
      <c r="N97" s="23" t="n">
        <f aca="false">(N91+N96)</f>
        <v>16312.7952648961</v>
      </c>
      <c r="O97" s="23" t="n">
        <f aca="false">(O91+O96)</f>
        <v>15354.7575132472</v>
      </c>
      <c r="P97" s="23" t="n">
        <f aca="false">(P91+P96)</f>
        <v>18492.8069810804</v>
      </c>
      <c r="Q97" s="23" t="n">
        <f aca="false">(Q91+Q96)</f>
        <v>20645.1881135069</v>
      </c>
      <c r="R97" s="23" t="n">
        <f aca="false">(R91+R96)</f>
        <v>23207.0873785553</v>
      </c>
      <c r="S97" s="23" t="n">
        <f aca="false">(S91+S96)</f>
        <v>25766.5379452426</v>
      </c>
      <c r="T97" s="23" t="n">
        <f aca="false">(T91+T96)</f>
        <v>28541.9581209732</v>
      </c>
      <c r="U97" s="23" t="n">
        <f aca="false">(U91+U96)</f>
        <v>31558.6141121995</v>
      </c>
      <c r="V97" s="23" t="n">
        <f aca="false">(V91+V96)</f>
        <v>34839.186214166</v>
      </c>
      <c r="W97" s="23" t="n">
        <f aca="false">(W91+W96)</f>
        <v>38408.216540751</v>
      </c>
      <c r="X97" s="23" t="n">
        <f aca="false">(X91+X96)</f>
        <v>42292.3894940346</v>
      </c>
      <c r="Y97" s="23" t="n">
        <f aca="false">(Y91+Y96)</f>
        <v>46520.7340970922</v>
      </c>
      <c r="Z97" s="23" t="n">
        <f aca="false">(Z91+Z96)</f>
        <v>51124.8415355724</v>
      </c>
      <c r="AA97" s="23" t="n">
        <f aca="false">(AA91+AA96)</f>
        <v>53317.3379829515</v>
      </c>
      <c r="AB97" s="23" t="n">
        <f aca="false">(AB91+AB96)</f>
        <v>60061.1528297451</v>
      </c>
      <c r="AC97" s="23" t="n">
        <f aca="false">(AC91+AC96)</f>
        <v>66179.1042374159</v>
      </c>
      <c r="AD97" s="23" t="n">
        <f aca="false">(AD91+AD96)</f>
        <v>72964.8719683157</v>
      </c>
      <c r="AE97" s="23" t="n">
        <f aca="false">(AE91+AE96)</f>
        <v>80239.3506093877</v>
      </c>
      <c r="AF97" s="23" t="n">
        <f aca="false">(AF91+AF96)</f>
        <v>88162.9033767014</v>
      </c>
      <c r="AG97" s="23" t="n">
        <f aca="false">(AG91+AG96)</f>
        <v>96796.9440651767</v>
      </c>
      <c r="AH97" s="23" t="n">
        <f aca="false">(AH91+AH96)</f>
        <v>106205.844437961</v>
      </c>
      <c r="AI97" s="23" t="n">
        <f aca="false">(AI91+AI96)</f>
        <v>114309.694755894</v>
      </c>
      <c r="AJ97" s="23" t="n">
        <f aca="false">(AJ91+AJ96)</f>
        <v>125484.877136925</v>
      </c>
      <c r="AK97" s="23" t="n">
        <f aca="false">(AK91+AK96)</f>
        <v>137664.635570533</v>
      </c>
      <c r="AL97" s="23" t="n">
        <f aca="false">(AL91+AL96)</f>
        <v>150939.695837151</v>
      </c>
    </row>
    <row r="98" customFormat="false" ht="15" hidden="false" customHeight="false" outlineLevel="0" collapsed="false">
      <c r="A98" s="21" t="s">
        <v>507</v>
      </c>
      <c r="B98" s="2" t="s">
        <v>508</v>
      </c>
      <c r="C98" s="23" t="n">
        <f aca="false">(0+C97)</f>
        <v>-803.72230825</v>
      </c>
      <c r="D98" s="23" t="n">
        <f aca="false">(C98+D97)</f>
        <v>3166.83522852586</v>
      </c>
      <c r="E98" s="23" t="n">
        <f aca="false">(D98+E97)</f>
        <v>8016.05601805969</v>
      </c>
      <c r="F98" s="23" t="n">
        <f aca="false">(E98+F97)</f>
        <v>13689.3641095664</v>
      </c>
      <c r="G98" s="23" t="n">
        <f aca="false">(F98+G97)</f>
        <v>20419.7378842591</v>
      </c>
      <c r="H98" s="23" t="n">
        <f aca="false">(G98+H97)</f>
        <v>28259.9568082155</v>
      </c>
      <c r="I98" s="23" t="n">
        <f aca="false">(H98+I97)</f>
        <v>37307.3006422383</v>
      </c>
      <c r="J98" s="23" t="n">
        <f aca="false">(I98+J97)</f>
        <v>47607.4511518605</v>
      </c>
      <c r="K98" s="23" t="n">
        <f aca="false">(J98+K97)</f>
        <v>59249.8174947305</v>
      </c>
      <c r="L98" s="23" t="n">
        <f aca="false">(K98+L97)</f>
        <v>72334.18075053</v>
      </c>
      <c r="M98" s="23" t="n">
        <f aca="false">(L98+M97)</f>
        <v>86971.3977768993</v>
      </c>
      <c r="N98" s="23" t="n">
        <f aca="false">(M98+N97)</f>
        <v>103284.193041795</v>
      </c>
      <c r="O98" s="23" t="n">
        <f aca="false">(N98+O97)</f>
        <v>118638.950555043</v>
      </c>
      <c r="P98" s="23" t="n">
        <f aca="false">(O98+P97)</f>
        <v>137131.757536123</v>
      </c>
      <c r="Q98" s="23" t="n">
        <f aca="false">(P98+Q97)</f>
        <v>157776.94564963</v>
      </c>
      <c r="R98" s="23" t="n">
        <f aca="false">(Q98+R97)</f>
        <v>180984.033028185</v>
      </c>
      <c r="S98" s="23" t="n">
        <f aca="false">(R98+S97)</f>
        <v>206750.570973428</v>
      </c>
      <c r="T98" s="23" t="n">
        <f aca="false">(S98+T97)</f>
        <v>235292.529094401</v>
      </c>
      <c r="U98" s="23" t="n">
        <f aca="false">(T98+U97)</f>
        <v>266851.1432066</v>
      </c>
      <c r="V98" s="23" t="n">
        <f aca="false">(U98+V97)</f>
        <v>301690.329420766</v>
      </c>
      <c r="W98" s="23" t="n">
        <f aca="false">(V98+W97)</f>
        <v>340098.545961518</v>
      </c>
      <c r="X98" s="23" t="n">
        <f aca="false">(W98+X97)</f>
        <v>382390.935455552</v>
      </c>
      <c r="Y98" s="23" t="n">
        <f aca="false">(X98+Y97)</f>
        <v>428911.669552644</v>
      </c>
      <c r="Z98" s="23" t="n">
        <f aca="false">(Y98+Z97)</f>
        <v>480036.511088217</v>
      </c>
      <c r="AA98" s="23" t="n">
        <f aca="false">(Z98+AA97)</f>
        <v>533353.849071168</v>
      </c>
      <c r="AB98" s="23" t="n">
        <f aca="false">(AA98+AB97)</f>
        <v>593415.001900913</v>
      </c>
      <c r="AC98" s="23" t="n">
        <f aca="false">(AB98+AC97)</f>
        <v>659594.106138329</v>
      </c>
      <c r="AD98" s="23" t="n">
        <f aca="false">(AC98+AD97)</f>
        <v>732558.978106645</v>
      </c>
      <c r="AE98" s="23" t="n">
        <f aca="false">(AD98+AE97)</f>
        <v>812798.328716032</v>
      </c>
      <c r="AF98" s="23" t="n">
        <f aca="false">(AE98+AF97)</f>
        <v>900961.232092734</v>
      </c>
      <c r="AG98" s="23" t="n">
        <f aca="false">(AF98+AG97)</f>
        <v>997758.176157911</v>
      </c>
      <c r="AH98" s="23" t="n">
        <f aca="false">(AG98+AH97)</f>
        <v>1103964.02059587</v>
      </c>
      <c r="AI98" s="23" t="n">
        <f aca="false">(AH98+AI97)</f>
        <v>1218273.71535177</v>
      </c>
      <c r="AJ98" s="23" t="n">
        <f aca="false">(AI98+AJ97)</f>
        <v>1343758.59248869</v>
      </c>
      <c r="AK98" s="23" t="n">
        <f aca="false">(AJ98+AK97)</f>
        <v>1481423.22805922</v>
      </c>
      <c r="AL98" s="23" t="n">
        <f aca="false">(AK98+AL97)</f>
        <v>1632362.92389638</v>
      </c>
    </row>
    <row r="99" customFormat="false" ht="15" hidden="false" customHeight="false" outlineLevel="0" collapsed="false">
      <c r="A99" s="6" t="s">
        <v>509</v>
      </c>
      <c r="B99" s="2" t="s">
        <v>510</v>
      </c>
      <c r="C99" s="14" t="n">
        <f aca="false">(0+C91)</f>
        <v>-5423.95387564375</v>
      </c>
      <c r="D99" s="14" t="n">
        <f aca="false">(C99+D91)</f>
        <v>-6193.2892228717</v>
      </c>
      <c r="E99" s="14" t="n">
        <f aca="false">(D99+E91)</f>
        <v>-6099.54423037504</v>
      </c>
      <c r="F99" s="14" t="n">
        <f aca="false">(E99+F91)</f>
        <v>-5585.11973500006</v>
      </c>
      <c r="G99" s="14" t="n">
        <f aca="false">(F99+G91)</f>
        <v>-4024.22751609519</v>
      </c>
      <c r="H99" s="14" t="n">
        <f aca="false">(G99+H91)</f>
        <v>-1351.42428151268</v>
      </c>
      <c r="I99" s="14" t="n">
        <f aca="false">(H99+I91)</f>
        <v>2534.76221696706</v>
      </c>
      <c r="J99" s="14" t="n">
        <f aca="false">(I99+J91)</f>
        <v>7684.09403546142</v>
      </c>
      <c r="K99" s="14" t="n">
        <f aca="false">(J99+K91)</f>
        <v>14190.1531775737</v>
      </c>
      <c r="L99" s="14" t="n">
        <f aca="false">(K99+L91)</f>
        <v>22157.0083465998</v>
      </c>
      <c r="M99" s="14" t="n">
        <f aca="false">(L99+M91)</f>
        <v>31699.9375182652</v>
      </c>
      <c r="N99" s="14" t="n">
        <f aca="false">(M99+N91)</f>
        <v>42946.2390974972</v>
      </c>
      <c r="O99" s="14" t="n">
        <f aca="false">(N99+O91)</f>
        <v>50392.992752827</v>
      </c>
      <c r="P99" s="14" t="n">
        <f aca="false">(O99+P91)</f>
        <v>60484.5898380764</v>
      </c>
      <c r="Q99" s="14" t="n">
        <f aca="false">(P99+Q91)</f>
        <v>72251.8486185106</v>
      </c>
      <c r="R99" s="14" t="n">
        <f aca="false">(Q99+R91)</f>
        <v>85820.3911730546</v>
      </c>
      <c r="S99" s="14" t="n">
        <f aca="false">(R99+S91)</f>
        <v>101347.066063477</v>
      </c>
      <c r="T99" s="14" t="n">
        <f aca="false">(S99+T91)</f>
        <v>119001.487881161</v>
      </c>
      <c r="U99" s="14" t="n">
        <f aca="false">(T99+U91)</f>
        <v>138969.35759397</v>
      </c>
      <c r="V99" s="14" t="n">
        <f aca="false">(U99+V91)</f>
        <v>161453.88893941</v>
      </c>
      <c r="W99" s="14" t="n">
        <f aca="false">(V99+W91)</f>
        <v>186677.322864847</v>
      </c>
      <c r="X99" s="14" t="n">
        <f aca="false">(W99+X91)</f>
        <v>214882.584953843</v>
      </c>
      <c r="Y99" s="14" t="n">
        <f aca="false">(X99+Y91)</f>
        <v>246335.099027016</v>
      </c>
      <c r="Z99" s="14" t="n">
        <f aca="false">(Y99+Z91)</f>
        <v>281324.770338908</v>
      </c>
      <c r="AA99" s="14" t="n">
        <f aca="false">(Z99+AA91)</f>
        <v>315816.522182031</v>
      </c>
      <c r="AB99" s="14" t="n">
        <f aca="false">(AA99+AB91)</f>
        <v>355508.741716415</v>
      </c>
      <c r="AC99" s="14" t="n">
        <f aca="false">(AB99+AC91)</f>
        <v>399670.711327873</v>
      </c>
      <c r="AD99" s="14" t="n">
        <f aca="false">(AC99+AD91)</f>
        <v>448695.345088917</v>
      </c>
      <c r="AE99" s="14" t="n">
        <f aca="false">(AD99+AE91)</f>
        <v>503021.507852183</v>
      </c>
      <c r="AF99" s="14" t="n">
        <f aca="false">(AE99+AF91)</f>
        <v>563126.853311916</v>
      </c>
      <c r="AG99" s="14" t="n">
        <f aca="false">(AF99+AG91)</f>
        <v>629532.505418774</v>
      </c>
      <c r="AH99" s="14" t="n">
        <f aca="false">(AG99+AH91)</f>
        <v>702806.990879358</v>
      </c>
      <c r="AI99" s="14" t="n">
        <f aca="false">(AH99+AI91)</f>
        <v>781420.502896165</v>
      </c>
      <c r="AJ99" s="14" t="n">
        <f aca="false">(AI99+AJ91)</f>
        <v>868199.551334433</v>
      </c>
      <c r="AK99" s="14" t="n">
        <f aca="false">(AJ99+AK91)</f>
        <v>963882.034533525</v>
      </c>
      <c r="AL99" s="14" t="n">
        <f aca="false">(AK99+AL91)</f>
        <v>1069272.77062258</v>
      </c>
    </row>
    <row r="101" customFormat="false" ht="15" hidden="false" customHeight="false" outlineLevel="0" collapsed="false">
      <c r="A101" s="4" t="s">
        <v>511</v>
      </c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  <c r="AJ101" s="5"/>
      <c r="AK101" s="5"/>
      <c r="AL101" s="5"/>
    </row>
    <row r="102" customFormat="false" ht="15" hidden="false" customHeight="false" outlineLevel="0" collapsed="false">
      <c r="A102" s="6" t="s">
        <v>512</v>
      </c>
      <c r="B102" s="2" t="s">
        <v>513</v>
      </c>
      <c r="C102" s="15" t="n">
        <f aca="false">IF(C36=0,0,C67/C36)</f>
        <v>0.583018618875</v>
      </c>
      <c r="D102" s="15" t="n">
        <f aca="false">IF(D36=0,0,D67/D36)</f>
        <v>0.719577630181315</v>
      </c>
      <c r="E102" s="15" t="n">
        <f aca="false">IF(E36=0,0,E67/E36)</f>
        <v>0.80765583716049</v>
      </c>
      <c r="F102" s="15" t="n">
        <f aca="false">IF(F36=0,0,F67/F36)</f>
        <v>0.936212676206534</v>
      </c>
      <c r="G102" s="15" t="n">
        <f aca="false">IF(G36=0,0,G67/G36)</f>
        <v>0.983231777855809</v>
      </c>
      <c r="H102" s="15" t="n">
        <f aca="false">IF(H36=0,0,H67/H36)</f>
        <v>1.0195758832026</v>
      </c>
      <c r="I102" s="15" t="n">
        <f aca="false">IF(I36=0,0,I67/I36)</f>
        <v>1.09365710153763</v>
      </c>
      <c r="J102" s="15" t="n">
        <f aca="false">IF(J36=0,0,J67/J36)</f>
        <v>1.11769311434859</v>
      </c>
      <c r="K102" s="15" t="n">
        <f aca="false">IF(K36=0,0,K67/K36)</f>
        <v>1.13808495781558</v>
      </c>
      <c r="L102" s="15" t="n">
        <f aca="false">IF(L36=0,0,L67/L36)</f>
        <v>1.15575318674523</v>
      </c>
      <c r="M102" s="15" t="n">
        <f aca="false">IF(M36=0,0,M67/M36)</f>
        <v>1.17132334472887</v>
      </c>
      <c r="N102" s="15" t="n">
        <f aca="false">IF(N36=0,0,N67/N36)</f>
        <v>1.18523253565952</v>
      </c>
      <c r="O102" s="15" t="n">
        <f aca="false">IF(O36=0,0,O67/O36)</f>
        <v>1.18829525669301</v>
      </c>
      <c r="P102" s="15" t="n">
        <f aca="false">IF(P36=0,0,P67/P36)</f>
        <v>1.19113449217493</v>
      </c>
      <c r="Q102" s="15" t="n">
        <f aca="false">IF(Q36=0,0,Q67/Q36)</f>
        <v>1.19393358014589</v>
      </c>
      <c r="R102" s="15" t="n">
        <f aca="false">IF(R36=0,0,R67/R36)</f>
        <v>1.19609168111994</v>
      </c>
      <c r="S102" s="15" t="n">
        <f aca="false">IF(S36=0,0,S67/S36)</f>
        <v>1.19826056800671</v>
      </c>
      <c r="T102" s="15" t="n">
        <f aca="false">IF(T36=0,0,T67/T36)</f>
        <v>1.20043613824269</v>
      </c>
      <c r="U102" s="15" t="n">
        <f aca="false">IF(U36=0,0,U67/U36)</f>
        <v>1.20260393830934</v>
      </c>
      <c r="V102" s="15" t="n">
        <f aca="false">IF(V36=0,0,V67/V36)</f>
        <v>1.20475060485629</v>
      </c>
      <c r="W102" s="15" t="n">
        <f aca="false">IF(W36=0,0,W67/W36)</f>
        <v>1.20686422767601</v>
      </c>
      <c r="X102" s="15" t="n">
        <f aca="false">IF(X36=0,0,X67/X36)</f>
        <v>1.2089344241879</v>
      </c>
      <c r="Y102" s="15" t="n">
        <f aca="false">IF(Y36=0,0,Y67/Y36)</f>
        <v>1.21095233842493</v>
      </c>
      <c r="Z102" s="15" t="n">
        <f aca="false">IF(Z36=0,0,Z67/Z36)</f>
        <v>1.21291059104457</v>
      </c>
      <c r="AA102" s="15" t="n">
        <f aca="false">IF(AA36=0,0,AA67/AA36)</f>
        <v>1.21314426143821</v>
      </c>
      <c r="AB102" s="15" t="n">
        <f aca="false">IF(AB36=0,0,AB67/AB36)</f>
        <v>1.21341282996828</v>
      </c>
      <c r="AC102" s="15" t="n">
        <f aca="false">IF(AC36=0,0,AC67/AC36)</f>
        <v>1.21373200133282</v>
      </c>
      <c r="AD102" s="15" t="n">
        <f aca="false">IF(AD36=0,0,AD67/AD36)</f>
        <v>1.21398036755998</v>
      </c>
      <c r="AE102" s="15" t="n">
        <f aca="false">IF(AE36=0,0,AE67/AE36)</f>
        <v>1.21426421620621</v>
      </c>
      <c r="AF102" s="15" t="n">
        <f aca="false">IF(AF36=0,0,AF67/AF36)</f>
        <v>1.21457548277569</v>
      </c>
      <c r="AG102" s="15" t="n">
        <f aca="false">IF(AG36=0,0,AG67/AG36)</f>
        <v>1.21490565828491</v>
      </c>
      <c r="AH102" s="15" t="n">
        <f aca="false">IF(AH36=0,0,AH67/AH36)</f>
        <v>1.21524757842799</v>
      </c>
      <c r="AI102" s="15" t="n">
        <f aca="false">IF(AI36=0,0,AI67/AI36)</f>
        <v>1.21559527760643</v>
      </c>
      <c r="AJ102" s="15" t="n">
        <f aca="false">IF(AJ36=0,0,AJ67/AJ36)</f>
        <v>1.21594383063426</v>
      </c>
      <c r="AK102" s="15" t="n">
        <f aca="false">IF(AK36=0,0,AK67/AK36)</f>
        <v>1.21628921237697</v>
      </c>
      <c r="AL102" s="15" t="n">
        <f aca="false">IF(AL36=0,0,AL67/AL36)</f>
        <v>1.2166281738318</v>
      </c>
    </row>
    <row r="103" customFormat="false" ht="15" hidden="false" customHeight="false" outlineLevel="0" collapsed="false">
      <c r="A103" s="6" t="s">
        <v>514</v>
      </c>
      <c r="B103" s="2" t="s">
        <v>515</v>
      </c>
      <c r="C103" s="15" t="n">
        <f aca="false">IF(C29=0,0,C60/C29)</f>
        <v>13.8813956875</v>
      </c>
      <c r="D103" s="15" t="n">
        <f aca="false">IF(D29=0,0,D60/D29)</f>
        <v>11.0901446350214</v>
      </c>
      <c r="E103" s="15" t="n">
        <f aca="false">IF(E29=0,0,E60/E29)</f>
        <v>10.092885316051</v>
      </c>
      <c r="F103" s="15" t="n">
        <f aca="false">IF(F29=0,0,F60/F29)</f>
        <v>9.64956658539208</v>
      </c>
      <c r="G103" s="15" t="n">
        <f aca="false">IF(G29=0,0,G60/G29)</f>
        <v>9.29052700847958</v>
      </c>
      <c r="H103" s="15" t="n">
        <f aca="false">IF(H29=0,0,H60/H29)</f>
        <v>9.03985254264639</v>
      </c>
      <c r="I103" s="15" t="n">
        <f aca="false">IF(I29=0,0,I60/I29)</f>
        <v>8.85231339450967</v>
      </c>
      <c r="J103" s="15" t="n">
        <f aca="false">IF(J29=0,0,J60/J29)</f>
        <v>8.70484372731142</v>
      </c>
      <c r="K103" s="15" t="n">
        <f aca="false">IF(K29=0,0,K60/K29)</f>
        <v>8.58478312006863</v>
      </c>
      <c r="L103" s="15" t="n">
        <f aca="false">IF(L29=0,0,L60/L29)</f>
        <v>8.48456470890223</v>
      </c>
      <c r="M103" s="15" t="n">
        <f aca="false">IF(M29=0,0,M60/M29)</f>
        <v>8.39935263071654</v>
      </c>
      <c r="N103" s="15" t="n">
        <f aca="false">IF(N29=0,0,N60/N29)</f>
        <v>8.3258856771269</v>
      </c>
      <c r="O103" s="15" t="n">
        <f aca="false">IF(O29=0,0,O60/O29)</f>
        <v>8.29750334394449</v>
      </c>
      <c r="P103" s="15" t="n">
        <f aca="false">IF(P29=0,0,P60/P29)</f>
        <v>8.27164411832113</v>
      </c>
      <c r="Q103" s="15" t="n">
        <f aca="false">IF(Q29=0,0,Q60/Q29)</f>
        <v>8.24755776623715</v>
      </c>
      <c r="R103" s="15" t="n">
        <f aca="false">IF(R29=0,0,R60/R29)</f>
        <v>8.22735672447469</v>
      </c>
      <c r="S103" s="15" t="n">
        <f aca="false">IF(S29=0,0,S60/S29)</f>
        <v>8.20852469640312</v>
      </c>
      <c r="T103" s="15" t="n">
        <f aca="false">IF(T29=0,0,T60/T29)</f>
        <v>8.19098181767243</v>
      </c>
      <c r="U103" s="15" t="n">
        <f aca="false">IF(U29=0,0,U60/U29)</f>
        <v>8.17467813140071</v>
      </c>
      <c r="V103" s="15" t="n">
        <f aca="false">IF(V29=0,0,V60/V29)</f>
        <v>8.15955660001791</v>
      </c>
      <c r="W103" s="15" t="n">
        <f aca="false">IF(W29=0,0,W60/W29)</f>
        <v>8.14555569035396</v>
      </c>
      <c r="X103" s="15" t="n">
        <f aca="false">IF(X29=0,0,X60/X29)</f>
        <v>8.13261173287663</v>
      </c>
      <c r="Y103" s="15" t="n">
        <f aca="false">IF(Y29=0,0,Y60/Y29)</f>
        <v>8.12066062756848</v>
      </c>
      <c r="Z103" s="15" t="n">
        <f aca="false">IF(Z29=0,0,Z60/Z29)</f>
        <v>8.10963906081882</v>
      </c>
      <c r="AA103" s="15" t="n">
        <f aca="false">IF(AA29=0,0,AA60/AA29)</f>
        <v>8.10453697832535</v>
      </c>
      <c r="AB103" s="15" t="n">
        <f aca="false">IF(AB29=0,0,AB60/AB29)</f>
        <v>8.09987020904921</v>
      </c>
      <c r="AC103" s="15" t="n">
        <f aca="false">IF(AC29=0,0,AC60/AC29)</f>
        <v>8.09553540425893</v>
      </c>
      <c r="AD103" s="15" t="n">
        <f aca="false">IF(AD29=0,0,AD60/AD29)</f>
        <v>8.09184857493655</v>
      </c>
      <c r="AE103" s="15" t="n">
        <f aca="false">IF(AE29=0,0,AE60/AE29)</f>
        <v>8.08843917484164</v>
      </c>
      <c r="AF103" s="15" t="n">
        <f aca="false">IF(AF29=0,0,AF60/AF29)</f>
        <v>8.08528887920519</v>
      </c>
      <c r="AG103" s="15" t="n">
        <f aca="false">IF(AG29=0,0,AG60/AG29)</f>
        <v>8.0823845234457</v>
      </c>
      <c r="AH103" s="15" t="n">
        <f aca="false">IF(AH29=0,0,AH60/AH29)</f>
        <v>8.07971254403126</v>
      </c>
      <c r="AI103" s="15" t="n">
        <f aca="false">IF(AI29=0,0,AI60/AI29)</f>
        <v>8.07725921218286</v>
      </c>
      <c r="AJ103" s="15" t="n">
        <f aca="false">IF(AJ29=0,0,AJ60/AJ29)</f>
        <v>8.07501088268966</v>
      </c>
      <c r="AK103" s="15" t="n">
        <f aca="false">IF(AK29=0,0,AK60/AK29)</f>
        <v>8.07295417901268</v>
      </c>
      <c r="AL103" s="15" t="n">
        <f aca="false">IF(AL29=0,0,AL60/AL29)</f>
        <v>8.07107612722724</v>
      </c>
    </row>
    <row r="104" customFormat="false" ht="15" hidden="false" customHeight="false" outlineLevel="0" collapsed="false">
      <c r="A104" s="6" t="s">
        <v>516</v>
      </c>
      <c r="B104" s="2" t="s">
        <v>517</v>
      </c>
      <c r="C104" s="14" t="n">
        <f aca="false">IF(((C11+C9)*Assumptions!$G$111)=0,0,(C10+C8)/((C11+C9)*Assumptions!$G$111))</f>
        <v>95.2380952380952</v>
      </c>
      <c r="D104" s="14" t="n">
        <f aca="false">IF(((D11+D9)*Assumptions!$G$111)=0,0,(D10+D8)/((D11+D9)*Assumptions!$G$111))</f>
        <v>95.2380952380952</v>
      </c>
      <c r="E104" s="14" t="n">
        <f aca="false">IF(((E11+E9)*Assumptions!$G$111)=0,0,(E10+E8)/((E11+E9)*Assumptions!$G$111))</f>
        <v>95.2380952380952</v>
      </c>
      <c r="F104" s="14" t="n">
        <f aca="false">IF(((F11+F9)*Assumptions!$G$111)=0,0,(F10+F8)/((F11+F9)*Assumptions!$G$111))</f>
        <v>104.804878753456</v>
      </c>
      <c r="G104" s="14" t="n">
        <f aca="false">IF(((G11+G9)*Assumptions!$G$111)=0,0,(G10+G8)/((G11+G9)*Assumptions!$G$111))</f>
        <v>104.858663583078</v>
      </c>
      <c r="H104" s="14" t="n">
        <f aca="false">IF(((H11+H9)*Assumptions!$G$111)=0,0,(H10+H8)/((H11+H9)*Assumptions!$G$111))</f>
        <v>104.912545399756</v>
      </c>
      <c r="I104" s="14" t="n">
        <f aca="false">IF(((I11+I9)*Assumptions!$G$111)=0,0,(I10+I8)/((I11+I9)*Assumptions!$G$111))</f>
        <v>104.966522084409</v>
      </c>
      <c r="J104" s="14" t="n">
        <f aca="false">IF(((J11+J9)*Assumptions!$G$111)=0,0,(J10+J8)/((J11+J9)*Assumptions!$G$111))</f>
        <v>105.020591502113</v>
      </c>
      <c r="K104" s="14" t="n">
        <f aca="false">IF(((K11+K9)*Assumptions!$G$111)=0,0,(K10+K8)/((K11+K9)*Assumptions!$G$111))</f>
        <v>105.07475150241</v>
      </c>
      <c r="L104" s="14" t="n">
        <f aca="false">IF(((L11+L9)*Assumptions!$G$111)=0,0,(L10+L8)/((L11+L9)*Assumptions!$G$111))</f>
        <v>105.128999919632</v>
      </c>
      <c r="M104" s="14" t="n">
        <f aca="false">IF(((M11+M9)*Assumptions!$G$111)=0,0,(M10+M8)/((M11+M9)*Assumptions!$G$111))</f>
        <v>105.183334573226</v>
      </c>
      <c r="N104" s="14" t="n">
        <f aca="false">IF(((N11+N9)*Assumptions!$G$111)=0,0,(N10+N8)/((N11+N9)*Assumptions!$G$111))</f>
        <v>105.237753268087</v>
      </c>
      <c r="O104" s="14" t="n">
        <f aca="false">IF(((O11+O9)*Assumptions!$G$111)=0,0,(O10+O8)/((O11+O9)*Assumptions!$G$111))</f>
        <v>105.292253794893</v>
      </c>
      <c r="P104" s="14" t="n">
        <f aca="false">IF(((P11+P9)*Assumptions!$G$111)=0,0,(P10+P8)/((P11+P9)*Assumptions!$G$111))</f>
        <v>105.346833930446</v>
      </c>
      <c r="Q104" s="14" t="n">
        <f aca="false">IF(((Q11+Q9)*Assumptions!$G$111)=0,0,(Q10+Q8)/((Q11+Q9)*Assumptions!$G$111))</f>
        <v>105.401491438022</v>
      </c>
      <c r="R104" s="14" t="n">
        <f aca="false">IF(((R11+R9)*Assumptions!$G$111)=0,0,(R10+R8)/((R11+R9)*Assumptions!$G$111))</f>
        <v>105.456224067718</v>
      </c>
      <c r="S104" s="14" t="n">
        <f aca="false">IF(((S11+S9)*Assumptions!$G$111)=0,0,(S10+S8)/((S11+S9)*Assumptions!$G$111))</f>
        <v>105.511029556812</v>
      </c>
      <c r="T104" s="14" t="n">
        <f aca="false">IF(((T11+T9)*Assumptions!$G$111)=0,0,(T10+T8)/((T11+T9)*Assumptions!$G$111))</f>
        <v>105.565905630119</v>
      </c>
      <c r="U104" s="14" t="n">
        <f aca="false">IF(((U11+U9)*Assumptions!$G$111)=0,0,(U10+U8)/((U11+U9)*Assumptions!$G$111))</f>
        <v>105.620850000361</v>
      </c>
      <c r="V104" s="14" t="n">
        <f aca="false">IF(((V11+V9)*Assumptions!$G$111)=0,0,(V10+V8)/((V11+V9)*Assumptions!$G$111))</f>
        <v>105.675860368535</v>
      </c>
      <c r="W104" s="14" t="n">
        <f aca="false">IF(((W11+W9)*Assumptions!$G$111)=0,0,(W10+W8)/((W11+W9)*Assumptions!$G$111))</f>
        <v>105.730934424284</v>
      </c>
      <c r="X104" s="14" t="n">
        <f aca="false">IF(((X11+X9)*Assumptions!$G$111)=0,0,(X10+X8)/((X11+X9)*Assumptions!$G$111))</f>
        <v>105.786069846279</v>
      </c>
      <c r="Y104" s="14" t="n">
        <f aca="false">IF(((Y11+Y9)*Assumptions!$G$111)=0,0,(Y10+Y8)/((Y11+Y9)*Assumptions!$G$111))</f>
        <v>105.841264302597</v>
      </c>
      <c r="Z104" s="14" t="n">
        <f aca="false">IF(((Z11+Z9)*Assumptions!$G$111)=0,0,(Z10+Z8)/((Z11+Z9)*Assumptions!$G$111))</f>
        <v>105.89651545111</v>
      </c>
      <c r="AA104" s="14" t="n">
        <f aca="false">IF(((AA11+AA9)*Assumptions!$G$111)=0,0,(AA10+AA8)/((AA11+AA9)*Assumptions!$G$111))</f>
        <v>105.951820939872</v>
      </c>
      <c r="AB104" s="14" t="n">
        <f aca="false">IF(((AB11+AB9)*Assumptions!$G$111)=0,0,(AB10+AB8)/((AB11+AB9)*Assumptions!$G$111))</f>
        <v>106.007178407514</v>
      </c>
      <c r="AC104" s="14" t="n">
        <f aca="false">IF(((AC11+AC9)*Assumptions!$G$111)=0,0,(AC10+AC8)/((AC11+AC9)*Assumptions!$G$111))</f>
        <v>106.062585483638</v>
      </c>
      <c r="AD104" s="14" t="n">
        <f aca="false">IF(((AD11+AD9)*Assumptions!$G$111)=0,0,(AD10+AD8)/((AD11+AD9)*Assumptions!$G$111))</f>
        <v>106.118039789219</v>
      </c>
      <c r="AE104" s="14" t="n">
        <f aca="false">IF(((AE11+AE9)*Assumptions!$G$111)=0,0,(AE10+AE8)/((AE11+AE9)*Assumptions!$G$111))</f>
        <v>106.173538937007</v>
      </c>
      <c r="AF104" s="14" t="n">
        <f aca="false">IF(((AF11+AF9)*Assumptions!$G$111)=0,0,(AF10+AF8)/((AF11+AF9)*Assumptions!$G$111))</f>
        <v>106.229080531932</v>
      </c>
      <c r="AG104" s="14" t="n">
        <f aca="false">IF(((AG11+AG9)*Assumptions!$G$111)=0,0,(AG10+AG8)/((AG11+AG9)*Assumptions!$G$111))</f>
        <v>106.284662171516</v>
      </c>
      <c r="AH104" s="14" t="n">
        <f aca="false">IF(((AH11+AH9)*Assumptions!$G$111)=0,0,(AH10+AH8)/((AH11+AH9)*Assumptions!$G$111))</f>
        <v>106.340281446281</v>
      </c>
      <c r="AI104" s="14" t="n">
        <f aca="false">IF(((AI11+AI9)*Assumptions!$G$111)=0,0,(AI10+AI8)/((AI11+AI9)*Assumptions!$G$111))</f>
        <v>106.395935940165</v>
      </c>
      <c r="AJ104" s="14" t="n">
        <f aca="false">IF(((AJ11+AJ9)*Assumptions!$G$111)=0,0,(AJ10+AJ8)/((AJ11+AJ9)*Assumptions!$G$111))</f>
        <v>106.451623230937</v>
      </c>
      <c r="AK104" s="14" t="n">
        <f aca="false">IF(((AK11+AK9)*Assumptions!$G$111)=0,0,(AK10+AK8)/((AK11+AK9)*Assumptions!$G$111))</f>
        <v>106.50734089062</v>
      </c>
      <c r="AL104" s="14" t="n">
        <f aca="false">IF(((AL11+AL9)*Assumptions!$G$111)=0,0,(AL10+AL8)/((AL11+AL9)*Assumptions!$G$111))</f>
        <v>106.563086485906</v>
      </c>
    </row>
    <row r="105" customFormat="false" ht="15" hidden="false" customHeight="false" outlineLevel="0" collapsed="false">
      <c r="A105" s="6" t="s">
        <v>518</v>
      </c>
      <c r="B105" s="2" t="s">
        <v>519</v>
      </c>
      <c r="C105" s="8" t="n">
        <f aca="false">IF((C91&gt;=0),1,0)</f>
        <v>0</v>
      </c>
      <c r="D105" s="8" t="n">
        <f aca="false">IF((D91&gt;=0),1,0)</f>
        <v>0</v>
      </c>
      <c r="E105" s="8" t="n">
        <f aca="false">IF((E91&gt;=0),1,0)</f>
        <v>1</v>
      </c>
      <c r="F105" s="8" t="n">
        <f aca="false">IF((F91&gt;=0),1,0)</f>
        <v>1</v>
      </c>
      <c r="G105" s="8" t="n">
        <f aca="false">IF((G91&gt;=0),1,0)</f>
        <v>1</v>
      </c>
      <c r="H105" s="8" t="n">
        <f aca="false">IF((H91&gt;=0),1,0)</f>
        <v>1</v>
      </c>
      <c r="I105" s="8" t="n">
        <f aca="false">IF((I91&gt;=0),1,0)</f>
        <v>1</v>
      </c>
      <c r="J105" s="8" t="n">
        <f aca="false">IF((J91&gt;=0),1,0)</f>
        <v>1</v>
      </c>
      <c r="K105" s="8" t="n">
        <f aca="false">IF((K91&gt;=0),1,0)</f>
        <v>1</v>
      </c>
      <c r="L105" s="8" t="n">
        <f aca="false">IF((L91&gt;=0),1,0)</f>
        <v>1</v>
      </c>
      <c r="M105" s="8" t="n">
        <f aca="false">IF((M91&gt;=0),1,0)</f>
        <v>1</v>
      </c>
      <c r="N105" s="8" t="n">
        <f aca="false">IF((N91&gt;=0),1,0)</f>
        <v>1</v>
      </c>
      <c r="O105" s="8" t="n">
        <f aca="false">IF((O91&gt;=0),1,0)</f>
        <v>1</v>
      </c>
      <c r="P105" s="8" t="n">
        <f aca="false">IF((P91&gt;=0),1,0)</f>
        <v>1</v>
      </c>
      <c r="Q105" s="8" t="n">
        <f aca="false">IF((Q91&gt;=0),1,0)</f>
        <v>1</v>
      </c>
      <c r="R105" s="8" t="n">
        <f aca="false">IF((R91&gt;=0),1,0)</f>
        <v>1</v>
      </c>
      <c r="S105" s="8" t="n">
        <f aca="false">IF((S91&gt;=0),1,0)</f>
        <v>1</v>
      </c>
      <c r="T105" s="8" t="n">
        <f aca="false">IF((T91&gt;=0),1,0)</f>
        <v>1</v>
      </c>
      <c r="U105" s="8" t="n">
        <f aca="false">IF((U91&gt;=0),1,0)</f>
        <v>1</v>
      </c>
      <c r="V105" s="8" t="n">
        <f aca="false">IF((V91&gt;=0),1,0)</f>
        <v>1</v>
      </c>
      <c r="W105" s="8" t="n">
        <f aca="false">IF((W91&gt;=0),1,0)</f>
        <v>1</v>
      </c>
      <c r="X105" s="8" t="n">
        <f aca="false">IF((X91&gt;=0),1,0)</f>
        <v>1</v>
      </c>
      <c r="Y105" s="8" t="n">
        <f aca="false">IF((Y91&gt;=0),1,0)</f>
        <v>1</v>
      </c>
      <c r="Z105" s="8" t="n">
        <f aca="false">IF((Z91&gt;=0),1,0)</f>
        <v>1</v>
      </c>
      <c r="AA105" s="8" t="n">
        <f aca="false">IF((AA91&gt;=0),1,0)</f>
        <v>1</v>
      </c>
      <c r="AB105" s="8" t="n">
        <f aca="false">IF((AB91&gt;=0),1,0)</f>
        <v>1</v>
      </c>
      <c r="AC105" s="8" t="n">
        <f aca="false">IF((AC91&gt;=0),1,0)</f>
        <v>1</v>
      </c>
      <c r="AD105" s="8" t="n">
        <f aca="false">IF((AD91&gt;=0),1,0)</f>
        <v>1</v>
      </c>
      <c r="AE105" s="8" t="n">
        <f aca="false">IF((AE91&gt;=0),1,0)</f>
        <v>1</v>
      </c>
      <c r="AF105" s="8" t="n">
        <f aca="false">IF((AF91&gt;=0),1,0)</f>
        <v>1</v>
      </c>
      <c r="AG105" s="8" t="n">
        <f aca="false">IF((AG91&gt;=0),1,0)</f>
        <v>1</v>
      </c>
      <c r="AH105" s="8" t="n">
        <f aca="false">IF((AH91&gt;=0),1,0)</f>
        <v>1</v>
      </c>
      <c r="AI105" s="8" t="n">
        <f aca="false">IF((AI91&gt;=0),1,0)</f>
        <v>1</v>
      </c>
      <c r="AJ105" s="8" t="n">
        <f aca="false">IF((AJ91&gt;=0),1,0)</f>
        <v>1</v>
      </c>
      <c r="AK105" s="8" t="n">
        <f aca="false">IF((AK91&gt;=0),1,0)</f>
        <v>1</v>
      </c>
      <c r="AL105" s="8" t="n">
        <f aca="false">IF((AL91&gt;=0),1,0)</f>
        <v>1</v>
      </c>
    </row>
    <row r="106" customFormat="false" ht="15" hidden="false" customHeight="false" outlineLevel="0" collapsed="false">
      <c r="A106" s="6" t="s">
        <v>520</v>
      </c>
      <c r="B106" s="2" t="s">
        <v>521</v>
      </c>
      <c r="C106" s="8" t="n">
        <f aca="false">IF(AND((C91&gt;=0),(D106=1)),1,0)</f>
        <v>0</v>
      </c>
      <c r="D106" s="8" t="n">
        <f aca="false">IF(AND((D91&gt;=0),(E106=1)),1,0)</f>
        <v>0</v>
      </c>
      <c r="E106" s="8" t="n">
        <f aca="false">IF(AND((E91&gt;=0),(F106=1)),1,0)</f>
        <v>1</v>
      </c>
      <c r="F106" s="8" t="n">
        <f aca="false">IF(AND((F91&gt;=0),(G106=1)),1,0)</f>
        <v>1</v>
      </c>
      <c r="G106" s="8" t="n">
        <f aca="false">IF(AND((G91&gt;=0),(H106=1)),1,0)</f>
        <v>1</v>
      </c>
      <c r="H106" s="8" t="n">
        <f aca="false">IF(AND((H91&gt;=0),(I106=1)),1,0)</f>
        <v>1</v>
      </c>
      <c r="I106" s="8" t="n">
        <f aca="false">IF(AND((I91&gt;=0),(J106=1)),1,0)</f>
        <v>1</v>
      </c>
      <c r="J106" s="8" t="n">
        <f aca="false">IF(AND((J91&gt;=0),(K106=1)),1,0)</f>
        <v>1</v>
      </c>
      <c r="K106" s="8" t="n">
        <f aca="false">IF(AND((K91&gt;=0),(L106=1)),1,0)</f>
        <v>1</v>
      </c>
      <c r="L106" s="8" t="n">
        <f aca="false">IF(AND((L91&gt;=0),(M106=1)),1,0)</f>
        <v>1</v>
      </c>
      <c r="M106" s="8" t="n">
        <f aca="false">IF(AND((M91&gt;=0),(N106=1)),1,0)</f>
        <v>1</v>
      </c>
      <c r="N106" s="8" t="n">
        <f aca="false">IF(AND((N91&gt;=0),(O106=1)),1,0)</f>
        <v>1</v>
      </c>
      <c r="O106" s="8" t="n">
        <f aca="false">IF(AND((O91&gt;=0),(P106=1)),1,0)</f>
        <v>1</v>
      </c>
      <c r="P106" s="8" t="n">
        <f aca="false">IF(AND((P91&gt;=0),(Q106=1)),1,0)</f>
        <v>1</v>
      </c>
      <c r="Q106" s="8" t="n">
        <f aca="false">IF(AND((Q91&gt;=0),(R106=1)),1,0)</f>
        <v>1</v>
      </c>
      <c r="R106" s="8" t="n">
        <f aca="false">IF(AND((R91&gt;=0),(S106=1)),1,0)</f>
        <v>1</v>
      </c>
      <c r="S106" s="8" t="n">
        <f aca="false">IF(AND((S91&gt;=0),(T106=1)),1,0)</f>
        <v>1</v>
      </c>
      <c r="T106" s="8" t="n">
        <f aca="false">IF(AND((T91&gt;=0),(U106=1)),1,0)</f>
        <v>1</v>
      </c>
      <c r="U106" s="8" t="n">
        <f aca="false">IF(AND((U91&gt;=0),(V106=1)),1,0)</f>
        <v>1</v>
      </c>
      <c r="V106" s="8" t="n">
        <f aca="false">IF(AND((V91&gt;=0),(W106=1)),1,0)</f>
        <v>1</v>
      </c>
      <c r="W106" s="8" t="n">
        <f aca="false">IF(AND((W91&gt;=0),(X106=1)),1,0)</f>
        <v>1</v>
      </c>
      <c r="X106" s="8" t="n">
        <f aca="false">IF(AND((X91&gt;=0),(Y106=1)),1,0)</f>
        <v>1</v>
      </c>
      <c r="Y106" s="8" t="n">
        <f aca="false">IF(AND((Y91&gt;=0),(Z106=1)),1,0)</f>
        <v>1</v>
      </c>
      <c r="Z106" s="8" t="n">
        <f aca="false">IF(AND((Z91&gt;=0),(AA106=1)),1,0)</f>
        <v>1</v>
      </c>
      <c r="AA106" s="8" t="n">
        <f aca="false">IF(AND((AA91&gt;=0),(AB106=1)),1,0)</f>
        <v>1</v>
      </c>
      <c r="AB106" s="8" t="n">
        <f aca="false">IF(AND((AB91&gt;=0),(AC106=1)),1,0)</f>
        <v>1</v>
      </c>
      <c r="AC106" s="8" t="n">
        <f aca="false">IF(AND((AC91&gt;=0),(AD106=1)),1,0)</f>
        <v>1</v>
      </c>
      <c r="AD106" s="8" t="n">
        <f aca="false">IF(AND((AD91&gt;=0),(AE106=1)),1,0)</f>
        <v>1</v>
      </c>
      <c r="AE106" s="8" t="n">
        <f aca="false">IF(AND((AE91&gt;=0),(AF106=1)),1,0)</f>
        <v>1</v>
      </c>
      <c r="AF106" s="8" t="n">
        <f aca="false">IF(AND((AF91&gt;=0),(AG106=1)),1,0)</f>
        <v>1</v>
      </c>
      <c r="AG106" s="8" t="n">
        <f aca="false">IF(AND((AG91&gt;=0),(AH106=1)),1,0)</f>
        <v>1</v>
      </c>
      <c r="AH106" s="8" t="n">
        <f aca="false">IF(AND((AH91&gt;=0),(AI106=1)),1,0)</f>
        <v>1</v>
      </c>
      <c r="AI106" s="8" t="n">
        <f aca="false">IF(AND((AI91&gt;=0),(AJ106=1)),1,0)</f>
        <v>1</v>
      </c>
      <c r="AJ106" s="8" t="n">
        <f aca="false">IF(AND((AJ91&gt;=0),(AK106=1)),1,0)</f>
        <v>1</v>
      </c>
      <c r="AK106" s="8" t="n">
        <f aca="false">IF(AND((AK91&gt;=0),(AL106=1)),1,0)</f>
        <v>1</v>
      </c>
      <c r="AL106" s="8" t="n">
        <f aca="false">IF((AL91&gt;=0),1,0)</f>
        <v>1</v>
      </c>
    </row>
    <row r="107" customFormat="false" ht="15" hidden="false" customHeight="false" outlineLevel="0" collapsed="false">
      <c r="A107" s="6" t="s">
        <v>522</v>
      </c>
      <c r="B107" s="2" t="s">
        <v>523</v>
      </c>
      <c r="C107" s="8" t="n">
        <f aca="false">IF(AND((C98&gt;=0),(D107=1)),1,0)</f>
        <v>0</v>
      </c>
      <c r="D107" s="8" t="n">
        <f aca="false">IF(AND((D98&gt;=0),(E107=1)),1,0)</f>
        <v>1</v>
      </c>
      <c r="E107" s="8" t="n">
        <f aca="false">IF(AND((E98&gt;=0),(F107=1)),1,0)</f>
        <v>1</v>
      </c>
      <c r="F107" s="8" t="n">
        <f aca="false">IF(AND((F98&gt;=0),(G107=1)),1,0)</f>
        <v>1</v>
      </c>
      <c r="G107" s="8" t="n">
        <f aca="false">IF(AND((G98&gt;=0),(H107=1)),1,0)</f>
        <v>1</v>
      </c>
      <c r="H107" s="8" t="n">
        <f aca="false">IF(AND((H98&gt;=0),(I107=1)),1,0)</f>
        <v>1</v>
      </c>
      <c r="I107" s="8" t="n">
        <f aca="false">IF(AND((I98&gt;=0),(J107=1)),1,0)</f>
        <v>1</v>
      </c>
      <c r="J107" s="8" t="n">
        <f aca="false">IF(AND((J98&gt;=0),(K107=1)),1,0)</f>
        <v>1</v>
      </c>
      <c r="K107" s="8" t="n">
        <f aca="false">IF(AND((K98&gt;=0),(L107=1)),1,0)</f>
        <v>1</v>
      </c>
      <c r="L107" s="8" t="n">
        <f aca="false">IF(AND((L98&gt;=0),(M107=1)),1,0)</f>
        <v>1</v>
      </c>
      <c r="M107" s="8" t="n">
        <f aca="false">IF(AND((M98&gt;=0),(N107=1)),1,0)</f>
        <v>1</v>
      </c>
      <c r="N107" s="8" t="n">
        <f aca="false">IF(AND((N98&gt;=0),(O107=1)),1,0)</f>
        <v>1</v>
      </c>
      <c r="O107" s="8" t="n">
        <f aca="false">IF(AND((O98&gt;=0),(P107=1)),1,0)</f>
        <v>1</v>
      </c>
      <c r="P107" s="8" t="n">
        <f aca="false">IF(AND((P98&gt;=0),(Q107=1)),1,0)</f>
        <v>1</v>
      </c>
      <c r="Q107" s="8" t="n">
        <f aca="false">IF(AND((Q98&gt;=0),(R107=1)),1,0)</f>
        <v>1</v>
      </c>
      <c r="R107" s="8" t="n">
        <f aca="false">IF(AND((R98&gt;=0),(S107=1)),1,0)</f>
        <v>1</v>
      </c>
      <c r="S107" s="8" t="n">
        <f aca="false">IF(AND((S98&gt;=0),(T107=1)),1,0)</f>
        <v>1</v>
      </c>
      <c r="T107" s="8" t="n">
        <f aca="false">IF(AND((T98&gt;=0),(U107=1)),1,0)</f>
        <v>1</v>
      </c>
      <c r="U107" s="8" t="n">
        <f aca="false">IF(AND((U98&gt;=0),(V107=1)),1,0)</f>
        <v>1</v>
      </c>
      <c r="V107" s="8" t="n">
        <f aca="false">IF(AND((V98&gt;=0),(W107=1)),1,0)</f>
        <v>1</v>
      </c>
      <c r="W107" s="8" t="n">
        <f aca="false">IF(AND((W98&gt;=0),(X107=1)),1,0)</f>
        <v>1</v>
      </c>
      <c r="X107" s="8" t="n">
        <f aca="false">IF(AND((X98&gt;=0),(Y107=1)),1,0)</f>
        <v>1</v>
      </c>
      <c r="Y107" s="8" t="n">
        <f aca="false">IF(AND((Y98&gt;=0),(Z107=1)),1,0)</f>
        <v>1</v>
      </c>
      <c r="Z107" s="8" t="n">
        <f aca="false">IF(AND((Z98&gt;=0),(AA107=1)),1,0)</f>
        <v>1</v>
      </c>
      <c r="AA107" s="8" t="n">
        <f aca="false">IF(AND((AA98&gt;=0),(AB107=1)),1,0)</f>
        <v>1</v>
      </c>
      <c r="AB107" s="8" t="n">
        <f aca="false">IF(AND((AB98&gt;=0),(AC107=1)),1,0)</f>
        <v>1</v>
      </c>
      <c r="AC107" s="8" t="n">
        <f aca="false">IF(AND((AC98&gt;=0),(AD107=1)),1,0)</f>
        <v>1</v>
      </c>
      <c r="AD107" s="8" t="n">
        <f aca="false">IF(AND((AD98&gt;=0),(AE107=1)),1,0)</f>
        <v>1</v>
      </c>
      <c r="AE107" s="8" t="n">
        <f aca="false">IF(AND((AE98&gt;=0),(AF107=1)),1,0)</f>
        <v>1</v>
      </c>
      <c r="AF107" s="8" t="n">
        <f aca="false">IF(AND((AF98&gt;=0),(AG107=1)),1,0)</f>
        <v>1</v>
      </c>
      <c r="AG107" s="8" t="n">
        <f aca="false">IF(AND((AG98&gt;=0),(AH107=1)),1,0)</f>
        <v>1</v>
      </c>
      <c r="AH107" s="8" t="n">
        <f aca="false">IF(AND((AH98&gt;=0),(AI107=1)),1,0)</f>
        <v>1</v>
      </c>
      <c r="AI107" s="8" t="n">
        <f aca="false">IF(AND((AI98&gt;=0),(AJ107=1)),1,0)</f>
        <v>1</v>
      </c>
      <c r="AJ107" s="8" t="n">
        <f aca="false">IF(AND((AJ98&gt;=0),(AK107=1)),1,0)</f>
        <v>1</v>
      </c>
      <c r="AK107" s="8" t="n">
        <f aca="false">IF(AND((AK98&gt;=0),(AL107=1)),1,0)</f>
        <v>1</v>
      </c>
      <c r="AL107" s="8" t="n">
        <f aca="false">IF((AL98&gt;=0),1,0)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5" min="2" style="0" width="15"/>
  </cols>
  <sheetData>
    <row r="1" customFormat="false" ht="16.15" hidden="false" customHeight="false" outlineLevel="0" collapsed="false">
      <c r="A1" s="1" t="s">
        <v>526</v>
      </c>
    </row>
    <row r="3" customFormat="false" ht="15" hidden="false" customHeight="false" outlineLevel="0" collapsed="false">
      <c r="A3" s="3" t="s">
        <v>527</v>
      </c>
      <c r="B3" s="3" t="s">
        <v>528</v>
      </c>
      <c r="C3" s="3" t="s">
        <v>529</v>
      </c>
      <c r="D3" s="3" t="s">
        <v>530</v>
      </c>
      <c r="E3" s="3" t="s">
        <v>531</v>
      </c>
    </row>
    <row r="4" customFormat="false" ht="15" hidden="false" customHeight="false" outlineLevel="0" collapsed="false">
      <c r="A4" s="4" t="s">
        <v>426</v>
      </c>
      <c r="B4" s="5"/>
      <c r="C4" s="5"/>
      <c r="D4" s="5"/>
      <c r="E4" s="5"/>
    </row>
    <row r="5" customFormat="false" ht="15" hidden="false" customHeight="false" outlineLevel="0" collapsed="false">
      <c r="A5" s="6" t="s">
        <v>435</v>
      </c>
      <c r="B5" s="14" t="n">
        <f aca="false">SUM(Monthly_Base!$C$57:$N$57)</f>
        <v>22877.071351155</v>
      </c>
      <c r="C5" s="14" t="n">
        <f aca="false">SUM(Monthly_Base!$O$57:$Z$57)</f>
        <v>75508.9648299453</v>
      </c>
      <c r="D5" s="14" t="n">
        <f aca="false">SUM(Monthly_Base!$AA$57:$AL$57)</f>
        <v>175438.994836055</v>
      </c>
      <c r="E5" s="14" t="n">
        <f aca="false">SUM(Monthly_Base!$C$57:$AL$57)</f>
        <v>273825.031017155</v>
      </c>
    </row>
    <row r="6" customFormat="false" ht="15" hidden="false" customHeight="false" outlineLevel="0" collapsed="false">
      <c r="A6" s="6" t="s">
        <v>437</v>
      </c>
      <c r="B6" s="14" t="n">
        <f aca="false">SUM(Monthly_Base!$C$58:$N$58)</f>
        <v>-457.5414270231</v>
      </c>
      <c r="C6" s="14" t="n">
        <f aca="false">SUM(Monthly_Base!$O$58:$Z$58)</f>
        <v>-1510.17929659891</v>
      </c>
      <c r="D6" s="14" t="n">
        <f aca="false">SUM(Monthly_Base!$AA$58:$AL$58)</f>
        <v>-3508.7798967211</v>
      </c>
      <c r="E6" s="14" t="n">
        <f aca="false">SUM(Monthly_Base!$C$58:$AL$58)</f>
        <v>-5476.5006203431</v>
      </c>
    </row>
    <row r="7" customFormat="false" ht="15" hidden="false" customHeight="false" outlineLevel="0" collapsed="false">
      <c r="A7" s="6" t="s">
        <v>439</v>
      </c>
      <c r="B7" s="14" t="n">
        <f aca="false">SUM(Monthly_Base!$C$59:$N$59)</f>
        <v>-3362.92948861978</v>
      </c>
      <c r="C7" s="14" t="n">
        <f aca="false">SUM(Monthly_Base!$O$59:$Z$59)</f>
        <v>-11099.817830002</v>
      </c>
      <c r="D7" s="14" t="n">
        <f aca="false">SUM(Monthly_Base!$AA$59:$AL$59)</f>
        <v>-25789.5322409001</v>
      </c>
      <c r="E7" s="14" t="n">
        <f aca="false">SUM(Monthly_Base!$C$59:$AL$59)</f>
        <v>-40252.2795595218</v>
      </c>
    </row>
    <row r="8" customFormat="false" ht="15" hidden="false" customHeight="false" outlineLevel="0" collapsed="false">
      <c r="A8" s="24" t="s">
        <v>532</v>
      </c>
      <c r="B8" s="23" t="n">
        <f aca="false">SUM(Monthly_Base!$C$60:$N$60)</f>
        <v>19056.6004355121</v>
      </c>
      <c r="C8" s="23" t="n">
        <f aca="false">SUM(Monthly_Base!$O$60:$Z$60)</f>
        <v>62898.9677033444</v>
      </c>
      <c r="D8" s="23" t="n">
        <f aca="false">SUM(Monthly_Base!$AA$60:$AL$60)</f>
        <v>146140.682698434</v>
      </c>
      <c r="E8" s="23" t="n">
        <f aca="false">SUM(Monthly_Base!$C$60:$AL$60)</f>
        <v>228096.25083729</v>
      </c>
    </row>
    <row r="9" customFormat="false" ht="15" hidden="false" customHeight="false" outlineLevel="0" collapsed="false">
      <c r="A9" s="6" t="s">
        <v>533</v>
      </c>
      <c r="B9" s="14" t="n">
        <f aca="false">SUM(Monthly_Base!$C$64:$N$64)</f>
        <v>673.206975411357</v>
      </c>
      <c r="C9" s="14" t="n">
        <f aca="false">SUM(Monthly_Base!$O$64:$Z$64)</f>
        <v>2088.79755920874</v>
      </c>
      <c r="D9" s="14" t="n">
        <f aca="false">SUM(Monthly_Base!$AA$64:$AL$64)</f>
        <v>4745.08094600462</v>
      </c>
      <c r="E9" s="14" t="n">
        <f aca="false">SUM(Monthly_Base!$C$64:$AL$64)</f>
        <v>7507.08548062472</v>
      </c>
    </row>
    <row r="10" customFormat="false" ht="15" hidden="false" customHeight="false" outlineLevel="0" collapsed="false">
      <c r="A10" s="6" t="s">
        <v>162</v>
      </c>
      <c r="B10" s="14" t="n">
        <f aca="false">SUM(Monthly_Base!$C$65:$N$65)</f>
        <v>214.894019956927</v>
      </c>
      <c r="C10" s="14" t="n">
        <f aca="false">SUM(Monthly_Base!$O$65:$Z$65)</f>
        <v>890.882354602233</v>
      </c>
      <c r="D10" s="14" t="n">
        <f aca="false">SUM(Monthly_Base!$AA$65:$AL$65)</f>
        <v>2031.23799244482</v>
      </c>
      <c r="E10" s="14" t="n">
        <f aca="false">SUM(Monthly_Base!$C$65:$AL$65)</f>
        <v>3137.01436700398</v>
      </c>
    </row>
    <row r="11" customFormat="false" ht="15" hidden="false" customHeight="false" outlineLevel="0" collapsed="false">
      <c r="A11" s="6" t="s">
        <v>534</v>
      </c>
      <c r="B11" s="14" t="n">
        <f aca="false">SUM(Monthly_Base!$C$66:$N$66)</f>
        <v>0</v>
      </c>
      <c r="C11" s="14" t="n">
        <f aca="false">SUM(Monthly_Base!$O$66:$Z$66)</f>
        <v>0</v>
      </c>
      <c r="D11" s="14" t="n">
        <f aca="false">SUM(Monthly_Base!$AA$66:$AL$66)</f>
        <v>0</v>
      </c>
      <c r="E11" s="14" t="n">
        <f aca="false">SUM(Monthly_Base!$C$66:$AL$66)</f>
        <v>0</v>
      </c>
    </row>
    <row r="12" customFormat="false" ht="15" hidden="false" customHeight="false" outlineLevel="0" collapsed="false">
      <c r="A12" s="24" t="s">
        <v>454</v>
      </c>
      <c r="B12" s="23" t="n">
        <f aca="false">SUM(Monthly_Base!$C$67:$N$67)</f>
        <v>19944.7014308804</v>
      </c>
      <c r="C12" s="23" t="n">
        <f aca="false">SUM(Monthly_Base!$O$67:$Z$67)</f>
        <v>65878.6476171554</v>
      </c>
      <c r="D12" s="23" t="n">
        <f aca="false">SUM(Monthly_Base!$AA$67:$AL$67)</f>
        <v>152917.001636883</v>
      </c>
      <c r="E12" s="23" t="n">
        <f aca="false">SUM(Monthly_Base!$C$67:$AL$67)</f>
        <v>238740.350684919</v>
      </c>
    </row>
    <row r="13" customFormat="false" ht="15" hidden="false" customHeight="false" outlineLevel="0" collapsed="false">
      <c r="A13" s="4" t="s">
        <v>535</v>
      </c>
      <c r="B13" s="5"/>
      <c r="C13" s="5"/>
      <c r="D13" s="5"/>
      <c r="E13" s="5"/>
    </row>
    <row r="14" customFormat="false" ht="15" hidden="false" customHeight="false" outlineLevel="0" collapsed="false">
      <c r="A14" s="6" t="s">
        <v>536</v>
      </c>
      <c r="B14" s="14" t="n">
        <f aca="false">SUM(Monthly_Base!$C$70:$N$70)</f>
        <v>4800</v>
      </c>
      <c r="C14" s="14" t="n">
        <f aca="false">SUM(Monthly_Base!$O$70:$Z$70)</f>
        <v>4800</v>
      </c>
      <c r="D14" s="14" t="n">
        <f aca="false">SUM(Monthly_Base!$AA$70:$AL$70)</f>
        <v>4800</v>
      </c>
      <c r="E14" s="14" t="n">
        <f aca="false">SUM(Monthly_Base!$C$70:$AL$70)</f>
        <v>14400</v>
      </c>
    </row>
    <row r="15" customFormat="false" ht="15" hidden="false" customHeight="false" outlineLevel="0" collapsed="false">
      <c r="A15" s="6" t="s">
        <v>459</v>
      </c>
      <c r="B15" s="14" t="n">
        <f aca="false">SUM(Monthly_Base!$C$71:$N$71)</f>
        <v>0</v>
      </c>
      <c r="C15" s="14" t="n">
        <f aca="false">SUM(Monthly_Base!$O$71:$Z$71)</f>
        <v>11301.932840425</v>
      </c>
      <c r="D15" s="14" t="n">
        <f aca="false">SUM(Monthly_Base!$AA$71:$AL$71)</f>
        <v>24669.0116623895</v>
      </c>
      <c r="E15" s="14" t="n">
        <f aca="false">SUM(Monthly_Base!$C$71:$AL$71)</f>
        <v>35970.9445028146</v>
      </c>
    </row>
    <row r="16" customFormat="false" ht="15" hidden="false" customHeight="false" outlineLevel="0" collapsed="false">
      <c r="A16" s="6" t="s">
        <v>537</v>
      </c>
      <c r="B16" s="14" t="n">
        <f aca="false">SUM(Monthly_Base!$C$72:$N$72)</f>
        <v>922.963342612417</v>
      </c>
      <c r="C16" s="14" t="n">
        <f aca="false">SUM(Monthly_Base!$O$72:$Z$72)</f>
        <v>1490.88235460223</v>
      </c>
      <c r="D16" s="14" t="n">
        <f aca="false">SUM(Monthly_Base!$AA$72:$AL$72)</f>
        <v>2631.23799244482</v>
      </c>
      <c r="E16" s="14" t="n">
        <f aca="false">SUM(Monthly_Base!$C$72:$AL$72)</f>
        <v>5045.08368965948</v>
      </c>
    </row>
    <row r="17" customFormat="false" ht="15" hidden="false" customHeight="false" outlineLevel="0" collapsed="false">
      <c r="A17" s="6" t="s">
        <v>538</v>
      </c>
      <c r="B17" s="14" t="n">
        <f aca="false">SUM(Monthly_Base!$C$73:$N$73)</f>
        <v>1082.6009234459</v>
      </c>
      <c r="C17" s="14" t="n">
        <f aca="false">SUM(Monthly_Base!$O$73:$Z$73)</f>
        <v>4983.86462586114</v>
      </c>
      <c r="D17" s="14" t="n">
        <f aca="false">SUM(Monthly_Base!$AA$73:$AL$73)</f>
        <v>11656.4500633008</v>
      </c>
      <c r="E17" s="14" t="n">
        <f aca="false">SUM(Monthly_Base!$C$73:$AL$73)</f>
        <v>17722.9156126078</v>
      </c>
    </row>
    <row r="18" customFormat="false" ht="15" hidden="false" customHeight="false" outlineLevel="0" collapsed="false">
      <c r="A18" s="6" t="s">
        <v>539</v>
      </c>
      <c r="B18" s="14" t="n">
        <f aca="false">SUM(Monthly_Base!$C$74:$N$74)</f>
        <v>77.9176084732401</v>
      </c>
      <c r="C18" s="14" t="n">
        <f aca="false">SUM(Monthly_Base!$O$74:$Z$74)</f>
        <v>660.98248611819</v>
      </c>
      <c r="D18" s="14" t="n">
        <f aca="false">SUM(Monthly_Base!$AA$74:$AL$74)</f>
        <v>1879.2020931964</v>
      </c>
      <c r="E18" s="14" t="n">
        <f aca="false">SUM(Monthly_Base!$C$74:$AL$74)</f>
        <v>2618.10218778783</v>
      </c>
    </row>
    <row r="19" customFormat="false" ht="15" hidden="false" customHeight="false" outlineLevel="0" collapsed="false">
      <c r="A19" s="6" t="s">
        <v>540</v>
      </c>
      <c r="B19" s="14" t="n">
        <f aca="false">SUM(Monthly_Base!$C$75:$N$75)</f>
        <v>0</v>
      </c>
      <c r="C19" s="14" t="n">
        <f aca="false">SUM(Monthly_Base!$O$75:$Z$75)</f>
        <v>0</v>
      </c>
      <c r="D19" s="14" t="n">
        <f aca="false">SUM(Monthly_Base!$AA$75:$AL$75)</f>
        <v>0</v>
      </c>
      <c r="E19" s="14" t="n">
        <f aca="false">SUM(Monthly_Base!$C$75:$AL$75)</f>
        <v>0</v>
      </c>
    </row>
    <row r="20" customFormat="false" ht="15" hidden="false" customHeight="false" outlineLevel="0" collapsed="false">
      <c r="A20" s="24" t="s">
        <v>469</v>
      </c>
      <c r="B20" s="23" t="n">
        <f aca="false">SUM(Monthly_Base!$C$76:$N$76)</f>
        <v>6883.48187453156</v>
      </c>
      <c r="C20" s="23" t="n">
        <f aca="false">SUM(Monthly_Base!$O$76:$Z$76)</f>
        <v>23237.6623070066</v>
      </c>
      <c r="D20" s="23" t="n">
        <f aca="false">SUM(Monthly_Base!$AA$76:$AL$76)</f>
        <v>45635.9018113315</v>
      </c>
      <c r="E20" s="23" t="n">
        <f aca="false">SUM(Monthly_Base!$C$76:$AL$76)</f>
        <v>75757.0459928697</v>
      </c>
    </row>
    <row r="21" customFormat="false" ht="15" hidden="false" customHeight="false" outlineLevel="0" collapsed="false">
      <c r="A21" s="24" t="s">
        <v>471</v>
      </c>
      <c r="B21" s="23" t="n">
        <f aca="false">SUM(Monthly_Base!$C$77:$N$77)</f>
        <v>13061.2195563488</v>
      </c>
      <c r="C21" s="23" t="n">
        <f aca="false">SUM(Monthly_Base!$O$77:$Z$77)</f>
        <v>42640.9853101488</v>
      </c>
      <c r="D21" s="23" t="n">
        <f aca="false">SUM(Monthly_Base!$AA$77:$AL$77)</f>
        <v>107281.099825552</v>
      </c>
      <c r="E21" s="23" t="n">
        <f aca="false">SUM(Monthly_Base!$C$77:$AL$77)</f>
        <v>162983.304692049</v>
      </c>
    </row>
    <row r="22" customFormat="false" ht="15" hidden="false" customHeight="false" outlineLevel="0" collapsed="false">
      <c r="A22" s="6" t="s">
        <v>473</v>
      </c>
      <c r="B22" s="16" t="n">
        <f aca="false">IF(SUM(Monthly_Base!$C$67:$N$67)=0,0,SUM(Monthly_Base!$C$77:$N$77)/SUM(Monthly_Base!$C$67:$N$67))</f>
        <v>0.654871651080529</v>
      </c>
      <c r="C22" s="16" t="n">
        <f aca="false">IF(SUM(Monthly_Base!$O$67:$Z$67)=0,0,SUM(Monthly_Base!$O$77:$Z$77)/SUM(Monthly_Base!$O$67:$Z$67))</f>
        <v>0.647265644521894</v>
      </c>
      <c r="D22" s="16" t="n">
        <f aca="false">IF(SUM(Monthly_Base!$AA$67:$AL$67)=0,0,SUM(Monthly_Base!$AA$77:$AL$77)/SUM(Monthly_Base!$AA$67:$AL$67))</f>
        <v>0.701564238620774</v>
      </c>
      <c r="E22" s="16" t="n">
        <f aca="false">IF(SUM(Monthly_Base!$C$67:$AL$67)=0,0,SUM(Monthly_Base!$C$77:$AL$77)/SUM(Monthly_Base!$C$67:$AL$67))</f>
        <v>0.682680176285528</v>
      </c>
    </row>
    <row r="23" customFormat="false" ht="15" hidden="false" customHeight="false" outlineLevel="0" collapsed="false">
      <c r="A23" s="4" t="s">
        <v>475</v>
      </c>
      <c r="B23" s="5"/>
      <c r="C23" s="5"/>
      <c r="D23" s="5"/>
      <c r="E23" s="5"/>
    </row>
    <row r="24" customFormat="false" ht="15" hidden="false" customHeight="false" outlineLevel="0" collapsed="false">
      <c r="A24" s="6" t="s">
        <v>476</v>
      </c>
      <c r="B24" s="14" t="n">
        <f aca="false">SUM(Monthly_Base!$C$81:$N$81)</f>
        <v>0</v>
      </c>
      <c r="C24" s="14" t="n">
        <f aca="false">SUM(Monthly_Base!$O$81:$Z$81)</f>
        <v>0</v>
      </c>
      <c r="D24" s="14" t="n">
        <f aca="false">SUM(Monthly_Base!$AA$81:$AL$81)</f>
        <v>0</v>
      </c>
      <c r="E24" s="14" t="n">
        <f aca="false">SUM(Monthly_Base!$C$81:$AL$81)</f>
        <v>0</v>
      </c>
    </row>
    <row r="25" customFormat="false" ht="15" hidden="false" customHeight="false" outlineLevel="0" collapsed="false">
      <c r="A25" s="6" t="s">
        <v>478</v>
      </c>
      <c r="B25" s="14" t="n">
        <f aca="false">SUM(Monthly_Base!$C$82:$N$82)</f>
        <v>6000</v>
      </c>
      <c r="C25" s="14" t="n">
        <f aca="false">SUM(Monthly_Base!$O$82:$Z$82)</f>
        <v>18000</v>
      </c>
      <c r="D25" s="14" t="n">
        <f aca="false">SUM(Monthly_Base!$AA$82:$AL$82)</f>
        <v>36000</v>
      </c>
      <c r="E25" s="14" t="n">
        <f aca="false">SUM(Monthly_Base!$C$82:$AL$82)</f>
        <v>60000</v>
      </c>
    </row>
    <row r="26" customFormat="false" ht="15" hidden="false" customHeight="false" outlineLevel="0" collapsed="false">
      <c r="A26" s="6" t="s">
        <v>480</v>
      </c>
      <c r="B26" s="14" t="n">
        <f aca="false">SUM(Monthly_Base!$C$83:$N$83)</f>
        <v>7096.01478076965</v>
      </c>
      <c r="C26" s="14" t="n">
        <f aca="false">SUM(Monthly_Base!$O$83:$Z$83)</f>
        <v>10117.2203269037</v>
      </c>
      <c r="D26" s="14" t="n">
        <f aca="false">SUM(Monthly_Base!$AA$83:$AL$83)</f>
        <v>14424.7370257045</v>
      </c>
      <c r="E26" s="14" t="n">
        <f aca="false">SUM(Monthly_Base!$C$83:$AL$83)</f>
        <v>31637.9721333778</v>
      </c>
    </row>
    <row r="27" customFormat="false" ht="15" hidden="false" customHeight="false" outlineLevel="0" collapsed="false">
      <c r="A27" s="6" t="s">
        <v>482</v>
      </c>
      <c r="B27" s="14" t="n">
        <f aca="false">SUM(Monthly_Base!$C$84:$N$84)</f>
        <v>5513.28215978516</v>
      </c>
      <c r="C27" s="14" t="n">
        <f aca="false">SUM(Monthly_Base!$O$84:$Z$84)</f>
        <v>12346.3437442313</v>
      </c>
      <c r="D27" s="14" t="n">
        <f aca="false">SUM(Monthly_Base!$AA$84:$AL$84)</f>
        <v>22172.2595163215</v>
      </c>
      <c r="E27" s="14" t="n">
        <f aca="false">SUM(Monthly_Base!$C$84:$AL$84)</f>
        <v>40031.8854203379</v>
      </c>
    </row>
    <row r="28" customFormat="false" ht="15" hidden="false" customHeight="false" outlineLevel="0" collapsed="false">
      <c r="A28" s="6" t="s">
        <v>484</v>
      </c>
      <c r="B28" s="14" t="n">
        <f aca="false">SUM(Monthly_Base!$C$85:$N$85)</f>
        <v>1800</v>
      </c>
      <c r="C28" s="14" t="n">
        <f aca="false">SUM(Monthly_Base!$O$85:$Z$85)</f>
        <v>1800</v>
      </c>
      <c r="D28" s="14" t="n">
        <f aca="false">SUM(Monthly_Base!$AA$85:$AL$85)</f>
        <v>1800</v>
      </c>
      <c r="E28" s="14" t="n">
        <f aca="false">SUM(Monthly_Base!$C$85:$AL$85)</f>
        <v>5400</v>
      </c>
    </row>
    <row r="29" customFormat="false" ht="15" hidden="false" customHeight="false" outlineLevel="0" collapsed="false">
      <c r="A29" s="6" t="s">
        <v>486</v>
      </c>
      <c r="B29" s="14" t="n">
        <f aca="false">SUM(Monthly_Base!$C$86:$N$86)</f>
        <v>4900</v>
      </c>
      <c r="C29" s="14" t="n">
        <f aca="false">SUM(Monthly_Base!$O$86:$Z$86)</f>
        <v>2200</v>
      </c>
      <c r="D29" s="14" t="n">
        <f aca="false">SUM(Monthly_Base!$AA$86:$AL$86)</f>
        <v>2200</v>
      </c>
      <c r="E29" s="14" t="n">
        <f aca="false">SUM(Monthly_Base!$C$86:$AL$86)</f>
        <v>9300</v>
      </c>
    </row>
    <row r="30" customFormat="false" ht="15" hidden="false" customHeight="false" outlineLevel="0" collapsed="false">
      <c r="A30" s="6" t="s">
        <v>488</v>
      </c>
      <c r="B30" s="14" t="n">
        <f aca="false">SUM(Monthly_Base!$C$87:$N$87)</f>
        <v>1800</v>
      </c>
      <c r="C30" s="14" t="n">
        <f aca="false">SUM(Monthly_Base!$O$87:$Z$87)</f>
        <v>3000</v>
      </c>
      <c r="D30" s="14" t="n">
        <f aca="false">SUM(Monthly_Base!$AA$87:$AL$87)</f>
        <v>4800</v>
      </c>
      <c r="E30" s="14" t="n">
        <f aca="false">SUM(Monthly_Base!$C$87:$AL$87)</f>
        <v>9600</v>
      </c>
    </row>
    <row r="31" customFormat="false" ht="15" hidden="false" customHeight="false" outlineLevel="0" collapsed="false">
      <c r="A31" s="6" t="s">
        <v>490</v>
      </c>
      <c r="B31" s="14" t="n">
        <f aca="false">SUM(Monthly_Base!$C$88:$N$88)</f>
        <v>124</v>
      </c>
      <c r="C31" s="14" t="n">
        <f aca="false">SUM(Monthly_Base!$O$88:$Z$88)</f>
        <v>99</v>
      </c>
      <c r="D31" s="14" t="n">
        <f aca="false">SUM(Monthly_Base!$AA$88:$AL$88)</f>
        <v>99</v>
      </c>
      <c r="E31" s="14" t="n">
        <f aca="false">SUM(Monthly_Base!$C$88:$AL$88)</f>
        <v>322</v>
      </c>
    </row>
    <row r="32" customFormat="false" ht="15" hidden="false" customHeight="false" outlineLevel="0" collapsed="false">
      <c r="A32" s="6" t="s">
        <v>492</v>
      </c>
      <c r="B32" s="14" t="n">
        <f aca="false">SUM(Monthly_Base!$C$89:$N$89)</f>
        <v>1200</v>
      </c>
      <c r="C32" s="14" t="n">
        <f aca="false">SUM(Monthly_Base!$O$89:$Z$89)</f>
        <v>1200</v>
      </c>
      <c r="D32" s="14" t="n">
        <f aca="false">SUM(Monthly_Base!$AA$89:$AL$89)</f>
        <v>1200</v>
      </c>
      <c r="E32" s="14" t="n">
        <f aca="false">SUM(Monthly_Base!$C$89:$AL$89)</f>
        <v>3600</v>
      </c>
    </row>
    <row r="33" customFormat="false" ht="15" hidden="false" customHeight="false" outlineLevel="0" collapsed="false">
      <c r="A33" s="24" t="s">
        <v>494</v>
      </c>
      <c r="B33" s="23" t="n">
        <f aca="false">SUM(Monthly_Base!$C$90:$N$90)</f>
        <v>28433.2969405548</v>
      </c>
      <c r="C33" s="23" t="n">
        <f aca="false">SUM(Monthly_Base!$O$90:$Z$90)</f>
        <v>48762.564071135</v>
      </c>
      <c r="D33" s="23" t="n">
        <f aca="false">SUM(Monthly_Base!$AA$90:$AL$90)</f>
        <v>82695.9965420259</v>
      </c>
      <c r="E33" s="23" t="n">
        <f aca="false">SUM(Monthly_Base!$C$90:$AL$90)</f>
        <v>159891.857553716</v>
      </c>
    </row>
    <row r="34" customFormat="false" ht="15" hidden="false" customHeight="false" outlineLevel="0" collapsed="false">
      <c r="A34" s="24" t="s">
        <v>496</v>
      </c>
      <c r="B34" s="23" t="n">
        <f aca="false">SUM(Monthly_Base!$C$91:$N$91)</f>
        <v>-15372.077384206</v>
      </c>
      <c r="C34" s="23" t="n">
        <f aca="false">SUM(Monthly_Base!$O$91:$Z$91)</f>
        <v>-6121.57876098617</v>
      </c>
      <c r="D34" s="23" t="n">
        <f aca="false">SUM(Monthly_Base!$AA$91:$AL$91)</f>
        <v>24585.1032835258</v>
      </c>
      <c r="E34" s="23" t="n">
        <f aca="false">SUM(Monthly_Base!$C$91:$AL$91)</f>
        <v>3091.44713833361</v>
      </c>
    </row>
    <row r="35" customFormat="false" ht="15" hidden="false" customHeight="false" outlineLevel="0" collapsed="false">
      <c r="A35" s="6" t="s">
        <v>498</v>
      </c>
      <c r="B35" s="16" t="n">
        <f aca="false">IF(SUM(Monthly_Base!$C$67:$N$67)=0,0,SUM(Monthly_Base!$C$91:$N$91)/SUM(Monthly_Base!$C$67:$N$67))</f>
        <v>-0.770734896056422</v>
      </c>
      <c r="C35" s="16" t="n">
        <f aca="false">IF(SUM(Monthly_Base!$O$67:$Z$67)=0,0,SUM(Monthly_Base!$O$91:$Z$91)/SUM(Monthly_Base!$O$67:$Z$67))</f>
        <v>-0.0929220465568885</v>
      </c>
      <c r="D35" s="16" t="n">
        <f aca="false">IF(SUM(Monthly_Base!$AA$67:$AL$67)=0,0,SUM(Monthly_Base!$AA$91:$AL$91)/SUM(Monthly_Base!$AA$67:$AL$67))</f>
        <v>0.160774165203066</v>
      </c>
      <c r="E35" s="16" t="n">
        <f aca="false">IF(SUM(Monthly_Base!$C$67:$AL$67)=0,0,SUM(Monthly_Base!$C$91:$AL$91)/SUM(Monthly_Base!$C$67:$AL$67))</f>
        <v>0.0129489930355912</v>
      </c>
    </row>
    <row r="36" customFormat="false" ht="15" hidden="false" customHeight="false" outlineLevel="0" collapsed="false">
      <c r="A36" s="4" t="s">
        <v>541</v>
      </c>
      <c r="B36" s="5"/>
      <c r="C36" s="5"/>
      <c r="D36" s="5"/>
      <c r="E36" s="5"/>
    </row>
    <row r="37" customFormat="false" ht="15" hidden="false" customHeight="false" outlineLevel="0" collapsed="false">
      <c r="A37" s="6" t="s">
        <v>542</v>
      </c>
      <c r="B37" s="16" t="n">
        <f aca="false">IF(SUM(Monthly_Base!$C$67:$N$67)=0,0,SUM(Monthly_Base!$C$64:$N$64)/SUM(Monthly_Base!$C$67:$N$67))</f>
        <v>0.0337536752678097</v>
      </c>
      <c r="C37" s="16" t="n">
        <f aca="false">IF(SUM(Monthly_Base!$O$67:$Z$67)=0,0,SUM(Monthly_Base!$O$64:$Z$64)/SUM(Monthly_Base!$O$67:$Z$67))</f>
        <v>0.0317067461880441</v>
      </c>
      <c r="D37" s="16" t="n">
        <f aca="false">IF(SUM(Monthly_Base!$AA$67:$AL$67)=0,0,SUM(Monthly_Base!$AA$64:$AL$64)/SUM(Monthly_Base!$AA$67:$AL$67))</f>
        <v>0.0310304341257769</v>
      </c>
      <c r="E37" s="16" t="n">
        <f aca="false">IF(SUM(Monthly_Base!$C$67:$AL$67)=0,0,SUM(Monthly_Base!$C$64:$AL$64)/SUM(Monthly_Base!$C$67:$AL$67))</f>
        <v>0.0314445608339258</v>
      </c>
    </row>
    <row r="38" customFormat="false" ht="15" hidden="false" customHeight="false" outlineLevel="0" collapsed="false">
      <c r="A38" s="6" t="s">
        <v>543</v>
      </c>
      <c r="B38" s="14" t="n">
        <f aca="false">(SUM(Monthly_Base!$C$91:$N$91)-SUM(Monthly_Base!$C$64:$N$64))</f>
        <v>-16045.2843596173</v>
      </c>
      <c r="C38" s="14" t="n">
        <f aca="false">(SUM(Monthly_Base!$O$91:$Z$91)-SUM(Monthly_Base!$O$64:$Z$64))</f>
        <v>-8210.37632019491</v>
      </c>
      <c r="D38" s="14" t="n">
        <f aca="false">(SUM(Monthly_Base!$AA$91:$AL$91)-SUM(Monthly_Base!$AA$64:$AL$64))</f>
        <v>19840.0223375211</v>
      </c>
      <c r="E38" s="14" t="n">
        <f aca="false">(SUM(Monthly_Base!$C$91:$AL$91)-SUM(Monthly_Base!$C$64:$AL$64))</f>
        <v>-4415.63834229111</v>
      </c>
    </row>
    <row r="39" customFormat="false" ht="15" hidden="false" customHeight="false" outlineLevel="0" collapsed="false">
      <c r="A39" s="6" t="s">
        <v>505</v>
      </c>
      <c r="B39" s="14" t="n">
        <f aca="false">SUM(Monthly_Base!$C$97:$N$97)</f>
        <v>-4864.48092780616</v>
      </c>
      <c r="C39" s="14" t="n">
        <f aca="false">SUM(Monthly_Base!$O$97:$Z$97)</f>
        <v>11029.2946293146</v>
      </c>
      <c r="D39" s="14" t="n">
        <f aca="false">SUM(Monthly_Base!$AA$97:$AL$97)</f>
        <v>59971.9549483522</v>
      </c>
      <c r="E39" s="14" t="n">
        <f aca="false">SUM(Monthly_Base!$C$97:$AL$97)</f>
        <v>66136.7686498607</v>
      </c>
    </row>
    <row r="40" customFormat="false" ht="15" hidden="false" customHeight="false" outlineLevel="0" collapsed="false">
      <c r="A40" s="6" t="s">
        <v>544</v>
      </c>
      <c r="B40" s="14" t="n">
        <f aca="false">Monthly_Base!N98</f>
        <v>-4864.48092780616</v>
      </c>
      <c r="C40" s="14" t="n">
        <f aca="false">Monthly_Base!Z98</f>
        <v>6164.81370150842</v>
      </c>
      <c r="D40" s="14" t="n">
        <f aca="false">Monthly_Base!AL98</f>
        <v>66136.7686498607</v>
      </c>
      <c r="E40" s="14" t="n">
        <f aca="false">Monthly_Base!AL98</f>
        <v>66136.7686498607</v>
      </c>
    </row>
    <row r="41" customFormat="false" ht="15" hidden="false" customHeight="false" outlineLevel="0" collapsed="false">
      <c r="A41" s="6" t="s">
        <v>545</v>
      </c>
      <c r="B41" s="17" t="n">
        <f aca="false">SUM(Monthly_Base!$C$12:$N$12)</f>
        <v>21072.7135364776</v>
      </c>
      <c r="C41" s="17" t="n">
        <f aca="false">SUM(Monthly_Base!$O$12:$Z$12)</f>
        <v>46775.4342595913</v>
      </c>
      <c r="D41" s="17" t="n">
        <f aca="false">SUM(Monthly_Base!$AA$12:$AL$12)</f>
        <v>103298.226437979</v>
      </c>
      <c r="E41" s="17" t="n">
        <f aca="false">SUM(Monthly_Base!$C$12:$AL$12)</f>
        <v>171146.374234048</v>
      </c>
    </row>
    <row r="42" customFormat="false" ht="15" hidden="false" customHeight="false" outlineLevel="0" collapsed="false">
      <c r="A42" s="6" t="s">
        <v>370</v>
      </c>
      <c r="B42" s="17" t="n">
        <f aca="false">SUM(Monthly_Base!$C$17:$N$17)</f>
        <v>520.496024350996</v>
      </c>
      <c r="C42" s="17" t="n">
        <f aca="false">SUM(Monthly_Base!$O$17:$Z$17)</f>
        <v>1155.35322621191</v>
      </c>
      <c r="D42" s="17" t="n">
        <f aca="false">SUM(Monthly_Base!$AA$17:$AL$17)</f>
        <v>2551.46619301807</v>
      </c>
      <c r="E42" s="17" t="n">
        <f aca="false">SUM(Monthly_Base!$C$17:$AL$17)</f>
        <v>4227.31544358097</v>
      </c>
    </row>
    <row r="43" customFormat="false" ht="15" hidden="false" customHeight="false" outlineLevel="0" collapsed="false">
      <c r="A43" s="6" t="s">
        <v>546</v>
      </c>
      <c r="B43" s="17" t="n">
        <f aca="false">Monthly_Base!N36</f>
        <v>4428.98079698838</v>
      </c>
      <c r="C43" s="17" t="n">
        <f aca="false">Monthly_Base!Z36</f>
        <v>10630.0537659269</v>
      </c>
      <c r="D43" s="17" t="n">
        <f aca="false">Monthly_Base!AL36</f>
        <v>23824.3441083208</v>
      </c>
      <c r="E43" s="17" t="n">
        <f aca="false">Monthly_Base!AL36</f>
        <v>23824.3441083208</v>
      </c>
    </row>
    <row r="44" customFormat="false" ht="15" hidden="false" customHeight="false" outlineLevel="0" collapsed="false">
      <c r="A44" s="6" t="s">
        <v>547</v>
      </c>
      <c r="B44" s="17" t="n">
        <f aca="false">Monthly_Base!N29</f>
        <v>440.865057944765</v>
      </c>
      <c r="C44" s="17" t="n">
        <f aca="false">Monthly_Base!Z29</f>
        <v>1136.9392877636</v>
      </c>
      <c r="D44" s="17" t="n">
        <f aca="false">Monthly_Base!AL29</f>
        <v>2575.90277838142</v>
      </c>
      <c r="E44" s="17" t="n">
        <f aca="false">Monthly_Base!AL29</f>
        <v>2575.90277838142</v>
      </c>
    </row>
    <row r="46" customFormat="false" ht="15" hidden="false" customHeight="false" outlineLevel="0" collapsed="false">
      <c r="A46" s="3" t="s">
        <v>548</v>
      </c>
      <c r="B46" s="3" t="s">
        <v>528</v>
      </c>
      <c r="C46" s="3" t="s">
        <v>529</v>
      </c>
      <c r="D46" s="3" t="s">
        <v>530</v>
      </c>
      <c r="E46" s="3" t="s">
        <v>531</v>
      </c>
    </row>
    <row r="47" customFormat="false" ht="15" hidden="false" customHeight="false" outlineLevel="0" collapsed="false">
      <c r="A47" s="4" t="s">
        <v>426</v>
      </c>
      <c r="B47" s="5"/>
      <c r="C47" s="5"/>
      <c r="D47" s="5"/>
      <c r="E47" s="5"/>
    </row>
    <row r="48" customFormat="false" ht="15" hidden="false" customHeight="false" outlineLevel="0" collapsed="false">
      <c r="A48" s="6" t="s">
        <v>435</v>
      </c>
      <c r="B48" s="14" t="n">
        <f aca="false">SUM(Monthly_Bear!$C$57:$N$57)</f>
        <v>4684.19369291284</v>
      </c>
      <c r="C48" s="14" t="n">
        <f aca="false">SUM(Monthly_Bear!$O$57:$Z$57)</f>
        <v>11335.9996494218</v>
      </c>
      <c r="D48" s="14" t="n">
        <f aca="false">SUM(Monthly_Bear!$AA$57:$AL$57)</f>
        <v>18712.8337742498</v>
      </c>
      <c r="E48" s="14" t="n">
        <f aca="false">SUM(Monthly_Bear!$C$57:$AL$57)</f>
        <v>34733.0271165844</v>
      </c>
    </row>
    <row r="49" customFormat="false" ht="15" hidden="false" customHeight="false" outlineLevel="0" collapsed="false">
      <c r="A49" s="6" t="s">
        <v>437</v>
      </c>
      <c r="B49" s="14" t="n">
        <f aca="false">SUM(Monthly_Bear!$C$58:$N$58)</f>
        <v>-140.525810787385</v>
      </c>
      <c r="C49" s="14" t="n">
        <f aca="false">SUM(Monthly_Bear!$O$58:$Z$58)</f>
        <v>-340.079989482654</v>
      </c>
      <c r="D49" s="14" t="n">
        <f aca="false">SUM(Monthly_Bear!$AA$58:$AL$58)</f>
        <v>-561.385013227493</v>
      </c>
      <c r="E49" s="14" t="n">
        <f aca="false">SUM(Monthly_Bear!$C$58:$AL$58)</f>
        <v>-1041.99081349753</v>
      </c>
    </row>
    <row r="50" customFormat="false" ht="15" hidden="false" customHeight="false" outlineLevel="0" collapsed="false">
      <c r="A50" s="6" t="s">
        <v>439</v>
      </c>
      <c r="B50" s="14" t="n">
        <f aca="false">SUM(Monthly_Bear!$C$59:$N$59)</f>
        <v>-681.550182318818</v>
      </c>
      <c r="C50" s="14" t="n">
        <f aca="false">SUM(Monthly_Bear!$O$59:$Z$59)</f>
        <v>-1649.38794899087</v>
      </c>
      <c r="D50" s="14" t="n">
        <f aca="false">SUM(Monthly_Bear!$AA$59:$AL$59)</f>
        <v>-2722.71731415334</v>
      </c>
      <c r="E50" s="14" t="n">
        <f aca="false">SUM(Monthly_Bear!$C$59:$AL$59)</f>
        <v>-5053.65544546303</v>
      </c>
    </row>
    <row r="51" customFormat="false" ht="15" hidden="false" customHeight="false" outlineLevel="0" collapsed="false">
      <c r="A51" s="24" t="s">
        <v>532</v>
      </c>
      <c r="B51" s="23" t="n">
        <f aca="false">SUM(Monthly_Bear!$C$60:$N$60)</f>
        <v>3862.11769980664</v>
      </c>
      <c r="C51" s="23" t="n">
        <f aca="false">SUM(Monthly_Bear!$O$60:$Z$60)</f>
        <v>9346.53171094828</v>
      </c>
      <c r="D51" s="23" t="n">
        <f aca="false">SUM(Monthly_Bear!$AA$60:$AL$60)</f>
        <v>15428.7314468689</v>
      </c>
      <c r="E51" s="23" t="n">
        <f aca="false">SUM(Monthly_Bear!$C$60:$AL$60)</f>
        <v>28637.3808576239</v>
      </c>
    </row>
    <row r="52" customFormat="false" ht="15" hidden="false" customHeight="false" outlineLevel="0" collapsed="false">
      <c r="A52" s="6" t="s">
        <v>533</v>
      </c>
      <c r="B52" s="14" t="n">
        <f aca="false">SUM(Monthly_Bear!$C$64:$N$64)</f>
        <v>60.1890305979446</v>
      </c>
      <c r="C52" s="14" t="n">
        <f aca="false">SUM(Monthly_Bear!$O$64:$Z$64)</f>
        <v>128.547920308992</v>
      </c>
      <c r="D52" s="14" t="n">
        <f aca="false">SUM(Monthly_Bear!$AA$64:$AL$64)</f>
        <v>204.447842146706</v>
      </c>
      <c r="E52" s="14" t="n">
        <f aca="false">SUM(Monthly_Bear!$C$64:$AL$64)</f>
        <v>393.184793053642</v>
      </c>
    </row>
    <row r="53" customFormat="false" ht="15" hidden="false" customHeight="false" outlineLevel="0" collapsed="false">
      <c r="A53" s="6" t="s">
        <v>162</v>
      </c>
      <c r="B53" s="14" t="n">
        <f aca="false">SUM(Monthly_Bear!$C$65:$N$65)</f>
        <v>12.8849462393795</v>
      </c>
      <c r="C53" s="14" t="n">
        <f aca="false">SUM(Monthly_Bear!$O$65:$Z$65)</f>
        <v>38.8188004956378</v>
      </c>
      <c r="D53" s="14" t="n">
        <f aca="false">SUM(Monthly_Bear!$AA$65:$AL$65)</f>
        <v>62.0092272291135</v>
      </c>
      <c r="E53" s="14" t="n">
        <f aca="false">SUM(Monthly_Bear!$C$65:$AL$65)</f>
        <v>113.712973964131</v>
      </c>
    </row>
    <row r="54" customFormat="false" ht="15" hidden="false" customHeight="false" outlineLevel="0" collapsed="false">
      <c r="A54" s="6" t="s">
        <v>534</v>
      </c>
      <c r="B54" s="14" t="n">
        <f aca="false">SUM(Monthly_Bear!$C$66:$N$66)</f>
        <v>0</v>
      </c>
      <c r="C54" s="14" t="n">
        <f aca="false">SUM(Monthly_Bear!$O$66:$Z$66)</f>
        <v>0</v>
      </c>
      <c r="D54" s="14" t="n">
        <f aca="false">SUM(Monthly_Bear!$AA$66:$AL$66)</f>
        <v>0</v>
      </c>
      <c r="E54" s="14" t="n">
        <f aca="false">SUM(Monthly_Bear!$C$66:$AL$66)</f>
        <v>0</v>
      </c>
    </row>
    <row r="55" customFormat="false" ht="15" hidden="false" customHeight="false" outlineLevel="0" collapsed="false">
      <c r="A55" s="24" t="s">
        <v>454</v>
      </c>
      <c r="B55" s="23" t="n">
        <f aca="false">SUM(Monthly_Bear!$C$67:$N$67)</f>
        <v>3935.19167664396</v>
      </c>
      <c r="C55" s="23" t="n">
        <f aca="false">SUM(Monthly_Bear!$O$67:$Z$67)</f>
        <v>9513.89843175291</v>
      </c>
      <c r="D55" s="23" t="n">
        <f aca="false">SUM(Monthly_Bear!$AA$67:$AL$67)</f>
        <v>15695.1885162448</v>
      </c>
      <c r="E55" s="23" t="n">
        <f aca="false">SUM(Monthly_Bear!$C$67:$AL$67)</f>
        <v>29144.2786246416</v>
      </c>
    </row>
    <row r="56" customFormat="false" ht="15" hidden="false" customHeight="false" outlineLevel="0" collapsed="false">
      <c r="A56" s="4" t="s">
        <v>535</v>
      </c>
      <c r="B56" s="5"/>
      <c r="C56" s="5"/>
      <c r="D56" s="5"/>
      <c r="E56" s="5"/>
    </row>
    <row r="57" customFormat="false" ht="15" hidden="false" customHeight="false" outlineLevel="0" collapsed="false">
      <c r="A57" s="6" t="s">
        <v>536</v>
      </c>
      <c r="B57" s="14" t="n">
        <f aca="false">SUM(Monthly_Bear!$C$70:$N$70)</f>
        <v>5400</v>
      </c>
      <c r="C57" s="14" t="n">
        <f aca="false">SUM(Monthly_Bear!$O$70:$Z$70)</f>
        <v>5400</v>
      </c>
      <c r="D57" s="14" t="n">
        <f aca="false">SUM(Monthly_Bear!$AA$70:$AL$70)</f>
        <v>5400</v>
      </c>
      <c r="E57" s="14" t="n">
        <f aca="false">SUM(Monthly_Bear!$C$70:$AL$70)</f>
        <v>16200</v>
      </c>
    </row>
    <row r="58" customFormat="false" ht="15" hidden="false" customHeight="false" outlineLevel="0" collapsed="false">
      <c r="A58" s="6" t="s">
        <v>459</v>
      </c>
      <c r="B58" s="14" t="n">
        <f aca="false">SUM(Monthly_Bear!$C$71:$N$71)</f>
        <v>0</v>
      </c>
      <c r="C58" s="14" t="n">
        <f aca="false">SUM(Monthly_Bear!$O$71:$Z$71)</f>
        <v>4054.80171744314</v>
      </c>
      <c r="D58" s="14" t="n">
        <f aca="false">SUM(Monthly_Bear!$AA$71:$AL$71)</f>
        <v>5858.6173956914</v>
      </c>
      <c r="E58" s="14" t="n">
        <f aca="false">SUM(Monthly_Bear!$C$71:$AL$71)</f>
        <v>9913.41911313455</v>
      </c>
    </row>
    <row r="59" customFormat="false" ht="15" hidden="false" customHeight="false" outlineLevel="0" collapsed="false">
      <c r="A59" s="6" t="s">
        <v>537</v>
      </c>
      <c r="B59" s="14" t="n">
        <f aca="false">SUM(Monthly_Bear!$C$72:$N$72)</f>
        <v>719.351143811292</v>
      </c>
      <c r="C59" s="14" t="n">
        <f aca="false">SUM(Monthly_Bear!$O$72:$Z$72)</f>
        <v>815.660002753544</v>
      </c>
      <c r="D59" s="14" t="n">
        <f aca="false">SUM(Monthly_Bear!$AA$72:$AL$72)</f>
        <v>944.495706828408</v>
      </c>
      <c r="E59" s="14" t="n">
        <f aca="false">SUM(Monthly_Bear!$C$72:$AL$72)</f>
        <v>2479.50685339324</v>
      </c>
    </row>
    <row r="60" customFormat="false" ht="15" hidden="false" customHeight="false" outlineLevel="0" collapsed="false">
      <c r="A60" s="6" t="s">
        <v>538</v>
      </c>
      <c r="B60" s="14" t="n">
        <f aca="false">SUM(Monthly_Bear!$C$73:$N$73)</f>
        <v>393.163440315665</v>
      </c>
      <c r="C60" s="14" t="n">
        <f aca="false">SUM(Monthly_Bear!$O$73:$Z$73)</f>
        <v>1380.31661557714</v>
      </c>
      <c r="D60" s="14" t="n">
        <f aca="false">SUM(Monthly_Bear!$AA$73:$AL$73)</f>
        <v>2292.89391252679</v>
      </c>
      <c r="E60" s="14" t="n">
        <f aca="false">SUM(Monthly_Bear!$C$73:$AL$73)</f>
        <v>4066.3739684196</v>
      </c>
    </row>
    <row r="61" customFormat="false" ht="15" hidden="false" customHeight="false" outlineLevel="0" collapsed="false">
      <c r="A61" s="6" t="s">
        <v>539</v>
      </c>
      <c r="B61" s="14" t="n">
        <f aca="false">SUM(Monthly_Bear!$C$74:$N$74)</f>
        <v>0</v>
      </c>
      <c r="C61" s="14" t="n">
        <f aca="false">SUM(Monthly_Bear!$O$74:$Z$74)</f>
        <v>0</v>
      </c>
      <c r="D61" s="14" t="n">
        <f aca="false">SUM(Monthly_Bear!$AA$74:$AL$74)</f>
        <v>0</v>
      </c>
      <c r="E61" s="14" t="n">
        <f aca="false">SUM(Monthly_Bear!$C$74:$AL$74)</f>
        <v>0</v>
      </c>
    </row>
    <row r="62" customFormat="false" ht="15" hidden="false" customHeight="false" outlineLevel="0" collapsed="false">
      <c r="A62" s="6" t="s">
        <v>540</v>
      </c>
      <c r="B62" s="14" t="n">
        <f aca="false">SUM(Monthly_Bear!$C$75:$N$75)</f>
        <v>0</v>
      </c>
      <c r="C62" s="14" t="n">
        <f aca="false">SUM(Monthly_Bear!$O$75:$Z$75)</f>
        <v>0</v>
      </c>
      <c r="D62" s="14" t="n">
        <f aca="false">SUM(Monthly_Bear!$AA$75:$AL$75)</f>
        <v>0</v>
      </c>
      <c r="E62" s="14" t="n">
        <f aca="false">SUM(Monthly_Bear!$C$75:$AL$75)</f>
        <v>0</v>
      </c>
    </row>
    <row r="63" customFormat="false" ht="15" hidden="false" customHeight="false" outlineLevel="0" collapsed="false">
      <c r="A63" s="24" t="s">
        <v>469</v>
      </c>
      <c r="B63" s="23" t="n">
        <f aca="false">SUM(Monthly_Bear!$C$76:$N$76)</f>
        <v>6512.51458412696</v>
      </c>
      <c r="C63" s="23" t="n">
        <f aca="false">SUM(Monthly_Bear!$O$76:$Z$76)</f>
        <v>11650.7783357738</v>
      </c>
      <c r="D63" s="23" t="n">
        <f aca="false">SUM(Monthly_Bear!$AA$76:$AL$76)</f>
        <v>14496.0070150466</v>
      </c>
      <c r="E63" s="23" t="n">
        <f aca="false">SUM(Monthly_Bear!$C$76:$AL$76)</f>
        <v>32659.2999349474</v>
      </c>
    </row>
    <row r="64" customFormat="false" ht="15" hidden="false" customHeight="false" outlineLevel="0" collapsed="false">
      <c r="A64" s="24" t="s">
        <v>471</v>
      </c>
      <c r="B64" s="23" t="n">
        <f aca="false">SUM(Monthly_Bear!$C$77:$N$77)</f>
        <v>-2577.322907483</v>
      </c>
      <c r="C64" s="23" t="n">
        <f aca="false">SUM(Monthly_Bear!$O$77:$Z$77)</f>
        <v>-2136.87990402092</v>
      </c>
      <c r="D64" s="23" t="n">
        <f aca="false">SUM(Monthly_Bear!$AA$77:$AL$77)</f>
        <v>1199.18150119816</v>
      </c>
      <c r="E64" s="23" t="n">
        <f aca="false">SUM(Monthly_Bear!$C$77:$AL$77)</f>
        <v>-3515.02131030576</v>
      </c>
    </row>
    <row r="65" customFormat="false" ht="15" hidden="false" customHeight="false" outlineLevel="0" collapsed="false">
      <c r="A65" s="6" t="s">
        <v>473</v>
      </c>
      <c r="B65" s="16" t="n">
        <f aca="false">IF(SUM(Monthly_Bear!$C$67:$N$67)=0,0,SUM(Monthly_Bear!$C$77:$N$77)/SUM(Monthly_Bear!$C$67:$N$67))</f>
        <v>-0.65494215257159</v>
      </c>
      <c r="C65" s="16" t="n">
        <f aca="false">IF(SUM(Monthly_Bear!$O$67:$Z$67)=0,0,SUM(Monthly_Bear!$O$77:$Z$77)/SUM(Monthly_Bear!$O$67:$Z$67))</f>
        <v>-0.22460612958501</v>
      </c>
      <c r="D65" s="16" t="n">
        <f aca="false">IF(SUM(Monthly_Bear!$AA$67:$AL$67)=0,0,SUM(Monthly_Bear!$AA$77:$AL$77)/SUM(Monthly_Bear!$AA$67:$AL$67))</f>
        <v>0.0764044025311954</v>
      </c>
      <c r="E65" s="16" t="n">
        <f aca="false">IF(SUM(Monthly_Bear!$C$67:$AL$67)=0,0,SUM(Monthly_Bear!$C$77:$AL$77)/SUM(Monthly_Bear!$C$67:$AL$67))</f>
        <v>-0.120607593537546</v>
      </c>
    </row>
    <row r="66" customFormat="false" ht="15" hidden="false" customHeight="false" outlineLevel="0" collapsed="false">
      <c r="A66" s="4" t="s">
        <v>475</v>
      </c>
      <c r="B66" s="5"/>
      <c r="C66" s="5"/>
      <c r="D66" s="5"/>
      <c r="E66" s="5"/>
    </row>
    <row r="67" customFormat="false" ht="15" hidden="false" customHeight="false" outlineLevel="0" collapsed="false">
      <c r="A67" s="6" t="s">
        <v>476</v>
      </c>
      <c r="B67" s="14" t="n">
        <f aca="false">SUM(Monthly_Bear!$C$81:$N$81)</f>
        <v>0</v>
      </c>
      <c r="C67" s="14" t="n">
        <f aca="false">SUM(Monthly_Bear!$O$81:$Z$81)</f>
        <v>0</v>
      </c>
      <c r="D67" s="14" t="n">
        <f aca="false">SUM(Monthly_Bear!$AA$81:$AL$81)</f>
        <v>0</v>
      </c>
      <c r="E67" s="14" t="n">
        <f aca="false">SUM(Monthly_Bear!$C$81:$AL$81)</f>
        <v>0</v>
      </c>
    </row>
    <row r="68" customFormat="false" ht="15" hidden="false" customHeight="false" outlineLevel="0" collapsed="false">
      <c r="A68" s="6" t="s">
        <v>478</v>
      </c>
      <c r="B68" s="14" t="n">
        <f aca="false">SUM(Monthly_Bear!$C$82:$N$82)</f>
        <v>3600</v>
      </c>
      <c r="C68" s="14" t="n">
        <f aca="false">SUM(Monthly_Bear!$O$82:$Z$82)</f>
        <v>9600</v>
      </c>
      <c r="D68" s="14" t="n">
        <f aca="false">SUM(Monthly_Bear!$AA$82:$AL$82)</f>
        <v>18000</v>
      </c>
      <c r="E68" s="14" t="n">
        <f aca="false">SUM(Monthly_Bear!$C$82:$AL$82)</f>
        <v>31200</v>
      </c>
    </row>
    <row r="69" customFormat="false" ht="15" hidden="false" customHeight="false" outlineLevel="0" collapsed="false">
      <c r="A69" s="6" t="s">
        <v>480</v>
      </c>
      <c r="B69" s="14" t="n">
        <f aca="false">SUM(Monthly_Bear!$C$83:$N$83)</f>
        <v>6000</v>
      </c>
      <c r="C69" s="14" t="n">
        <f aca="false">SUM(Monthly_Bear!$O$83:$Z$83)</f>
        <v>6000</v>
      </c>
      <c r="D69" s="14" t="n">
        <f aca="false">SUM(Monthly_Bear!$AA$83:$AL$83)</f>
        <v>6000</v>
      </c>
      <c r="E69" s="14" t="n">
        <f aca="false">SUM(Monthly_Bear!$C$83:$AL$83)</f>
        <v>18000</v>
      </c>
    </row>
    <row r="70" customFormat="false" ht="15" hidden="false" customHeight="false" outlineLevel="0" collapsed="false">
      <c r="A70" s="6" t="s">
        <v>482</v>
      </c>
      <c r="B70" s="14" t="n">
        <f aca="false">SUM(Monthly_Bear!$C$84:$N$84)</f>
        <v>3047.73183829245</v>
      </c>
      <c r="C70" s="14" t="n">
        <f aca="false">SUM(Monthly_Bear!$O$84:$Z$84)</f>
        <v>5555.21387880252</v>
      </c>
      <c r="D70" s="14" t="n">
        <f aca="false">SUM(Monthly_Bear!$AA$84:$AL$84)</f>
        <v>7920.40666646168</v>
      </c>
      <c r="E70" s="14" t="n">
        <f aca="false">SUM(Monthly_Bear!$C$84:$AL$84)</f>
        <v>16523.3523835567</v>
      </c>
    </row>
    <row r="71" customFormat="false" ht="15" hidden="false" customHeight="false" outlineLevel="0" collapsed="false">
      <c r="A71" s="6" t="s">
        <v>484</v>
      </c>
      <c r="B71" s="14" t="n">
        <f aca="false">SUM(Monthly_Bear!$C$85:$N$85)</f>
        <v>1800</v>
      </c>
      <c r="C71" s="14" t="n">
        <f aca="false">SUM(Monthly_Bear!$O$85:$Z$85)</f>
        <v>1800</v>
      </c>
      <c r="D71" s="14" t="n">
        <f aca="false">SUM(Monthly_Bear!$AA$85:$AL$85)</f>
        <v>1800</v>
      </c>
      <c r="E71" s="14" t="n">
        <f aca="false">SUM(Monthly_Bear!$C$85:$AL$85)</f>
        <v>5400</v>
      </c>
    </row>
    <row r="72" customFormat="false" ht="15" hidden="false" customHeight="false" outlineLevel="0" collapsed="false">
      <c r="A72" s="6" t="s">
        <v>486</v>
      </c>
      <c r="B72" s="14" t="n">
        <f aca="false">SUM(Monthly_Bear!$C$86:$N$86)</f>
        <v>4900</v>
      </c>
      <c r="C72" s="14" t="n">
        <f aca="false">SUM(Monthly_Bear!$O$86:$Z$86)</f>
        <v>2200</v>
      </c>
      <c r="D72" s="14" t="n">
        <f aca="false">SUM(Monthly_Bear!$AA$86:$AL$86)</f>
        <v>2200</v>
      </c>
      <c r="E72" s="14" t="n">
        <f aca="false">SUM(Monthly_Bear!$C$86:$AL$86)</f>
        <v>9300</v>
      </c>
    </row>
    <row r="73" customFormat="false" ht="15" hidden="false" customHeight="false" outlineLevel="0" collapsed="false">
      <c r="A73" s="6" t="s">
        <v>488</v>
      </c>
      <c r="B73" s="14" t="n">
        <f aca="false">SUM(Monthly_Bear!$C$87:$N$87)</f>
        <v>1800</v>
      </c>
      <c r="C73" s="14" t="n">
        <f aca="false">SUM(Monthly_Bear!$O$87:$Z$87)</f>
        <v>3000</v>
      </c>
      <c r="D73" s="14" t="n">
        <f aca="false">SUM(Monthly_Bear!$AA$87:$AL$87)</f>
        <v>4800</v>
      </c>
      <c r="E73" s="14" t="n">
        <f aca="false">SUM(Monthly_Bear!$C$87:$AL$87)</f>
        <v>9600</v>
      </c>
    </row>
    <row r="74" customFormat="false" ht="15" hidden="false" customHeight="false" outlineLevel="0" collapsed="false">
      <c r="A74" s="6" t="s">
        <v>490</v>
      </c>
      <c r="B74" s="14" t="n">
        <f aca="false">SUM(Monthly_Bear!$C$88:$N$88)</f>
        <v>124</v>
      </c>
      <c r="C74" s="14" t="n">
        <f aca="false">SUM(Monthly_Bear!$O$88:$Z$88)</f>
        <v>99</v>
      </c>
      <c r="D74" s="14" t="n">
        <f aca="false">SUM(Monthly_Bear!$AA$88:$AL$88)</f>
        <v>99</v>
      </c>
      <c r="E74" s="14" t="n">
        <f aca="false">SUM(Monthly_Bear!$C$88:$AL$88)</f>
        <v>322</v>
      </c>
    </row>
    <row r="75" customFormat="false" ht="15" hidden="false" customHeight="false" outlineLevel="0" collapsed="false">
      <c r="A75" s="6" t="s">
        <v>492</v>
      </c>
      <c r="B75" s="14" t="n">
        <f aca="false">SUM(Monthly_Bear!$C$89:$N$89)</f>
        <v>1200</v>
      </c>
      <c r="C75" s="14" t="n">
        <f aca="false">SUM(Monthly_Bear!$O$89:$Z$89)</f>
        <v>1200</v>
      </c>
      <c r="D75" s="14" t="n">
        <f aca="false">SUM(Monthly_Bear!$AA$89:$AL$89)</f>
        <v>1200</v>
      </c>
      <c r="E75" s="14" t="n">
        <f aca="false">SUM(Monthly_Bear!$C$89:$AL$89)</f>
        <v>3600</v>
      </c>
    </row>
    <row r="76" customFormat="false" ht="15" hidden="false" customHeight="false" outlineLevel="0" collapsed="false">
      <c r="A76" s="24" t="s">
        <v>494</v>
      </c>
      <c r="B76" s="23" t="n">
        <f aca="false">SUM(Monthly_Bear!$C$90:$N$90)</f>
        <v>22471.7318382924</v>
      </c>
      <c r="C76" s="23" t="n">
        <f aca="false">SUM(Monthly_Bear!$O$90:$Z$90)</f>
        <v>29454.2138788025</v>
      </c>
      <c r="D76" s="23" t="n">
        <f aca="false">SUM(Monthly_Bear!$AA$90:$AL$90)</f>
        <v>42019.4066664617</v>
      </c>
      <c r="E76" s="23" t="n">
        <f aca="false">SUM(Monthly_Bear!$C$90:$AL$90)</f>
        <v>93945.3523835566</v>
      </c>
    </row>
    <row r="77" customFormat="false" ht="15" hidden="false" customHeight="false" outlineLevel="0" collapsed="false">
      <c r="A77" s="24" t="s">
        <v>496</v>
      </c>
      <c r="B77" s="23" t="n">
        <f aca="false">SUM(Monthly_Bear!$C$91:$N$91)</f>
        <v>-25049.0547457754</v>
      </c>
      <c r="C77" s="23" t="n">
        <f aca="false">SUM(Monthly_Bear!$O$91:$Z$91)</f>
        <v>-31591.0937828234</v>
      </c>
      <c r="D77" s="23" t="n">
        <f aca="false">SUM(Monthly_Bear!$AA$91:$AL$91)</f>
        <v>-40820.2251652635</v>
      </c>
      <c r="E77" s="23" t="n">
        <f aca="false">SUM(Monthly_Bear!$C$91:$AL$91)</f>
        <v>-97460.3736938624</v>
      </c>
    </row>
    <row r="78" customFormat="false" ht="15" hidden="false" customHeight="false" outlineLevel="0" collapsed="false">
      <c r="A78" s="6" t="s">
        <v>498</v>
      </c>
      <c r="B78" s="16" t="n">
        <f aca="false">IF(SUM(Monthly_Bear!$C$67:$N$67)=0,0,SUM(Monthly_Bear!$C$91:$N$91)/SUM(Monthly_Bear!$C$67:$N$67))</f>
        <v>-6.36539635272302</v>
      </c>
      <c r="C78" s="16" t="n">
        <f aca="false">IF(SUM(Monthly_Bear!$O$67:$Z$67)=0,0,SUM(Monthly_Bear!$O$91:$Z$91)/SUM(Monthly_Bear!$O$67:$Z$67))</f>
        <v>-3.32052039544455</v>
      </c>
      <c r="D78" s="16" t="n">
        <f aca="false">IF(SUM(Monthly_Bear!$AA$67:$AL$67)=0,0,SUM(Monthly_Bear!$AA$91:$AL$91)/SUM(Monthly_Bear!$AA$67:$AL$67))</f>
        <v>-2.60081139662731</v>
      </c>
      <c r="E78" s="16" t="n">
        <f aca="false">IF(SUM(Monthly_Bear!$C$67:$AL$67)=0,0,SUM(Monthly_Bear!$C$91:$AL$91)/SUM(Monthly_Bear!$C$67:$AL$67))</f>
        <v>-3.34406539784653</v>
      </c>
    </row>
    <row r="79" customFormat="false" ht="15" hidden="false" customHeight="false" outlineLevel="0" collapsed="false">
      <c r="A79" s="4" t="s">
        <v>541</v>
      </c>
      <c r="B79" s="5"/>
      <c r="C79" s="5"/>
      <c r="D79" s="5"/>
      <c r="E79" s="5"/>
    </row>
    <row r="80" customFormat="false" ht="15" hidden="false" customHeight="false" outlineLevel="0" collapsed="false">
      <c r="A80" s="6" t="s">
        <v>542</v>
      </c>
      <c r="B80" s="16" t="n">
        <f aca="false">IF(SUM(Monthly_Bear!$C$67:$N$67)=0,0,SUM(Monthly_Bear!$C$64:$N$64)/SUM(Monthly_Bear!$C$67:$N$67))</f>
        <v>0.0152950696036426</v>
      </c>
      <c r="C80" s="16" t="n">
        <f aca="false">IF(SUM(Monthly_Bear!$O$67:$Z$67)=0,0,SUM(Monthly_Bear!$O$64:$Z$64)/SUM(Monthly_Bear!$O$67:$Z$67))</f>
        <v>0.0135115926695159</v>
      </c>
      <c r="D80" s="16" t="n">
        <f aca="false">IF(SUM(Monthly_Bear!$AA$67:$AL$67)=0,0,SUM(Monthly_Bear!$AA$64:$AL$64)/SUM(Monthly_Bear!$AA$67:$AL$67))</f>
        <v>0.0130261475951754</v>
      </c>
      <c r="E80" s="16" t="n">
        <f aca="false">IF(SUM(Monthly_Bear!$C$67:$AL$67)=0,0,SUM(Monthly_Bear!$C$64:$AL$64)/SUM(Monthly_Bear!$C$67:$AL$67))</f>
        <v>0.0134909770153378</v>
      </c>
    </row>
    <row r="81" customFormat="false" ht="15" hidden="false" customHeight="false" outlineLevel="0" collapsed="false">
      <c r="A81" s="6" t="s">
        <v>543</v>
      </c>
      <c r="B81" s="14" t="n">
        <f aca="false">(SUM(Monthly_Bear!$C$91:$N$91)-SUM(Monthly_Bear!$C$64:$N$64))</f>
        <v>-25109.2437763734</v>
      </c>
      <c r="C81" s="14" t="n">
        <f aca="false">(SUM(Monthly_Bear!$O$91:$Z$91)-SUM(Monthly_Bear!$O$64:$Z$64))</f>
        <v>-31719.6417031324</v>
      </c>
      <c r="D81" s="14" t="n">
        <f aca="false">(SUM(Monthly_Bear!$AA$91:$AL$91)-SUM(Monthly_Bear!$AA$64:$AL$64))</f>
        <v>-41024.6730074102</v>
      </c>
      <c r="E81" s="14" t="n">
        <f aca="false">(SUM(Monthly_Bear!$C$91:$AL$91)-SUM(Monthly_Bear!$C$64:$AL$64))</f>
        <v>-97853.5584869161</v>
      </c>
    </row>
    <row r="82" customFormat="false" ht="15" hidden="false" customHeight="false" outlineLevel="0" collapsed="false">
      <c r="A82" s="6" t="s">
        <v>505</v>
      </c>
      <c r="B82" s="14" t="n">
        <f aca="false">SUM(Monthly_Bear!$C$97:$N$97)</f>
        <v>-23197.2141373665</v>
      </c>
      <c r="C82" s="14" t="n">
        <f aca="false">SUM(Monthly_Bear!$O$97:$Z$97)</f>
        <v>-30005.6882061885</v>
      </c>
      <c r="D82" s="14" t="n">
        <f aca="false">SUM(Monthly_Bear!$AA$97:$AL$97)</f>
        <v>-38701.7494127171</v>
      </c>
      <c r="E82" s="14" t="n">
        <f aca="false">SUM(Monthly_Bear!$C$97:$AL$97)</f>
        <v>-91904.6517562721</v>
      </c>
    </row>
    <row r="83" customFormat="false" ht="15" hidden="false" customHeight="false" outlineLevel="0" collapsed="false">
      <c r="A83" s="6" t="s">
        <v>544</v>
      </c>
      <c r="B83" s="14" t="n">
        <f aca="false">Monthly_Bear!N98</f>
        <v>-23197.2141373665</v>
      </c>
      <c r="C83" s="14" t="n">
        <f aca="false">Monthly_Bear!Z98</f>
        <v>-53202.902343555</v>
      </c>
      <c r="D83" s="14" t="n">
        <f aca="false">Monthly_Bear!AL98</f>
        <v>-91904.6517562721</v>
      </c>
      <c r="E83" s="14" t="n">
        <f aca="false">Monthly_Bear!AL98</f>
        <v>-91904.6517562721</v>
      </c>
    </row>
    <row r="84" customFormat="false" ht="15" hidden="false" customHeight="false" outlineLevel="0" collapsed="false">
      <c r="A84" s="6" t="s">
        <v>545</v>
      </c>
      <c r="B84" s="17" t="n">
        <f aca="false">SUM(Monthly_Bear!$C$12:$N$12)</f>
        <v>9419.75061633142</v>
      </c>
      <c r="C84" s="17" t="n">
        <f aca="false">SUM(Monthly_Bear!$O$12:$Z$12)</f>
        <v>14767.0123314037</v>
      </c>
      <c r="D84" s="17" t="n">
        <f aca="false">SUM(Monthly_Bear!$AA$12:$AL$12)</f>
        <v>23160.7545060767</v>
      </c>
      <c r="E84" s="17" t="n">
        <f aca="false">SUM(Monthly_Bear!$C$12:$AL$12)</f>
        <v>47347.5174538118</v>
      </c>
    </row>
    <row r="85" customFormat="false" ht="15" hidden="false" customHeight="false" outlineLevel="0" collapsed="false">
      <c r="A85" s="6" t="s">
        <v>370</v>
      </c>
      <c r="B85" s="17" t="n">
        <f aca="false">SUM(Monthly_Bear!$C$17:$N$17)</f>
        <v>136.774778949132</v>
      </c>
      <c r="C85" s="17" t="n">
        <f aca="false">SUM(Monthly_Bear!$O$17:$Z$17)</f>
        <v>214.417019051982</v>
      </c>
      <c r="D85" s="17" t="n">
        <f aca="false">SUM(Monthly_Bear!$AA$17:$AL$17)</f>
        <v>336.294155428234</v>
      </c>
      <c r="E85" s="17" t="n">
        <f aca="false">SUM(Monthly_Bear!$C$17:$AL$17)</f>
        <v>687.485953429348</v>
      </c>
    </row>
    <row r="86" customFormat="false" ht="15" hidden="false" customHeight="false" outlineLevel="0" collapsed="false">
      <c r="A86" s="6" t="s">
        <v>546</v>
      </c>
      <c r="B86" s="17" t="n">
        <f aca="false">Monthly_Bear!N36</f>
        <v>1353.20981535668</v>
      </c>
      <c r="C86" s="17" t="n">
        <f aca="false">Monthly_Bear!Z36</f>
        <v>2218.71930323123</v>
      </c>
      <c r="D86" s="17" t="n">
        <f aca="false">Monthly_Bear!AL36</f>
        <v>3511.22707395917</v>
      </c>
      <c r="E86" s="17" t="n">
        <f aca="false">Monthly_Bear!AL36</f>
        <v>3511.22707395917</v>
      </c>
    </row>
    <row r="87" customFormat="false" ht="15" hidden="false" customHeight="false" outlineLevel="0" collapsed="false">
      <c r="A87" s="6" t="s">
        <v>547</v>
      </c>
      <c r="B87" s="17" t="n">
        <f aca="false">Monthly_Bear!N29</f>
        <v>107.202589285887</v>
      </c>
      <c r="C87" s="17" t="n">
        <f aca="false">Monthly_Bear!Z29</f>
        <v>194.312262976423</v>
      </c>
      <c r="D87" s="17" t="n">
        <f aca="false">Monthly_Bear!AL29</f>
        <v>312.116028583435</v>
      </c>
      <c r="E87" s="17" t="n">
        <f aca="false">Monthly_Bear!AL29</f>
        <v>312.116028583435</v>
      </c>
    </row>
    <row r="89" customFormat="false" ht="15" hidden="false" customHeight="false" outlineLevel="0" collapsed="false">
      <c r="A89" s="3" t="s">
        <v>549</v>
      </c>
      <c r="B89" s="3" t="s">
        <v>528</v>
      </c>
      <c r="C89" s="3" t="s">
        <v>529</v>
      </c>
      <c r="D89" s="3" t="s">
        <v>530</v>
      </c>
      <c r="E89" s="3" t="s">
        <v>531</v>
      </c>
    </row>
    <row r="90" customFormat="false" ht="15" hidden="false" customHeight="false" outlineLevel="0" collapsed="false">
      <c r="A90" s="4" t="s">
        <v>426</v>
      </c>
      <c r="B90" s="5"/>
      <c r="C90" s="5"/>
      <c r="D90" s="5"/>
      <c r="E90" s="5"/>
    </row>
    <row r="91" customFormat="false" ht="15" hidden="false" customHeight="false" outlineLevel="0" collapsed="false">
      <c r="A91" s="6" t="s">
        <v>435</v>
      </c>
      <c r="B91" s="14" t="n">
        <f aca="false">SUM(Monthly_Bull!$C$57:$N$57)</f>
        <v>112584.693545288</v>
      </c>
      <c r="C91" s="14" t="n">
        <f aca="false">SUM(Monthly_Bull!$O$57:$Z$57)</f>
        <v>460872.94714997</v>
      </c>
      <c r="D91" s="14" t="n">
        <f aca="false">SUM(Monthly_Bull!$AA$57:$AL$57)</f>
        <v>1335145.40452733</v>
      </c>
      <c r="E91" s="14" t="n">
        <f aca="false">SUM(Monthly_Bull!$C$57:$AL$57)</f>
        <v>1908603.04522259</v>
      </c>
    </row>
    <row r="92" customFormat="false" ht="15" hidden="false" customHeight="false" outlineLevel="0" collapsed="false">
      <c r="A92" s="6" t="s">
        <v>437</v>
      </c>
      <c r="B92" s="14" t="n">
        <f aca="false">SUM(Monthly_Bull!$C$58:$N$58)</f>
        <v>-1688.77040317933</v>
      </c>
      <c r="C92" s="14" t="n">
        <f aca="false">SUM(Monthly_Bull!$O$58:$Z$58)</f>
        <v>-6913.09420724954</v>
      </c>
      <c r="D92" s="14" t="n">
        <f aca="false">SUM(Monthly_Bull!$AA$58:$AL$58)</f>
        <v>-20027.18106791</v>
      </c>
      <c r="E92" s="14" t="n">
        <f aca="false">SUM(Monthly_Bull!$C$58:$AL$58)</f>
        <v>-28629.0456783388</v>
      </c>
    </row>
    <row r="93" customFormat="false" ht="15" hidden="false" customHeight="false" outlineLevel="0" collapsed="false">
      <c r="A93" s="6" t="s">
        <v>439</v>
      </c>
      <c r="B93" s="14" t="n">
        <f aca="false">SUM(Monthly_Bull!$C$59:$N$59)</f>
        <v>-16634.3884713164</v>
      </c>
      <c r="C93" s="14" t="n">
        <f aca="false">SUM(Monthly_Bull!$O$59:$Z$59)</f>
        <v>-68093.977941408</v>
      </c>
      <c r="D93" s="14" t="n">
        <f aca="false">SUM(Monthly_Bull!$AA$59:$AL$59)</f>
        <v>-197267.733518913</v>
      </c>
      <c r="E93" s="14" t="n">
        <f aca="false">SUM(Monthly_Bull!$C$59:$AL$59)</f>
        <v>-281996.099931638</v>
      </c>
    </row>
    <row r="94" customFormat="false" ht="15" hidden="false" customHeight="false" outlineLevel="0" collapsed="false">
      <c r="A94" s="24" t="s">
        <v>532</v>
      </c>
      <c r="B94" s="23" t="n">
        <f aca="false">SUM(Monthly_Bull!$C$60:$N$60)</f>
        <v>94261.5346707927</v>
      </c>
      <c r="C94" s="23" t="n">
        <f aca="false">SUM(Monthly_Bull!$O$60:$Z$60)</f>
        <v>385865.875001312</v>
      </c>
      <c r="D94" s="23" t="n">
        <f aca="false">SUM(Monthly_Bull!$AA$60:$AL$60)</f>
        <v>1117850.48994051</v>
      </c>
      <c r="E94" s="23" t="n">
        <f aca="false">SUM(Monthly_Bull!$C$60:$AL$60)</f>
        <v>1597977.89961261</v>
      </c>
    </row>
    <row r="95" customFormat="false" ht="15" hidden="false" customHeight="false" outlineLevel="0" collapsed="false">
      <c r="A95" s="6" t="s">
        <v>533</v>
      </c>
      <c r="B95" s="14" t="n">
        <f aca="false">SUM(Monthly_Bull!$C$64:$N$64)</f>
        <v>6672.19453928768</v>
      </c>
      <c r="C95" s="14" t="n">
        <f aca="false">SUM(Monthly_Bull!$O$64:$Z$64)</f>
        <v>26764.8610155901</v>
      </c>
      <c r="D95" s="14" t="n">
        <f aca="false">SUM(Monthly_Bull!$AA$64:$AL$64)</f>
        <v>76446.3861204774</v>
      </c>
      <c r="E95" s="14" t="n">
        <f aca="false">SUM(Monthly_Bull!$C$64:$AL$64)</f>
        <v>109883.441675355</v>
      </c>
    </row>
    <row r="96" customFormat="false" ht="15" hidden="false" customHeight="false" outlineLevel="0" collapsed="false">
      <c r="A96" s="6" t="s">
        <v>162</v>
      </c>
      <c r="B96" s="14" t="n">
        <f aca="false">SUM(Monthly_Bull!$C$65:$N$65)</f>
        <v>3099.78189893051</v>
      </c>
      <c r="C96" s="14" t="n">
        <f aca="false">SUM(Monthly_Bull!$O$65:$Z$65)</f>
        <v>16026.2363853932</v>
      </c>
      <c r="D96" s="14" t="n">
        <f aca="false">SUM(Monthly_Bull!$AA$65:$AL$65)</f>
        <v>45929.3691435201</v>
      </c>
      <c r="E96" s="14" t="n">
        <f aca="false">SUM(Monthly_Bull!$C$65:$AL$65)</f>
        <v>65055.3874278438</v>
      </c>
    </row>
    <row r="97" customFormat="false" ht="15" hidden="false" customHeight="false" outlineLevel="0" collapsed="false">
      <c r="A97" s="6" t="s">
        <v>534</v>
      </c>
      <c r="B97" s="14" t="n">
        <f aca="false">SUM(Monthly_Bull!$C$66:$N$66)</f>
        <v>0</v>
      </c>
      <c r="C97" s="14" t="n">
        <f aca="false">SUM(Monthly_Bull!$O$66:$Z$66)</f>
        <v>0</v>
      </c>
      <c r="D97" s="14" t="n">
        <f aca="false">SUM(Monthly_Bull!$AA$66:$AL$66)</f>
        <v>0</v>
      </c>
      <c r="E97" s="14" t="n">
        <f aca="false">SUM(Monthly_Bull!$C$66:$AL$66)</f>
        <v>0</v>
      </c>
    </row>
    <row r="98" customFormat="false" ht="15" hidden="false" customHeight="false" outlineLevel="0" collapsed="false">
      <c r="A98" s="24" t="s">
        <v>454</v>
      </c>
      <c r="B98" s="23" t="n">
        <f aca="false">SUM(Monthly_Bull!$C$67:$N$67)</f>
        <v>104033.511109011</v>
      </c>
      <c r="C98" s="23" t="n">
        <f aca="false">SUM(Monthly_Bull!$O$67:$Z$67)</f>
        <v>428656.972402295</v>
      </c>
      <c r="D98" s="23" t="n">
        <f aca="false">SUM(Monthly_Bull!$AA$67:$AL$67)</f>
        <v>1240226.24520451</v>
      </c>
      <c r="E98" s="23" t="n">
        <f aca="false">SUM(Monthly_Bull!$C$67:$AL$67)</f>
        <v>1772916.72871581</v>
      </c>
    </row>
    <row r="99" customFormat="false" ht="15" hidden="false" customHeight="false" outlineLevel="0" collapsed="false">
      <c r="A99" s="4" t="s">
        <v>535</v>
      </c>
      <c r="B99" s="5"/>
      <c r="C99" s="5"/>
      <c r="D99" s="5"/>
      <c r="E99" s="5"/>
    </row>
    <row r="100" customFormat="false" ht="15" hidden="false" customHeight="false" outlineLevel="0" collapsed="false">
      <c r="A100" s="6" t="s">
        <v>536</v>
      </c>
      <c r="B100" s="14" t="n">
        <f aca="false">SUM(Monthly_Bull!$C$70:$N$70)</f>
        <v>4200</v>
      </c>
      <c r="C100" s="14" t="n">
        <f aca="false">SUM(Monthly_Bull!$O$70:$Z$70)</f>
        <v>4200</v>
      </c>
      <c r="D100" s="14" t="n">
        <f aca="false">SUM(Monthly_Bull!$AA$70:$AL$70)</f>
        <v>12800</v>
      </c>
      <c r="E100" s="14" t="n">
        <f aca="false">SUM(Monthly_Bull!$C$70:$AL$70)</f>
        <v>21200</v>
      </c>
    </row>
    <row r="101" customFormat="false" ht="15" hidden="false" customHeight="false" outlineLevel="0" collapsed="false">
      <c r="A101" s="6" t="s">
        <v>459</v>
      </c>
      <c r="B101" s="14" t="n">
        <f aca="false">SUM(Monthly_Bull!$C$71:$N$71)</f>
        <v>0</v>
      </c>
      <c r="C101" s="14" t="n">
        <f aca="false">SUM(Monthly_Bull!$O$71:$Z$71)</f>
        <v>47569.1158941695</v>
      </c>
      <c r="D101" s="14" t="n">
        <f aca="false">SUM(Monthly_Bull!$AA$71:$AL$71)</f>
        <v>136479.947657721</v>
      </c>
      <c r="E101" s="14" t="n">
        <f aca="false">SUM(Monthly_Bull!$C$71:$AL$71)</f>
        <v>184049.063551891</v>
      </c>
    </row>
    <row r="102" customFormat="false" ht="15" hidden="false" customHeight="false" outlineLevel="0" collapsed="false">
      <c r="A102" s="6" t="s">
        <v>537</v>
      </c>
      <c r="B102" s="14" t="n">
        <f aca="false">SUM(Monthly_Bull!$C$72:$N$72)</f>
        <v>1566.30790569892</v>
      </c>
      <c r="C102" s="14" t="n">
        <f aca="false">SUM(Monthly_Bull!$O$72:$Z$72)</f>
        <v>4161.38586342071</v>
      </c>
      <c r="D102" s="14" t="n">
        <f aca="false">SUM(Monthly_Bull!$AA$72:$AL$72)</f>
        <v>10806.5264763378</v>
      </c>
      <c r="E102" s="14" t="n">
        <f aca="false">SUM(Monthly_Bull!$C$72:$AL$72)</f>
        <v>16534.2202454574</v>
      </c>
    </row>
    <row r="103" customFormat="false" ht="15" hidden="false" customHeight="false" outlineLevel="0" collapsed="false">
      <c r="A103" s="6" t="s">
        <v>538</v>
      </c>
      <c r="B103" s="14" t="n">
        <f aca="false">SUM(Monthly_Bull!$C$73:$N$73)</f>
        <v>3102.51891795131</v>
      </c>
      <c r="C103" s="14" t="n">
        <f aca="false">SUM(Monthly_Bull!$O$73:$Z$73)</f>
        <v>17254.6680711215</v>
      </c>
      <c r="D103" s="14" t="n">
        <f aca="false">SUM(Monthly_Bull!$AA$73:$AL$73)</f>
        <v>50315.6930096812</v>
      </c>
      <c r="E103" s="14" t="n">
        <f aca="false">SUM(Monthly_Bull!$C$73:$AL$73)</f>
        <v>70672.879998754</v>
      </c>
    </row>
    <row r="104" customFormat="false" ht="15" hidden="false" customHeight="false" outlineLevel="0" collapsed="false">
      <c r="A104" s="6" t="s">
        <v>539</v>
      </c>
      <c r="B104" s="14" t="n">
        <f aca="false">SUM(Monthly_Bull!$C$74:$N$74)</f>
        <v>1546.51524174489</v>
      </c>
      <c r="C104" s="14" t="n">
        <f aca="false">SUM(Monthly_Bull!$O$74:$Z$74)</f>
        <v>5961.44714011733</v>
      </c>
      <c r="D104" s="14" t="n">
        <f aca="false">SUM(Monthly_Bull!$AA$74:$AL$74)</f>
        <v>17403.5401906837</v>
      </c>
      <c r="E104" s="14" t="n">
        <f aca="false">SUM(Monthly_Bull!$C$74:$AL$74)</f>
        <v>24911.5025725459</v>
      </c>
    </row>
    <row r="105" customFormat="false" ht="15" hidden="false" customHeight="false" outlineLevel="0" collapsed="false">
      <c r="A105" s="6" t="s">
        <v>540</v>
      </c>
      <c r="B105" s="14" t="n">
        <f aca="false">SUM(Monthly_Bull!$C$75:$N$75)</f>
        <v>0</v>
      </c>
      <c r="C105" s="14" t="n">
        <f aca="false">SUM(Monthly_Bull!$O$75:$Z$75)</f>
        <v>0</v>
      </c>
      <c r="D105" s="14" t="n">
        <f aca="false">SUM(Monthly_Bull!$AA$75:$AL$75)</f>
        <v>0</v>
      </c>
      <c r="E105" s="14" t="n">
        <f aca="false">SUM(Monthly_Bull!$C$75:$AL$75)</f>
        <v>0</v>
      </c>
    </row>
    <row r="106" customFormat="false" ht="15" hidden="false" customHeight="false" outlineLevel="0" collapsed="false">
      <c r="A106" s="24" t="s">
        <v>469</v>
      </c>
      <c r="B106" s="23" t="n">
        <f aca="false">SUM(Monthly_Bull!$C$76:$N$76)</f>
        <v>10415.3420653951</v>
      </c>
      <c r="C106" s="23" t="n">
        <f aca="false">SUM(Monthly_Bull!$O$76:$Z$76)</f>
        <v>79146.616968829</v>
      </c>
      <c r="D106" s="23" t="n">
        <f aca="false">SUM(Monthly_Bull!$AA$76:$AL$76)</f>
        <v>227805.707334424</v>
      </c>
      <c r="E106" s="23" t="n">
        <f aca="false">SUM(Monthly_Bull!$C$76:$AL$76)</f>
        <v>317367.666368648</v>
      </c>
    </row>
    <row r="107" customFormat="false" ht="15" hidden="false" customHeight="false" outlineLevel="0" collapsed="false">
      <c r="A107" s="24" t="s">
        <v>471</v>
      </c>
      <c r="B107" s="23" t="n">
        <f aca="false">SUM(Monthly_Bull!$C$77:$N$77)</f>
        <v>93618.1690436157</v>
      </c>
      <c r="C107" s="23" t="n">
        <f aca="false">SUM(Monthly_Bull!$O$77:$Z$77)</f>
        <v>349510.355433466</v>
      </c>
      <c r="D107" s="23" t="n">
        <f aca="false">SUM(Monthly_Bull!$AA$77:$AL$77)</f>
        <v>1012420.53787008</v>
      </c>
      <c r="E107" s="23" t="n">
        <f aca="false">SUM(Monthly_Bull!$C$77:$AL$77)</f>
        <v>1455549.06234716</v>
      </c>
    </row>
    <row r="108" customFormat="false" ht="15" hidden="false" customHeight="false" outlineLevel="0" collapsed="false">
      <c r="A108" s="6" t="s">
        <v>473</v>
      </c>
      <c r="B108" s="16" t="n">
        <f aca="false">IF(SUM(Monthly_Bull!$C$67:$N$67)=0,0,SUM(Monthly_Bull!$C$77:$N$77)/SUM(Monthly_Bull!$C$67:$N$67))</f>
        <v>0.899884739500127</v>
      </c>
      <c r="C108" s="16" t="n">
        <f aca="false">IF(SUM(Monthly_Bull!$O$67:$Z$67)=0,0,SUM(Monthly_Bull!$O$77:$Z$77)/SUM(Monthly_Bull!$O$67:$Z$67))</f>
        <v>0.815361414687197</v>
      </c>
      <c r="D108" s="16" t="n">
        <f aca="false">IF(SUM(Monthly_Bull!$AA$67:$AL$67)=0,0,SUM(Monthly_Bull!$AA$77:$AL$77)/SUM(Monthly_Bull!$AA$67:$AL$67))</f>
        <v>0.81631923351464</v>
      </c>
      <c r="E108" s="16" t="n">
        <f aca="false">IF(SUM(Monthly_Bull!$C$67:$AL$67)=0,0,SUM(Monthly_Bull!$C$77:$AL$77)/SUM(Monthly_Bull!$C$67:$AL$67))</f>
        <v>0.820991216773881</v>
      </c>
    </row>
    <row r="109" customFormat="false" ht="15" hidden="false" customHeight="false" outlineLevel="0" collapsed="false">
      <c r="A109" s="4" t="s">
        <v>475</v>
      </c>
      <c r="B109" s="5"/>
      <c r="C109" s="5"/>
      <c r="D109" s="5"/>
      <c r="E109" s="5"/>
    </row>
    <row r="110" customFormat="false" ht="15" hidden="false" customHeight="false" outlineLevel="0" collapsed="false">
      <c r="A110" s="6" t="s">
        <v>476</v>
      </c>
      <c r="B110" s="14" t="n">
        <f aca="false">SUM(Monthly_Bull!$C$81:$N$81)</f>
        <v>0</v>
      </c>
      <c r="C110" s="14" t="n">
        <f aca="false">SUM(Monthly_Bull!$O$81:$Z$81)</f>
        <v>0</v>
      </c>
      <c r="D110" s="14" t="n">
        <f aca="false">SUM(Monthly_Bull!$AA$81:$AL$81)</f>
        <v>0</v>
      </c>
      <c r="E110" s="14" t="n">
        <f aca="false">SUM(Monthly_Bull!$C$81:$AL$81)</f>
        <v>0</v>
      </c>
    </row>
    <row r="111" customFormat="false" ht="15" hidden="false" customHeight="false" outlineLevel="0" collapsed="false">
      <c r="A111" s="6" t="s">
        <v>478</v>
      </c>
      <c r="B111" s="14" t="n">
        <f aca="false">SUM(Monthly_Bull!$C$82:$N$82)</f>
        <v>12000</v>
      </c>
      <c r="C111" s="14" t="n">
        <f aca="false">SUM(Monthly_Bull!$O$82:$Z$82)</f>
        <v>36000</v>
      </c>
      <c r="D111" s="14" t="n">
        <f aca="false">SUM(Monthly_Bull!$AA$82:$AL$82)</f>
        <v>72000</v>
      </c>
      <c r="E111" s="14" t="n">
        <f aca="false">SUM(Monthly_Bull!$C$82:$AL$82)</f>
        <v>120000</v>
      </c>
    </row>
    <row r="112" customFormat="false" ht="15" hidden="false" customHeight="false" outlineLevel="0" collapsed="false">
      <c r="A112" s="6" t="s">
        <v>480</v>
      </c>
      <c r="B112" s="14" t="n">
        <f aca="false">SUM(Monthly_Bull!$C$83:$N$83)</f>
        <v>16869.9411972592</v>
      </c>
      <c r="C112" s="14" t="n">
        <f aca="false">SUM(Monthly_Bull!$O$83:$Z$83)</f>
        <v>33945.6361571981</v>
      </c>
      <c r="D112" s="14" t="n">
        <f aca="false">SUM(Monthly_Bull!$AA$83:$AL$83)</f>
        <v>68305.2893097274</v>
      </c>
      <c r="E112" s="14" t="n">
        <f aca="false">SUM(Monthly_Bull!$C$83:$AL$83)</f>
        <v>119120.866664185</v>
      </c>
    </row>
    <row r="113" customFormat="false" ht="15" hidden="false" customHeight="false" outlineLevel="0" collapsed="false">
      <c r="A113" s="6" t="s">
        <v>482</v>
      </c>
      <c r="B113" s="14" t="n">
        <f aca="false">SUM(Monthly_Bull!$C$84:$N$84)</f>
        <v>11977.9887488594</v>
      </c>
      <c r="C113" s="14" t="n">
        <f aca="false">SUM(Monthly_Bull!$O$84:$Z$84)</f>
        <v>32887.188034858</v>
      </c>
      <c r="D113" s="14" t="n">
        <f aca="false">SUM(Monthly_Bull!$AA$84:$AL$84)</f>
        <v>74068.2482766802</v>
      </c>
      <c r="E113" s="14" t="n">
        <f aca="false">SUM(Monthly_Bull!$C$84:$AL$84)</f>
        <v>118933.425060398</v>
      </c>
    </row>
    <row r="114" customFormat="false" ht="15" hidden="false" customHeight="false" outlineLevel="0" collapsed="false">
      <c r="A114" s="6" t="s">
        <v>484</v>
      </c>
      <c r="B114" s="14" t="n">
        <f aca="false">SUM(Monthly_Bull!$C$85:$N$85)</f>
        <v>1800</v>
      </c>
      <c r="C114" s="14" t="n">
        <f aca="false">SUM(Monthly_Bull!$O$85:$Z$85)</f>
        <v>1800</v>
      </c>
      <c r="D114" s="14" t="n">
        <f aca="false">SUM(Monthly_Bull!$AA$85:$AL$85)</f>
        <v>1800</v>
      </c>
      <c r="E114" s="14" t="n">
        <f aca="false">SUM(Monthly_Bull!$C$85:$AL$85)</f>
        <v>5400</v>
      </c>
    </row>
    <row r="115" customFormat="false" ht="15" hidden="false" customHeight="false" outlineLevel="0" collapsed="false">
      <c r="A115" s="6" t="s">
        <v>486</v>
      </c>
      <c r="B115" s="14" t="n">
        <f aca="false">SUM(Monthly_Bull!$C$86:$N$86)</f>
        <v>4900</v>
      </c>
      <c r="C115" s="14" t="n">
        <f aca="false">SUM(Monthly_Bull!$O$86:$Z$86)</f>
        <v>2200</v>
      </c>
      <c r="D115" s="14" t="n">
        <f aca="false">SUM(Monthly_Bull!$AA$86:$AL$86)</f>
        <v>2200</v>
      </c>
      <c r="E115" s="14" t="n">
        <f aca="false">SUM(Monthly_Bull!$C$86:$AL$86)</f>
        <v>9300</v>
      </c>
    </row>
    <row r="116" customFormat="false" ht="15" hidden="false" customHeight="false" outlineLevel="0" collapsed="false">
      <c r="A116" s="6" t="s">
        <v>488</v>
      </c>
      <c r="B116" s="14" t="n">
        <f aca="false">SUM(Monthly_Bull!$C$87:$N$87)</f>
        <v>1800</v>
      </c>
      <c r="C116" s="14" t="n">
        <f aca="false">SUM(Monthly_Bull!$O$87:$Z$87)</f>
        <v>3000</v>
      </c>
      <c r="D116" s="14" t="n">
        <f aca="false">SUM(Monthly_Bull!$AA$87:$AL$87)</f>
        <v>4800</v>
      </c>
      <c r="E116" s="14" t="n">
        <f aca="false">SUM(Monthly_Bull!$C$87:$AL$87)</f>
        <v>9600</v>
      </c>
    </row>
    <row r="117" customFormat="false" ht="15" hidden="false" customHeight="false" outlineLevel="0" collapsed="false">
      <c r="A117" s="6" t="s">
        <v>490</v>
      </c>
      <c r="B117" s="14" t="n">
        <f aca="false">SUM(Monthly_Bull!$C$88:$N$88)</f>
        <v>124</v>
      </c>
      <c r="C117" s="14" t="n">
        <f aca="false">SUM(Monthly_Bull!$O$88:$Z$88)</f>
        <v>99</v>
      </c>
      <c r="D117" s="14" t="n">
        <f aca="false">SUM(Monthly_Bull!$AA$88:$AL$88)</f>
        <v>99</v>
      </c>
      <c r="E117" s="14" t="n">
        <f aca="false">SUM(Monthly_Bull!$C$88:$AL$88)</f>
        <v>322</v>
      </c>
    </row>
    <row r="118" customFormat="false" ht="15" hidden="false" customHeight="false" outlineLevel="0" collapsed="false">
      <c r="A118" s="6" t="s">
        <v>492</v>
      </c>
      <c r="B118" s="14" t="n">
        <f aca="false">SUM(Monthly_Bull!$C$89:$N$89)</f>
        <v>1200</v>
      </c>
      <c r="C118" s="14" t="n">
        <f aca="false">SUM(Monthly_Bull!$O$89:$Z$89)</f>
        <v>1200</v>
      </c>
      <c r="D118" s="14" t="n">
        <f aca="false">SUM(Monthly_Bull!$AA$89:$AL$89)</f>
        <v>1200</v>
      </c>
      <c r="E118" s="14" t="n">
        <f aca="false">SUM(Monthly_Bull!$C$89:$AL$89)</f>
        <v>3600</v>
      </c>
    </row>
    <row r="119" customFormat="false" ht="15" hidden="false" customHeight="false" outlineLevel="0" collapsed="false">
      <c r="A119" s="24" t="s">
        <v>494</v>
      </c>
      <c r="B119" s="23" t="n">
        <f aca="false">SUM(Monthly_Bull!$C$90:$N$90)</f>
        <v>50671.9299461185</v>
      </c>
      <c r="C119" s="23" t="n">
        <f aca="false">SUM(Monthly_Bull!$O$90:$Z$90)</f>
        <v>111131.824192056</v>
      </c>
      <c r="D119" s="23" t="n">
        <f aca="false">SUM(Monthly_Bull!$AA$90:$AL$90)</f>
        <v>224472.537586408</v>
      </c>
      <c r="E119" s="23" t="n">
        <f aca="false">SUM(Monthly_Bull!$C$90:$AL$90)</f>
        <v>386276.291724582</v>
      </c>
    </row>
    <row r="120" customFormat="false" ht="15" hidden="false" customHeight="false" outlineLevel="0" collapsed="false">
      <c r="A120" s="24" t="s">
        <v>496</v>
      </c>
      <c r="B120" s="23" t="n">
        <f aca="false">SUM(Monthly_Bull!$C$91:$N$91)</f>
        <v>42946.2390974972</v>
      </c>
      <c r="C120" s="23" t="n">
        <f aca="false">SUM(Monthly_Bull!$O$91:$Z$91)</f>
        <v>238378.53124141</v>
      </c>
      <c r="D120" s="23" t="n">
        <f aca="false">SUM(Monthly_Bull!$AA$91:$AL$91)</f>
        <v>787948.000283674</v>
      </c>
      <c r="E120" s="23" t="n">
        <f aca="false">SUM(Monthly_Bull!$C$91:$AL$91)</f>
        <v>1069272.77062258</v>
      </c>
    </row>
    <row r="121" customFormat="false" ht="15" hidden="false" customHeight="false" outlineLevel="0" collapsed="false">
      <c r="A121" s="6" t="s">
        <v>498</v>
      </c>
      <c r="B121" s="16" t="n">
        <f aca="false">IF(SUM(Monthly_Bull!$C$67:$N$67)=0,0,SUM(Monthly_Bull!$C$91:$N$91)/SUM(Monthly_Bull!$C$67:$N$67))</f>
        <v>0.412811589647265</v>
      </c>
      <c r="C121" s="16" t="n">
        <f aca="false">IF(SUM(Monthly_Bull!$O$67:$Z$67)=0,0,SUM(Monthly_Bull!$O$91:$Z$91)/SUM(Monthly_Bull!$O$67:$Z$67))</f>
        <v>0.556105572960777</v>
      </c>
      <c r="D121" s="16" t="n">
        <f aca="false">IF(SUM(Monthly_Bull!$AA$67:$AL$67)=0,0,SUM(Monthly_Bull!$AA$91:$AL$91)/SUM(Monthly_Bull!$AA$67:$AL$67))</f>
        <v>0.635326016789579</v>
      </c>
      <c r="E121" s="16" t="n">
        <f aca="false">IF(SUM(Monthly_Bull!$C$67:$AL$67)=0,0,SUM(Monthly_Bull!$C$91:$AL$91)/SUM(Monthly_Bull!$C$67:$AL$67))</f>
        <v>0.603115055153828</v>
      </c>
    </row>
    <row r="122" customFormat="false" ht="15" hidden="false" customHeight="false" outlineLevel="0" collapsed="false">
      <c r="A122" s="4" t="s">
        <v>541</v>
      </c>
      <c r="B122" s="5"/>
      <c r="C122" s="5"/>
      <c r="D122" s="5"/>
      <c r="E122" s="5"/>
    </row>
    <row r="123" customFormat="false" ht="15" hidden="false" customHeight="false" outlineLevel="0" collapsed="false">
      <c r="A123" s="6" t="s">
        <v>542</v>
      </c>
      <c r="B123" s="16" t="n">
        <f aca="false">IF(SUM(Monthly_Bull!$C$67:$N$67)=0,0,SUM(Monthly_Bull!$C$64:$N$64)/SUM(Monthly_Bull!$C$67:$N$67))</f>
        <v>0.064135050986564</v>
      </c>
      <c r="C123" s="16" t="n">
        <f aca="false">IF(SUM(Monthly_Bull!$O$67:$Z$67)=0,0,SUM(Monthly_Bull!$O$64:$Z$64)/SUM(Monthly_Bull!$O$67:$Z$67))</f>
        <v>0.0624388794275141</v>
      </c>
      <c r="D123" s="16" t="n">
        <f aca="false">IF(SUM(Monthly_Bull!$AA$67:$AL$67)=0,0,SUM(Monthly_Bull!$AA$64:$AL$64)/SUM(Monthly_Bull!$AA$67:$AL$67))</f>
        <v>0.0616390649819476</v>
      </c>
      <c r="E123" s="16" t="n">
        <f aca="false">IF(SUM(Monthly_Bull!$C$67:$AL$67)=0,0,SUM(Monthly_Bull!$C$64:$AL$64)/SUM(Monthly_Bull!$C$67:$AL$67))</f>
        <v>0.0619789073539555</v>
      </c>
    </row>
    <row r="124" customFormat="false" ht="15" hidden="false" customHeight="false" outlineLevel="0" collapsed="false">
      <c r="A124" s="6" t="s">
        <v>543</v>
      </c>
      <c r="B124" s="14" t="n">
        <f aca="false">(SUM(Monthly_Bull!$C$91:$N$91)-SUM(Monthly_Bull!$C$64:$N$64))</f>
        <v>36274.0445582095</v>
      </c>
      <c r="C124" s="14" t="n">
        <f aca="false">(SUM(Monthly_Bull!$O$91:$Z$91)-SUM(Monthly_Bull!$O$64:$Z$64))</f>
        <v>211613.67022582</v>
      </c>
      <c r="D124" s="14" t="n">
        <f aca="false">(SUM(Monthly_Bull!$AA$91:$AL$91)-SUM(Monthly_Bull!$AA$64:$AL$64))</f>
        <v>711501.614163197</v>
      </c>
      <c r="E124" s="14" t="n">
        <f aca="false">(SUM(Monthly_Bull!$C$91:$AL$91)-SUM(Monthly_Bull!$C$64:$AL$64))</f>
        <v>959389.328947227</v>
      </c>
    </row>
    <row r="125" customFormat="false" ht="15" hidden="false" customHeight="false" outlineLevel="0" collapsed="false">
      <c r="A125" s="6" t="s">
        <v>505</v>
      </c>
      <c r="B125" s="14" t="n">
        <f aca="false">SUM(Monthly_Bull!$C$97:$N$97)</f>
        <v>103284.193041795</v>
      </c>
      <c r="C125" s="14" t="n">
        <f aca="false">SUM(Monthly_Bull!$O$97:$Z$97)</f>
        <v>376752.318046421</v>
      </c>
      <c r="D125" s="14" t="n">
        <f aca="false">SUM(Monthly_Bull!$AA$97:$AL$97)</f>
        <v>1152326.41280816</v>
      </c>
      <c r="E125" s="14" t="n">
        <f aca="false">SUM(Monthly_Bull!$C$97:$AL$97)</f>
        <v>1632362.92389638</v>
      </c>
    </row>
    <row r="126" customFormat="false" ht="15" hidden="false" customHeight="false" outlineLevel="0" collapsed="false">
      <c r="A126" s="6" t="s">
        <v>544</v>
      </c>
      <c r="B126" s="14" t="n">
        <f aca="false">Monthly_Bull!N98</f>
        <v>103284.193041795</v>
      </c>
      <c r="C126" s="14" t="n">
        <f aca="false">Monthly_Bull!Z98</f>
        <v>480036.511088217</v>
      </c>
      <c r="D126" s="14" t="n">
        <f aca="false">Monthly_Bull!AL98</f>
        <v>1632362.92389638</v>
      </c>
      <c r="E126" s="14" t="n">
        <f aca="false">Monthly_Bull!AL98</f>
        <v>1632362.92389638</v>
      </c>
    </row>
    <row r="127" customFormat="false" ht="15" hidden="false" customHeight="false" outlineLevel="0" collapsed="false">
      <c r="A127" s="6" t="s">
        <v>545</v>
      </c>
      <c r="B127" s="17" t="n">
        <f aca="false">SUM(Monthly_Bull!$C$12:$N$12)</f>
        <v>51355.7214084609</v>
      </c>
      <c r="C127" s="17" t="n">
        <f aca="false">SUM(Monthly_Bull!$O$12:$Z$12)</f>
        <v>143766.807276162</v>
      </c>
      <c r="D127" s="17" t="n">
        <f aca="false">SUM(Monthly_Bull!$AA$12:$AL$12)</f>
        <v>394601.671646044</v>
      </c>
      <c r="E127" s="17" t="n">
        <f aca="false">SUM(Monthly_Bull!$C$12:$AL$12)</f>
        <v>589724.200330666</v>
      </c>
    </row>
    <row r="128" customFormat="false" ht="15" hidden="false" customHeight="false" outlineLevel="0" collapsed="false">
      <c r="A128" s="6" t="s">
        <v>370</v>
      </c>
      <c r="B128" s="17" t="n">
        <f aca="false">SUM(Monthly_Bull!$C$17:$N$17)</f>
        <v>2156.94029915536</v>
      </c>
      <c r="C128" s="17" t="n">
        <f aca="false">SUM(Monthly_Bull!$O$17:$Z$17)</f>
        <v>6038.2059055988</v>
      </c>
      <c r="D128" s="17" t="n">
        <f aca="false">SUM(Monthly_Bull!$AA$17:$AL$17)</f>
        <v>16573.2702091338</v>
      </c>
      <c r="E128" s="17" t="n">
        <f aca="false">SUM(Monthly_Bull!$C$17:$AL$17)</f>
        <v>24768.416413888</v>
      </c>
    </row>
    <row r="129" customFormat="false" ht="15" hidden="false" customHeight="false" outlineLevel="0" collapsed="false">
      <c r="A129" s="6" t="s">
        <v>546</v>
      </c>
      <c r="B129" s="17" t="n">
        <f aca="false">Monthly_Bull!N36</f>
        <v>15059.897755225</v>
      </c>
      <c r="C129" s="17" t="n">
        <f aca="false">Monthly_Bull!Z36</f>
        <v>46536.32424455</v>
      </c>
      <c r="D129" s="17" t="n">
        <f aca="false">Monthly_Bull!AL36</f>
        <v>130242.649269898</v>
      </c>
      <c r="E129" s="17" t="n">
        <f aca="false">Monthly_Bull!AL36</f>
        <v>130242.649269898</v>
      </c>
    </row>
    <row r="130" customFormat="false" ht="15" hidden="false" customHeight="false" outlineLevel="0" collapsed="false">
      <c r="A130" s="6" t="s">
        <v>547</v>
      </c>
      <c r="B130" s="17" t="n">
        <f aca="false">Monthly_Bull!N29</f>
        <v>1925.78258793147</v>
      </c>
      <c r="C130" s="17" t="n">
        <f aca="false">Monthly_Bull!Z29</f>
        <v>6271.76426664208</v>
      </c>
      <c r="D130" s="17" t="n">
        <f aca="false">Monthly_Bull!AL29</f>
        <v>17698.3987265531</v>
      </c>
      <c r="E130" s="17" t="n">
        <f aca="false">Monthly_Bull!AL29</f>
        <v>17698.3987265531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4" min="2" style="0" width="15"/>
  </cols>
  <sheetData>
    <row r="1" customFormat="false" ht="16.15" hidden="false" customHeight="false" outlineLevel="0" collapsed="false">
      <c r="A1" s="1" t="s">
        <v>550</v>
      </c>
    </row>
    <row r="3" customFormat="false" ht="15" hidden="false" customHeight="false" outlineLevel="0" collapsed="false">
      <c r="A3" s="3" t="s">
        <v>551</v>
      </c>
      <c r="B3" s="3" t="s">
        <v>6</v>
      </c>
      <c r="C3" s="3" t="s">
        <v>7</v>
      </c>
      <c r="D3" s="3" t="s">
        <v>8</v>
      </c>
    </row>
    <row r="4" customFormat="false" ht="15" hidden="false" customHeight="false" outlineLevel="0" collapsed="false">
      <c r="A4" s="4" t="s">
        <v>552</v>
      </c>
      <c r="B4" s="5"/>
      <c r="C4" s="5"/>
      <c r="D4" s="5"/>
    </row>
    <row r="5" customFormat="false" ht="15" hidden="false" customHeight="false" outlineLevel="0" collapsed="false">
      <c r="A5" s="6" t="s">
        <v>553</v>
      </c>
      <c r="B5" s="25" t="n">
        <f aca="false">SUM(Monthly_Base!$C$12:$AL$12)</f>
        <v>171146.374234048</v>
      </c>
      <c r="C5" s="25" t="n">
        <f aca="false">SUM(Monthly_Bear!$C$12:$AL$12)</f>
        <v>47347.5174538118</v>
      </c>
      <c r="D5" s="25" t="n">
        <f aca="false">SUM(Monthly_Bull!$C$12:$AL$12)</f>
        <v>589724.200330666</v>
      </c>
    </row>
    <row r="6" customFormat="false" ht="15" hidden="false" customHeight="false" outlineLevel="0" collapsed="false">
      <c r="A6" s="6" t="s">
        <v>554</v>
      </c>
      <c r="B6" s="25" t="n">
        <f aca="false">Monthly_Base!N36</f>
        <v>4428.98079698838</v>
      </c>
      <c r="C6" s="25" t="n">
        <f aca="false">Monthly_Bear!N36</f>
        <v>1353.20981535668</v>
      </c>
      <c r="D6" s="25" t="n">
        <f aca="false">Monthly_Bull!N36</f>
        <v>15059.897755225</v>
      </c>
    </row>
    <row r="7" customFormat="false" ht="15" hidden="false" customHeight="false" outlineLevel="0" collapsed="false">
      <c r="A7" s="6" t="s">
        <v>555</v>
      </c>
      <c r="B7" s="25" t="n">
        <f aca="false">Monthly_Base!Z36</f>
        <v>10630.0537659269</v>
      </c>
      <c r="C7" s="25" t="n">
        <f aca="false">Monthly_Bear!Z36</f>
        <v>2218.71930323123</v>
      </c>
      <c r="D7" s="25" t="n">
        <f aca="false">Monthly_Bull!Z36</f>
        <v>46536.32424455</v>
      </c>
    </row>
    <row r="8" customFormat="false" ht="15" hidden="false" customHeight="false" outlineLevel="0" collapsed="false">
      <c r="A8" s="6" t="s">
        <v>556</v>
      </c>
      <c r="B8" s="25" t="n">
        <f aca="false">Monthly_Base!AL36</f>
        <v>23824.3441083208</v>
      </c>
      <c r="C8" s="25" t="n">
        <f aca="false">Monthly_Bear!AL36</f>
        <v>3511.22707395917</v>
      </c>
      <c r="D8" s="25" t="n">
        <f aca="false">Monthly_Bull!AL36</f>
        <v>130242.649269898</v>
      </c>
    </row>
    <row r="9" customFormat="false" ht="15" hidden="false" customHeight="false" outlineLevel="0" collapsed="false">
      <c r="A9" s="6" t="s">
        <v>557</v>
      </c>
      <c r="B9" s="25" t="n">
        <f aca="false">Monthly_Base!N29</f>
        <v>440.865057944765</v>
      </c>
      <c r="C9" s="25" t="n">
        <f aca="false">Monthly_Bear!N29</f>
        <v>107.202589285887</v>
      </c>
      <c r="D9" s="25" t="n">
        <f aca="false">Monthly_Bull!N29</f>
        <v>1925.78258793147</v>
      </c>
    </row>
    <row r="10" customFormat="false" ht="15" hidden="false" customHeight="false" outlineLevel="0" collapsed="false">
      <c r="A10" s="6" t="s">
        <v>558</v>
      </c>
      <c r="B10" s="25" t="n">
        <f aca="false">Monthly_Base!Z29</f>
        <v>1136.9392877636</v>
      </c>
      <c r="C10" s="25" t="n">
        <f aca="false">Monthly_Bear!Z29</f>
        <v>194.312262976423</v>
      </c>
      <c r="D10" s="25" t="n">
        <f aca="false">Monthly_Bull!Z29</f>
        <v>6271.76426664208</v>
      </c>
    </row>
    <row r="11" customFormat="false" ht="15" hidden="false" customHeight="false" outlineLevel="0" collapsed="false">
      <c r="A11" s="6" t="s">
        <v>559</v>
      </c>
      <c r="B11" s="25" t="n">
        <f aca="false">Monthly_Base!AL29</f>
        <v>2575.90277838142</v>
      </c>
      <c r="C11" s="25" t="n">
        <f aca="false">Monthly_Bear!AL29</f>
        <v>312.116028583435</v>
      </c>
      <c r="D11" s="25" t="n">
        <f aca="false">Monthly_Bull!AL29</f>
        <v>17698.3987265531</v>
      </c>
    </row>
    <row r="12" customFormat="false" ht="15" hidden="false" customHeight="false" outlineLevel="0" collapsed="false">
      <c r="A12" s="6" t="s">
        <v>560</v>
      </c>
      <c r="B12" s="26" t="n">
        <f aca="false">Monthly_Base!AL37</f>
        <v>0.10812061673848</v>
      </c>
      <c r="C12" s="26" t="n">
        <f aca="false">Monthly_Bear!AL37</f>
        <v>0.0888908697754775</v>
      </c>
      <c r="D12" s="26" t="n">
        <f aca="false">Monthly_Bull!AL37</f>
        <v>0.135887889456834</v>
      </c>
    </row>
    <row r="13" customFormat="false" ht="15" hidden="false" customHeight="false" outlineLevel="0" collapsed="false">
      <c r="A13" s="6" t="s">
        <v>561</v>
      </c>
      <c r="B13" s="27" t="n">
        <f aca="false">(Monthly_Base!AL60*12)</f>
        <v>206179.143611587</v>
      </c>
      <c r="C13" s="27" t="n">
        <f aca="false">(Monthly_Bear!AL60*12)</f>
        <v>18948.0747555515</v>
      </c>
      <c r="D13" s="27" t="n">
        <f aca="false">(Monthly_Bull!AL60*12)</f>
        <v>1714141.48142438</v>
      </c>
    </row>
    <row r="14" customFormat="false" ht="15" hidden="false" customHeight="false" outlineLevel="0" collapsed="false">
      <c r="A14" s="6" t="s">
        <v>562</v>
      </c>
      <c r="B14" s="27" t="n">
        <f aca="false">(Monthly_Base!AL67*12)</f>
        <v>215713.475232799</v>
      </c>
      <c r="C14" s="27" t="n">
        <f aca="false">(Monthly_Bear!AL67*12)</f>
        <v>19273.8318152138</v>
      </c>
      <c r="D14" s="27" t="n">
        <f aca="false">(Monthly_Bull!AL67*12)</f>
        <v>1901482.51843503</v>
      </c>
    </row>
    <row r="15" customFormat="false" ht="15" hidden="false" customHeight="false" outlineLevel="0" collapsed="false">
      <c r="A15" s="4" t="s">
        <v>563</v>
      </c>
      <c r="B15" s="5"/>
      <c r="C15" s="5"/>
      <c r="D15" s="5"/>
    </row>
    <row r="16" customFormat="false" ht="15" hidden="false" customHeight="false" outlineLevel="0" collapsed="false">
      <c r="A16" s="6" t="s">
        <v>564</v>
      </c>
      <c r="B16" s="26" t="n">
        <f aca="false">Assumptions!$E$111</f>
        <v>0.0247</v>
      </c>
      <c r="C16" s="26" t="n">
        <f aca="false">Assumptions!$F$111</f>
        <v>0.01452</v>
      </c>
      <c r="D16" s="26" t="n">
        <f aca="false">Assumptions!$G$111</f>
        <v>0.042</v>
      </c>
    </row>
    <row r="17" customFormat="false" ht="15" hidden="false" customHeight="false" outlineLevel="0" collapsed="false">
      <c r="A17" s="6" t="s">
        <v>565</v>
      </c>
      <c r="B17" s="28" t="n">
        <f aca="false">IF(SUM(Monthly_Base!$AA$36:$AL$36)=0,0,SUM(Monthly_Base!$AA$67:$AL$67)/SUM(Monthly_Base!$AA$36:$AL$36))</f>
        <v>0.752826612172758</v>
      </c>
      <c r="C17" s="28" t="n">
        <f aca="false">IF(SUM(Monthly_Bear!$AA$36:$AL$36)=0,0,SUM(Monthly_Bear!$AA$67:$AL$67)/SUM(Monthly_Bear!$AA$36:$AL$36))</f>
        <v>0.455598958278527</v>
      </c>
      <c r="D17" s="28" t="n">
        <f aca="false">IF(SUM(Monthly_Bull!$AA$36:$AL$36)=0,0,SUM(Monthly_Bull!$AA$67:$AL$67)/SUM(Monthly_Bull!$AA$36:$AL$36))</f>
        <v>1.21513058147625</v>
      </c>
    </row>
    <row r="18" customFormat="false" ht="15" hidden="false" customHeight="false" outlineLevel="0" collapsed="false">
      <c r="A18" s="6" t="s">
        <v>566</v>
      </c>
      <c r="B18" s="28" t="n">
        <f aca="false">IF(SUM(Monthly_Base!$AA$29:$AL$29)=0,0,SUM(Monthly_Base!$AA$60:$AL$60)/SUM(Monthly_Base!$AA$29:$AL$29))</f>
        <v>6.6805697281216</v>
      </c>
      <c r="C18" s="28" t="n">
        <f aca="false">IF(SUM(Monthly_Bear!$AA$29:$AL$29)=0,0,SUM(Monthly_Bear!$AA$60:$AL$60)/SUM(Monthly_Bear!$AA$29:$AL$29))</f>
        <v>5.06795176525876</v>
      </c>
      <c r="D18" s="28" t="n">
        <f aca="false">IF(SUM(Monthly_Bull!$AA$29:$AL$29)=0,0,SUM(Monthly_Bull!$AA$60:$AL$60)/SUM(Monthly_Bull!$AA$29:$AL$29))</f>
        <v>8.08235797702887</v>
      </c>
    </row>
    <row r="19" customFormat="false" ht="15" hidden="false" customHeight="false" outlineLevel="0" collapsed="false">
      <c r="A19" s="6" t="s">
        <v>308</v>
      </c>
      <c r="B19" s="28" t="n">
        <f aca="false">Assumptions!$E$113</f>
        <v>0.0374</v>
      </c>
      <c r="C19" s="28" t="n">
        <f aca="false">Assumptions!$F$113</f>
        <v>0.01085</v>
      </c>
      <c r="D19" s="28" t="n">
        <f aca="false">Assumptions!$G$113</f>
        <v>0.1083</v>
      </c>
    </row>
    <row r="20" customFormat="false" ht="15" hidden="false" customHeight="false" outlineLevel="0" collapsed="false">
      <c r="A20" s="4" t="s">
        <v>567</v>
      </c>
      <c r="B20" s="5"/>
      <c r="C20" s="5"/>
      <c r="D20" s="5"/>
    </row>
    <row r="21" customFormat="false" ht="15" hidden="false" customHeight="false" outlineLevel="0" collapsed="false">
      <c r="A21" s="6" t="s">
        <v>568</v>
      </c>
      <c r="B21" s="28" t="n">
        <f aca="false">(((((Assumptions!$E$31*Assumptions!$E$35)+((Assumptions!$E$32*Assumptions!$E$36)/12))+((Assumptions!$E$109*Assumptions!$E$37)/12))*Assumptions!$E$112)-Assumptions!$E$114)</f>
        <v>5.82994995833333</v>
      </c>
      <c r="C21" s="28" t="n">
        <f aca="false">(((((Assumptions!$F$31*Assumptions!$F$35)+((Assumptions!$F$32*Assumptions!$F$36)/12))+((Assumptions!$F$109*Assumptions!$F$37)/12))*Assumptions!$F$112)-Assumptions!$F$114)</f>
        <v>4.12416475</v>
      </c>
      <c r="D21" s="28" t="n">
        <f aca="false">(((((Assumptions!$G$31*Assumptions!$G$35)+((Assumptions!$G$32*Assumptions!$G$36)/12))+((Assumptions!$G$109*Assumptions!$G$37)/12))*Assumptions!$G$112)-Assumptions!$G$114)</f>
        <v>6.8956456875</v>
      </c>
    </row>
    <row r="22" customFormat="false" ht="15" hidden="false" customHeight="false" outlineLevel="0" collapsed="false">
      <c r="A22" s="6" t="s">
        <v>569</v>
      </c>
      <c r="B22" s="27" t="n">
        <f aca="false">((((Assumptions!$E$31*((Assumptions!$E$35*Assumptions!$E$112)-Assumptions!$E$114))/Assumptions!$E$110)+((Assumptions!$E$32*((Assumptions!$E$36*Assumptions!$E$112)-(12*Assumptions!$E$114)))/(1-Assumptions!$E$43)))+((Assumptions!$E$109*((Assumptions!$E$37*Assumptions!$E$112)-(12*Assumptions!$E$114)))/(1-Assumptions!$E$44)))</f>
        <v>76.4142248809828</v>
      </c>
      <c r="C22" s="27" t="n">
        <f aca="false">((((Assumptions!$F$31*((Assumptions!$F$35*Assumptions!$F$112)-Assumptions!$F$114))/Assumptions!$F$110)+((Assumptions!$F$32*((Assumptions!$F$36*Assumptions!$F$112)-(12*Assumptions!$F$114)))/(1-Assumptions!$F$43)))+((Assumptions!$F$109*((Assumptions!$F$37*Assumptions!$F$112)-(12*Assumptions!$F$114)))/(1-Assumptions!$F$44)))</f>
        <v>39.3303124026191</v>
      </c>
      <c r="D22" s="27" t="n">
        <f aca="false">((((Assumptions!$G$31*((Assumptions!$G$35*Assumptions!$G$112)-Assumptions!$G$114))/Assumptions!$G$110)+((Assumptions!$G$32*((Assumptions!$G$36*Assumptions!$G$112)-(12*Assumptions!$G$114)))/(1-Assumptions!$G$43)))+((Assumptions!$G$109*((Assumptions!$G$37*Assumptions!$G$112)-(12*Assumptions!$G$114)))/(1-Assumptions!$G$44)))</f>
        <v>120.820998986847</v>
      </c>
    </row>
    <row r="23" customFormat="false" ht="15" hidden="false" customHeight="false" outlineLevel="0" collapsed="false">
      <c r="A23" s="6" t="s">
        <v>570</v>
      </c>
      <c r="B23" s="27" t="n">
        <f aca="false">IF(Assumptions!$E$111=0,0,Assumptions!$E$23/Assumptions!$E$111)</f>
        <v>242.914979757085</v>
      </c>
      <c r="C23" s="27" t="n">
        <f aca="false">IF(Assumptions!$F$111=0,0,Assumptions!$F$23/Assumptions!$F$111)</f>
        <v>619.834710743802</v>
      </c>
      <c r="D23" s="27" t="n">
        <f aca="false">IF(Assumptions!$G$111=0,0,Assumptions!$G$23/Assumptions!$G$111)</f>
        <v>95.2380952380952</v>
      </c>
    </row>
    <row r="24" customFormat="false" ht="15" hidden="false" customHeight="false" outlineLevel="0" collapsed="false">
      <c r="A24" s="6" t="s">
        <v>571</v>
      </c>
      <c r="B24" s="27" t="n">
        <f aca="false">IF(Assumptions!$E$111=0,0,Assumptions!$E$19/Assumptions!$E$111)</f>
        <v>323.886639676113</v>
      </c>
      <c r="C24" s="27" t="n">
        <f aca="false">IF(Assumptions!$F$111=0,0,Assumptions!$F$19/Assumptions!$F$111)</f>
        <v>826.446280991735</v>
      </c>
      <c r="D24" s="27" t="n">
        <f aca="false">IF(Assumptions!$G$111=0,0,Assumptions!$G$19/Assumptions!$G$111)</f>
        <v>119.047619047619</v>
      </c>
    </row>
    <row r="25" customFormat="false" ht="15" hidden="false" customHeight="false" outlineLevel="0" collapsed="false">
      <c r="A25" s="6" t="s">
        <v>572</v>
      </c>
      <c r="B25" s="27" t="n">
        <f aca="false">(0*Assumptions!$E$111)</f>
        <v>0</v>
      </c>
      <c r="C25" s="27" t="n">
        <f aca="false">(0*Assumptions!$F$111)</f>
        <v>0</v>
      </c>
      <c r="D25" s="27" t="n">
        <f aca="false">(0*Assumptions!$G$111)</f>
        <v>0</v>
      </c>
    </row>
    <row r="26" customFormat="false" ht="15" hidden="false" customHeight="false" outlineLevel="0" collapsed="false">
      <c r="A26" s="6" t="s">
        <v>573</v>
      </c>
      <c r="B26" s="27" t="n">
        <f aca="false">IF(SUM(Monthly_Base!$AA$17:$AL$17)=0,0,(SUM(Monthly_Base!$AA$10:$AL$10)+SUM(Monthly_Base!$AA$8:$AL$8))/SUM(Monthly_Base!$AA$17:$AL$17))</f>
        <v>14.3435161485468</v>
      </c>
      <c r="C26" s="27" t="n">
        <f aca="false">IF(SUM(Monthly_Bear!$AA$17:$AL$17)=0,0,(SUM(Monthly_Bear!$AA$10:$AL$10)+SUM(Monthly_Bear!$AA$8:$AL$8))/SUM(Monthly_Bear!$AA$17:$AL$17))</f>
        <v>41.3935432470885</v>
      </c>
      <c r="D26" s="27" t="n">
        <f aca="false">IF(SUM(Monthly_Bull!$AA$17:$AL$17)=0,0,(SUM(Monthly_Bull!$AA$10:$AL$10)+SUM(Monthly_Bull!$AA$8:$AL$8))/SUM(Monthly_Bull!$AA$17:$AL$17))</f>
        <v>8.59055188202646</v>
      </c>
    </row>
    <row r="27" customFormat="false" ht="15" hidden="false" customHeight="false" outlineLevel="0" collapsed="false">
      <c r="A27" s="6" t="s">
        <v>574</v>
      </c>
      <c r="B27" s="29" t="n">
        <f aca="false">IF(IF(Assumptions!$E$111=0,0,Assumptions!$E$23/Assumptions!$E$111)=0,0,((((Assumptions!$E$31*((Assumptions!$E$35*Assumptions!$E$112)-Assumptions!$E$114))/Assumptions!$E$110)+((Assumptions!$E$32*((Assumptions!$E$36*Assumptions!$E$112)-(12*Assumptions!$E$114)))/(1-Assumptions!$E$43)))+((Assumptions!$E$109*((Assumptions!$E$37*Assumptions!$E$112)-(12*Assumptions!$E$114)))/(1-Assumptions!$E$44)))/IF(Assumptions!$E$111=0,0,Assumptions!$E$23/Assumptions!$E$111))</f>
        <v>0.314571892426713</v>
      </c>
      <c r="C27" s="29" t="n">
        <f aca="false">IF(IF(Assumptions!$F$111=0,0,Assumptions!$F$23/Assumptions!$F$111)=0,0,((((Assumptions!$F$31*((Assumptions!$F$35*Assumptions!$F$112)-Assumptions!$F$114))/Assumptions!$F$110)+((Assumptions!$F$32*((Assumptions!$F$36*Assumptions!$F$112)-(12*Assumptions!$F$114)))/(1-Assumptions!$F$43)))+((Assumptions!$F$109*((Assumptions!$F$37*Assumptions!$F$112)-(12*Assumptions!$F$114)))/(1-Assumptions!$F$44)))/IF(Assumptions!$F$111=0,0,Assumptions!$F$23/Assumptions!$F$111))</f>
        <v>0.0634529040095588</v>
      </c>
      <c r="D27" s="29" t="n">
        <f aca="false">IF(IF(Assumptions!$G$111=0,0,Assumptions!$G$23/Assumptions!$G$111)=0,0,((((Assumptions!$G$31*((Assumptions!$G$35*Assumptions!$G$112)-Assumptions!$G$114))/Assumptions!$G$110)+((Assumptions!$G$32*((Assumptions!$G$36*Assumptions!$G$112)-(12*Assumptions!$G$114)))/(1-Assumptions!$G$43)))+((Assumptions!$G$109*((Assumptions!$G$37*Assumptions!$G$112)-(12*Assumptions!$G$114)))/(1-Assumptions!$G$44)))/IF(Assumptions!$G$111=0,0,Assumptions!$G$23/Assumptions!$G$111))</f>
        <v>1.2686204893619</v>
      </c>
    </row>
    <row r="28" customFormat="false" ht="15" hidden="false" customHeight="false" outlineLevel="0" collapsed="false">
      <c r="A28" s="6" t="s">
        <v>575</v>
      </c>
      <c r="B28" s="29" t="n">
        <f aca="false">IF(IF(Assumptions!$E$111=0,0,Assumptions!$E$19/Assumptions!$E$111)=0,0,((((Assumptions!$E$31*((Assumptions!$E$35*Assumptions!$E$112)-Assumptions!$E$114))/Assumptions!$E$110)+((Assumptions!$E$32*((Assumptions!$E$36*Assumptions!$E$112)-(12*Assumptions!$E$114)))/(1-Assumptions!$E$43)))+((Assumptions!$E$109*((Assumptions!$E$37*Assumptions!$E$112)-(12*Assumptions!$E$114)))/(1-Assumptions!$E$44)))/IF(Assumptions!$E$111=0,0,Assumptions!$E$19/Assumptions!$E$111))</f>
        <v>0.235928919320034</v>
      </c>
      <c r="C28" s="29" t="n">
        <f aca="false">IF(IF(Assumptions!$F$111=0,0,Assumptions!$F$19/Assumptions!$F$111)=0,0,((((Assumptions!$F$31*((Assumptions!$F$35*Assumptions!$F$112)-Assumptions!$F$114))/Assumptions!$F$110)+((Assumptions!$F$32*((Assumptions!$F$36*Assumptions!$F$112)-(12*Assumptions!$F$114)))/(1-Assumptions!$F$43)))+((Assumptions!$F$109*((Assumptions!$F$37*Assumptions!$F$112)-(12*Assumptions!$F$114)))/(1-Assumptions!$F$44)))/IF(Assumptions!$F$111=0,0,Assumptions!$F$19/Assumptions!$F$111))</f>
        <v>0.0475896780071691</v>
      </c>
      <c r="D28" s="29" t="n">
        <f aca="false">IF(IF(Assumptions!$G$111=0,0,Assumptions!$G$19/Assumptions!$G$111)=0,0,((((Assumptions!$G$31*((Assumptions!$G$35*Assumptions!$G$112)-Assumptions!$G$114))/Assumptions!$G$110)+((Assumptions!$G$32*((Assumptions!$G$36*Assumptions!$G$112)-(12*Assumptions!$G$114)))/(1-Assumptions!$G$43)))+((Assumptions!$G$109*((Assumptions!$G$37*Assumptions!$G$112)-(12*Assumptions!$G$114)))/(1-Assumptions!$G$44)))/IF(Assumptions!$G$111=0,0,Assumptions!$G$19/Assumptions!$G$111))</f>
        <v>1.01489639148952</v>
      </c>
    </row>
    <row r="29" customFormat="false" ht="15" hidden="false" customHeight="false" outlineLevel="0" collapsed="false">
      <c r="A29" s="6" t="s">
        <v>576</v>
      </c>
      <c r="B29" s="29" t="n">
        <f aca="false">IF(IF(SUM(Monthly_Base!$AA$17:$AL$17)=0,0,(SUM(Monthly_Base!$AA$10:$AL$10)+SUM(Monthly_Base!$AA$8:$AL$8))/SUM(Monthly_Base!$AA$17:$AL$17))=0,0,((((Assumptions!$E$31*((Assumptions!$E$35*Assumptions!$E$112)-Assumptions!$E$114))/Assumptions!$E$110)+((Assumptions!$E$32*((Assumptions!$E$36*Assumptions!$E$112)-(12*Assumptions!$E$114)))/(1-Assumptions!$E$43)))+((Assumptions!$E$109*((Assumptions!$E$37*Assumptions!$E$112)-(12*Assumptions!$E$114)))/(1-Assumptions!$E$44)))/IF(SUM(Monthly_Base!$AA$17:$AL$17)=0,0,(SUM(Monthly_Base!$AA$10:$AL$10)+SUM(Monthly_Base!$AA$8:$AL$8))/SUM(Monthly_Base!$AA$17:$AL$17)))</f>
        <v>5.32744022383414</v>
      </c>
      <c r="C29" s="29" t="n">
        <f aca="false">IF(IF(SUM(Monthly_Bear!$AA$17:$AL$17)=0,0,(SUM(Monthly_Bear!$AA$10:$AL$10)+SUM(Monthly_Bear!$AA$8:$AL$8))/SUM(Monthly_Bear!$AA$17:$AL$17))=0,0,((((Assumptions!$F$31*((Assumptions!$F$35*Assumptions!$F$112)-Assumptions!$F$114))/Assumptions!$F$110)+((Assumptions!$F$32*((Assumptions!$F$36*Assumptions!$F$112)-(12*Assumptions!$F$114)))/(1-Assumptions!$F$43)))+((Assumptions!$F$109*((Assumptions!$F$37*Assumptions!$F$112)-(12*Assumptions!$F$114)))/(1-Assumptions!$F$44)))/IF(SUM(Monthly_Bear!$AA$17:$AL$17)=0,0,(SUM(Monthly_Bear!$AA$10:$AL$10)+SUM(Monthly_Bear!$AA$8:$AL$8))/SUM(Monthly_Bear!$AA$17:$AL$17)))</f>
        <v>0.950155732449541</v>
      </c>
      <c r="D29" s="29" t="n">
        <f aca="false">IF(IF(SUM(Monthly_Bull!$AA$17:$AL$17)=0,0,(SUM(Monthly_Bull!$AA$10:$AL$10)+SUM(Monthly_Bull!$AA$8:$AL$8))/SUM(Monthly_Bull!$AA$17:$AL$17))=0,0,((((Assumptions!$G$31*((Assumptions!$G$35*Assumptions!$G$112)-Assumptions!$G$114))/Assumptions!$G$110)+((Assumptions!$G$32*((Assumptions!$G$36*Assumptions!$G$112)-(12*Assumptions!$G$114)))/(1-Assumptions!$G$43)))+((Assumptions!$G$109*((Assumptions!$G$37*Assumptions!$G$112)-(12*Assumptions!$G$114)))/(1-Assumptions!$G$44)))/IF(SUM(Monthly_Bull!$AA$17:$AL$17)=0,0,(SUM(Monthly_Bull!$AA$10:$AL$10)+SUM(Monthly_Bull!$AA$8:$AL$8))/SUM(Monthly_Bull!$AA$17:$AL$17)))</f>
        <v>14.0644047840086</v>
      </c>
    </row>
    <row r="30" customFormat="false" ht="15" hidden="false" customHeight="false" outlineLevel="0" collapsed="false">
      <c r="A30" s="6" t="s">
        <v>577</v>
      </c>
      <c r="B30" s="30" t="n">
        <f aca="false">IF((((((Assumptions!$E$31*Assumptions!$E$35)+((Assumptions!$E$32*Assumptions!$E$36)/12))+((Assumptions!$E$109*Assumptions!$E$37)/12))*Assumptions!$E$112)-Assumptions!$E$114)=0,0,IF(Assumptions!$E$111=0,0,Assumptions!$E$23/Assumptions!$E$111)/(((((Assumptions!$E$31*Assumptions!$E$35)+((Assumptions!$E$32*Assumptions!$E$36)/12))+((Assumptions!$E$109*Assumptions!$E$37)/12))*Assumptions!$E$112)-Assumptions!$E$114))</f>
        <v>41.6667349622551</v>
      </c>
      <c r="C30" s="30" t="n">
        <f aca="false">IF((((((Assumptions!$F$31*Assumptions!$F$35)+((Assumptions!$F$32*Assumptions!$F$36)/12))+((Assumptions!$F$109*Assumptions!$F$37)/12))*Assumptions!$F$112)-Assumptions!$F$114)=0,0,IF(Assumptions!$F$111=0,0,Assumptions!$F$23/Assumptions!$F$111)/(((((Assumptions!$F$31*Assumptions!$F$35)+((Assumptions!$F$32*Assumptions!$F$36)/12))+((Assumptions!$F$109*Assumptions!$F$37)/12))*Assumptions!$F$112)-Assumptions!$F$114))</f>
        <v>150.293392315087</v>
      </c>
      <c r="D30" s="30" t="n">
        <f aca="false">IF((((((Assumptions!$G$31*Assumptions!$G$35)+((Assumptions!$G$32*Assumptions!$G$36)/12))+((Assumptions!$G$109*Assumptions!$G$37)/12))*Assumptions!$G$112)-Assumptions!$G$114)=0,0,IF(Assumptions!$G$111=0,0,Assumptions!$G$23/Assumptions!$G$111)/(((((Assumptions!$G$31*Assumptions!$G$35)+((Assumptions!$G$32*Assumptions!$G$36)/12))+((Assumptions!$G$109*Assumptions!$G$37)/12))*Assumptions!$G$112)-Assumptions!$G$114))</f>
        <v>13.8113382784062</v>
      </c>
    </row>
    <row r="31" customFormat="false" ht="15" hidden="false" customHeight="false" outlineLevel="0" collapsed="false">
      <c r="A31" s="6" t="s">
        <v>578</v>
      </c>
      <c r="B31" s="30" t="n">
        <f aca="false">IF((((((Assumptions!$E$31*Assumptions!$E$35)+((Assumptions!$E$32*Assumptions!$E$36)/12))+((Assumptions!$E$109*Assumptions!$E$37)/12))*Assumptions!$E$112)-Assumptions!$E$114)=0,0,IF(Assumptions!$E$111=0,0,Assumptions!$E$19/Assumptions!$E$111)/(((((Assumptions!$E$31*Assumptions!$E$35)+((Assumptions!$E$32*Assumptions!$E$36)/12))+((Assumptions!$E$109*Assumptions!$E$37)/12))*Assumptions!$E$112)-Assumptions!$E$114))</f>
        <v>55.5556466163401</v>
      </c>
      <c r="C31" s="30" t="n">
        <f aca="false">IF((((((Assumptions!$F$31*Assumptions!$F$35)+((Assumptions!$F$32*Assumptions!$F$36)/12))+((Assumptions!$F$109*Assumptions!$F$37)/12))*Assumptions!$F$112)-Assumptions!$F$114)=0,0,IF(Assumptions!$F$111=0,0,Assumptions!$F$19/Assumptions!$F$111)/(((((Assumptions!$F$31*Assumptions!$F$35)+((Assumptions!$F$32*Assumptions!$F$36)/12))+((Assumptions!$F$109*Assumptions!$F$37)/12))*Assumptions!$F$112)-Assumptions!$F$114))</f>
        <v>200.391189753449</v>
      </c>
      <c r="D31" s="30" t="n">
        <f aca="false">IF((((((Assumptions!$G$31*Assumptions!$G$35)+((Assumptions!$G$32*Assumptions!$G$36)/12))+((Assumptions!$G$109*Assumptions!$G$37)/12))*Assumptions!$G$112)-Assumptions!$G$114)=0,0,IF(Assumptions!$G$111=0,0,Assumptions!$G$19/Assumptions!$G$111)/(((((Assumptions!$G$31*Assumptions!$G$35)+((Assumptions!$G$32*Assumptions!$G$36)/12))+((Assumptions!$G$109*Assumptions!$G$37)/12))*Assumptions!$G$112)-Assumptions!$G$114))</f>
        <v>17.2641728480077</v>
      </c>
    </row>
    <row r="32" customFormat="false" ht="15" hidden="false" customHeight="false" outlineLevel="0" collapsed="false">
      <c r="A32" s="6" t="s">
        <v>579</v>
      </c>
      <c r="B32" s="28" t="n">
        <f aca="false">(((((Assumptions!$E$31*((Assumptions!$E$35*Assumptions!$E$112)-Assumptions!$E$114))/Assumptions!$E$110)+((Assumptions!$E$32*((Assumptions!$E$36*Assumptions!$E$112)-(12*Assumptions!$E$114)))/(1-Assumptions!$E$43)))+((Assumptions!$E$109*((Assumptions!$E$37*Assumptions!$E$112)-(12*Assumptions!$E$114)))/(1-Assumptions!$E$44)))*Assumptions!$E$111)</f>
        <v>1.88743135456028</v>
      </c>
      <c r="C32" s="28" t="n">
        <f aca="false">(((((Assumptions!$F$31*((Assumptions!$F$35*Assumptions!$F$112)-Assumptions!$F$114))/Assumptions!$F$110)+((Assumptions!$F$32*((Assumptions!$F$36*Assumptions!$F$112)-(12*Assumptions!$F$114)))/(1-Assumptions!$F$43)))+((Assumptions!$F$109*((Assumptions!$F$37*Assumptions!$F$112)-(12*Assumptions!$F$114)))/(1-Assumptions!$F$44)))*Assumptions!$F$111)</f>
        <v>0.571076136086029</v>
      </c>
      <c r="D32" s="28" t="n">
        <f aca="false">(((((Assumptions!$G$31*((Assumptions!$G$35*Assumptions!$G$112)-Assumptions!$G$114))/Assumptions!$G$110)+((Assumptions!$G$32*((Assumptions!$G$36*Assumptions!$G$112)-(12*Assumptions!$G$114)))/(1-Assumptions!$G$43)))+((Assumptions!$G$109*((Assumptions!$G$37*Assumptions!$G$112)-(12*Assumptions!$G$114)))/(1-Assumptions!$G$44)))*Assumptions!$G$111)</f>
        <v>5.07448195744758</v>
      </c>
    </row>
    <row r="33" customFormat="false" ht="15" hidden="false" customHeight="false" outlineLevel="0" collapsed="false">
      <c r="A33" s="4" t="s">
        <v>580</v>
      </c>
      <c r="B33" s="5"/>
      <c r="C33" s="5"/>
      <c r="D33" s="5"/>
    </row>
    <row r="34" customFormat="false" ht="15" hidden="false" customHeight="false" outlineLevel="0" collapsed="false">
      <c r="A34" s="6" t="s">
        <v>581</v>
      </c>
      <c r="B34" s="31" t="n">
        <f aca="false">IFERROR(INDEX(Monthly_Base!$C$2:$AL$2,MATCH(1,Monthly_Base!$C$105:$AL$105,0)),"Never")</f>
        <v>12</v>
      </c>
      <c r="C34" s="31" t="str">
        <f aca="false">IFERROR(INDEX(Monthly_Bear!$C$2:$AL$2,MATCH(1,Monthly_Bear!$C$105:$AL$105,0)),"Never")</f>
        <v>Never</v>
      </c>
      <c r="D34" s="31" t="n">
        <f aca="false">IFERROR(INDEX(Monthly_Bull!$C$2:$AL$2,MATCH(1,Monthly_Bull!$C$105:$AL$105,0)),"Never")</f>
        <v>3</v>
      </c>
    </row>
    <row r="35" customFormat="false" ht="15" hidden="false" customHeight="false" outlineLevel="0" collapsed="false">
      <c r="A35" s="6" t="s">
        <v>582</v>
      </c>
      <c r="B35" s="31" t="n">
        <f aca="false">IFERROR(INDEX(Monthly_Base!$C$2:$AL$2,MATCH(1,Monthly_Base!$C$106:$AL$106,0)),"Never")</f>
        <v>26</v>
      </c>
      <c r="C35" s="31" t="str">
        <f aca="false">IFERROR(INDEX(Monthly_Bear!$C$2:$AL$2,MATCH(1,Monthly_Bear!$C$106:$AL$106,0)),"Never")</f>
        <v>Never</v>
      </c>
      <c r="D35" s="31" t="n">
        <f aca="false">IFERROR(INDEX(Monthly_Bull!$C$2:$AL$2,MATCH(1,Monthly_Bull!$C$106:$AL$106,0)),"Never")</f>
        <v>3</v>
      </c>
    </row>
    <row r="36" customFormat="false" ht="15" hidden="false" customHeight="false" outlineLevel="0" collapsed="false">
      <c r="A36" s="6" t="s">
        <v>583</v>
      </c>
      <c r="B36" s="31" t="n">
        <f aca="false">IFERROR(INDEX(Monthly_Base!$C$2:$AL$2,MATCH(1,Monthly_Base!$C$107:$AL$107,0)),"Never")</f>
        <v>22</v>
      </c>
      <c r="C36" s="31" t="str">
        <f aca="false">IFERROR(INDEX(Monthly_Bear!$C$2:$AL$2,MATCH(1,Monthly_Bear!$C$107:$AL$107,0)),"Never")</f>
        <v>Never</v>
      </c>
      <c r="D36" s="31" t="n">
        <f aca="false">IFERROR(INDEX(Monthly_Bull!$C$2:$AL$2,MATCH(1,Monthly_Bull!$C$107:$AL$107,0)),"Never")</f>
        <v>2</v>
      </c>
    </row>
    <row r="37" customFormat="false" ht="15" hidden="false" customHeight="false" outlineLevel="0" collapsed="false">
      <c r="A37" s="6" t="s">
        <v>584</v>
      </c>
      <c r="B37" s="27" t="n">
        <f aca="false">Monthly_Base!AL99</f>
        <v>3091.44713833361</v>
      </c>
      <c r="C37" s="27" t="n">
        <f aca="false">Monthly_Bear!AL99</f>
        <v>-97460.3736938624</v>
      </c>
      <c r="D37" s="27" t="n">
        <f aca="false">Monthly_Bull!AL99</f>
        <v>1069272.77062258</v>
      </c>
    </row>
    <row r="38" customFormat="false" ht="15" hidden="false" customHeight="false" outlineLevel="0" collapsed="false">
      <c r="A38" s="6" t="s">
        <v>585</v>
      </c>
      <c r="B38" s="27" t="n">
        <f aca="false">IF((MIN(Monthly_Base!$C$98:$AL$98)&lt;0),(-MIN(Monthly_Base!$C$98:$AL$98)),0)</f>
        <v>6550.0323107327</v>
      </c>
      <c r="C38" s="27" t="n">
        <f aca="false">IF((MIN(Monthly_Bear!$C$98:$AL$98)&lt;0),(-MIN(Monthly_Bear!$C$98:$AL$98)),0)</f>
        <v>91904.6517562721</v>
      </c>
      <c r="D38" s="27" t="n">
        <f aca="false">IF((MIN(Monthly_Bull!$C$98:$AL$98)&lt;0),(-MIN(Monthly_Bull!$C$98:$AL$98)),0)</f>
        <v>803.72230825</v>
      </c>
    </row>
    <row r="39" customFormat="false" ht="15" hidden="false" customHeight="false" outlineLevel="0" collapsed="false">
      <c r="A39" s="6" t="s">
        <v>586</v>
      </c>
      <c r="B39" s="31" t="n">
        <f aca="false">INDEX(Monthly_Base!$C$2:$AL$2,MATCH(MIN(Monthly_Base!$C$98:$AL$98),Monthly_Base!$C$98:$AL$98,0))</f>
        <v>14</v>
      </c>
      <c r="C39" s="31" t="n">
        <f aca="false">INDEX(Monthly_Bear!$C$2:$AL$2,MATCH(MIN(Monthly_Bear!$C$98:$AL$98),Monthly_Bear!$C$98:$AL$98,0))</f>
        <v>36</v>
      </c>
      <c r="D39" s="31" t="n">
        <f aca="false">INDEX(Monthly_Bull!$C$2:$AL$2,MATCH(MIN(Monthly_Bull!$C$98:$AL$98),Monthly_Bull!$C$98:$AL$98,0))</f>
        <v>1</v>
      </c>
    </row>
    <row r="40" customFormat="false" ht="15" hidden="false" customHeight="false" outlineLevel="0" collapsed="false">
      <c r="A40" s="6" t="s">
        <v>587</v>
      </c>
      <c r="B40" s="27" t="n">
        <f aca="false">Monthly_Base!AL98</f>
        <v>66136.7686498607</v>
      </c>
      <c r="C40" s="27" t="n">
        <f aca="false">Monthly_Bear!AL98</f>
        <v>-91904.6517562721</v>
      </c>
      <c r="D40" s="27" t="n">
        <f aca="false">Monthly_Bull!AL98</f>
        <v>1632362.92389638</v>
      </c>
    </row>
    <row r="41" customFormat="false" ht="15" hidden="false" customHeight="false" outlineLevel="0" collapsed="false">
      <c r="A41" s="4" t="s">
        <v>588</v>
      </c>
      <c r="B41" s="5"/>
      <c r="C41" s="5"/>
      <c r="D41" s="5"/>
    </row>
    <row r="42" customFormat="false" ht="15" hidden="false" customHeight="false" outlineLevel="0" collapsed="false">
      <c r="A42" s="6" t="s">
        <v>589</v>
      </c>
      <c r="B42" s="27" t="n">
        <f aca="false">SUM(Monthly_Base!$C$64:$N$64)</f>
        <v>673.206975411357</v>
      </c>
      <c r="C42" s="27" t="n">
        <f aca="false">SUM(Monthly_Bear!$C$64:$N$64)</f>
        <v>60.1890305979446</v>
      </c>
      <c r="D42" s="27" t="n">
        <f aca="false">SUM(Monthly_Bull!$C$64:$N$64)</f>
        <v>6672.19453928768</v>
      </c>
    </row>
    <row r="43" customFormat="false" ht="15" hidden="false" customHeight="false" outlineLevel="0" collapsed="false">
      <c r="A43" s="6" t="s">
        <v>590</v>
      </c>
      <c r="B43" s="27" t="n">
        <f aca="false">SUM(Monthly_Base!$O$64:$Z$64)</f>
        <v>2088.79755920874</v>
      </c>
      <c r="C43" s="27" t="n">
        <f aca="false">SUM(Monthly_Bear!$O$64:$Z$64)</f>
        <v>128.547920308992</v>
      </c>
      <c r="D43" s="27" t="n">
        <f aca="false">SUM(Monthly_Bull!$O$64:$Z$64)</f>
        <v>26764.8610155901</v>
      </c>
    </row>
    <row r="44" customFormat="false" ht="15" hidden="false" customHeight="false" outlineLevel="0" collapsed="false">
      <c r="A44" s="6" t="s">
        <v>591</v>
      </c>
      <c r="B44" s="27" t="n">
        <f aca="false">SUM(Monthly_Base!$AA$64:$AL$64)</f>
        <v>4745.08094600462</v>
      </c>
      <c r="C44" s="27" t="n">
        <f aca="false">SUM(Monthly_Bear!$AA$64:$AL$64)</f>
        <v>204.447842146706</v>
      </c>
      <c r="D44" s="27" t="n">
        <f aca="false">SUM(Monthly_Bull!$AA$64:$AL$64)</f>
        <v>76446.3861204774</v>
      </c>
    </row>
    <row r="45" customFormat="false" ht="15" hidden="false" customHeight="false" outlineLevel="0" collapsed="false">
      <c r="A45" s="6" t="s">
        <v>592</v>
      </c>
      <c r="B45" s="26" t="n">
        <f aca="false">IF(SUM(Monthly_Base!$AA$67:$AL$67)=0,0,SUM(Monthly_Base!$AA$64:$AL$64)/SUM(Monthly_Base!$AA$67:$AL$67))</f>
        <v>0.0310304341257769</v>
      </c>
      <c r="C45" s="26" t="n">
        <f aca="false">IF(SUM(Monthly_Bear!$AA$67:$AL$67)=0,0,SUM(Monthly_Bear!$AA$64:$AL$64)/SUM(Monthly_Bear!$AA$67:$AL$67))</f>
        <v>0.0130261475951754</v>
      </c>
      <c r="D45" s="26" t="n">
        <f aca="false">IF(SUM(Monthly_Bull!$AA$67:$AL$67)=0,0,SUM(Monthly_Bull!$AA$64:$AL$64)/SUM(Monthly_Bull!$AA$67:$AL$67))</f>
        <v>0.0616390649819476</v>
      </c>
    </row>
    <row r="46" customFormat="false" ht="15" hidden="false" customHeight="false" outlineLevel="0" collapsed="false">
      <c r="A46" s="6" t="s">
        <v>593</v>
      </c>
      <c r="B46" s="26" t="n">
        <f aca="false">IF(SUM(Monthly_Base!$C$67:$AL$67)=0,0,SUM(Monthly_Base!$C$64:$AL$64)/SUM(Monthly_Base!$C$67:$AL$67))</f>
        <v>0.0314445608339258</v>
      </c>
      <c r="C46" s="26" t="n">
        <f aca="false">IF(SUM(Monthly_Bear!$C$67:$AL$67)=0,0,SUM(Monthly_Bear!$C$64:$AL$64)/SUM(Monthly_Bear!$C$67:$AL$67))</f>
        <v>0.0134909770153378</v>
      </c>
      <c r="D46" s="26" t="n">
        <f aca="false">IF(SUM(Monthly_Bull!$C$67:$AL$67)=0,0,SUM(Monthly_Bull!$C$64:$AL$64)/SUM(Monthly_Bull!$C$67:$AL$67))</f>
        <v>0.0619789073539555</v>
      </c>
    </row>
    <row r="47" customFormat="false" ht="15" hidden="false" customHeight="false" outlineLevel="0" collapsed="false">
      <c r="A47" s="6" t="s">
        <v>594</v>
      </c>
      <c r="B47" s="27" t="n">
        <f aca="false">SUM(Monthly_Base!$AA$91:$AL$91)</f>
        <v>24585.1032835258</v>
      </c>
      <c r="C47" s="27" t="n">
        <f aca="false">SUM(Monthly_Bear!$AA$91:$AL$91)</f>
        <v>-40820.2251652635</v>
      </c>
      <c r="D47" s="27" t="n">
        <f aca="false">SUM(Monthly_Bull!$AA$91:$AL$91)</f>
        <v>787948.000283674</v>
      </c>
    </row>
    <row r="48" customFormat="false" ht="15" hidden="false" customHeight="false" outlineLevel="0" collapsed="false">
      <c r="A48" s="6" t="s">
        <v>595</v>
      </c>
      <c r="B48" s="27" t="n">
        <f aca="false">(SUM(Monthly_Base!$AA$91:$AL$91)-SUM(Monthly_Base!$AA$64:$AL$64))</f>
        <v>19840.0223375211</v>
      </c>
      <c r="C48" s="27" t="n">
        <f aca="false">(SUM(Monthly_Bear!$AA$91:$AL$91)-SUM(Monthly_Bear!$AA$64:$AL$64))</f>
        <v>-41024.6730074102</v>
      </c>
      <c r="D48" s="27" t="n">
        <f aca="false">(SUM(Monthly_Bull!$AA$91:$AL$91)-SUM(Monthly_Bull!$AA$64:$AL$64))</f>
        <v>711501.614163197</v>
      </c>
    </row>
    <row r="49" customFormat="false" ht="15" hidden="false" customHeight="false" outlineLevel="0" collapsed="false">
      <c r="A49" s="6" t="s">
        <v>596</v>
      </c>
      <c r="B49" s="27" t="n">
        <f aca="false">SUM(Monthly_Base!$AA$65:$AL$65)</f>
        <v>2031.23799244482</v>
      </c>
      <c r="C49" s="27" t="n">
        <f aca="false">SUM(Monthly_Bear!$AA$65:$AL$65)</f>
        <v>62.0092272291135</v>
      </c>
      <c r="D49" s="27" t="n">
        <f aca="false">SUM(Monthly_Bull!$AA$65:$AL$65)</f>
        <v>45929.3691435201</v>
      </c>
    </row>
    <row r="51" customFormat="false" ht="15" hidden="false" customHeight="false" outlineLevel="0" collapsed="false">
      <c r="A51" s="2" t="s">
        <v>597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22"/>
  </cols>
  <sheetData>
    <row r="1" customFormat="false" ht="16.15" hidden="false" customHeight="false" outlineLevel="0" collapsed="false">
      <c r="A1" s="1" t="s">
        <v>598</v>
      </c>
    </row>
    <row r="3" customFormat="false" ht="15" hidden="false" customHeight="false" outlineLevel="0" collapsed="false">
      <c r="A3" s="24" t="s">
        <v>599</v>
      </c>
    </row>
    <row r="4" customFormat="false" ht="15" hidden="false" customHeight="false" outlineLevel="0" collapsed="false">
      <c r="A4" s="3" t="s">
        <v>600</v>
      </c>
      <c r="B4" s="32" t="n">
        <v>59.99</v>
      </c>
      <c r="C4" s="32" t="n">
        <v>79.99</v>
      </c>
      <c r="D4" s="32" t="n">
        <v>99.99</v>
      </c>
      <c r="E4" s="32" t="n">
        <v>119.99</v>
      </c>
    </row>
    <row r="5" customFormat="false" ht="15" hidden="false" customHeight="false" outlineLevel="0" collapsed="false">
      <c r="A5" s="33" t="n">
        <v>0.01</v>
      </c>
      <c r="B5" s="14" t="n">
        <v>-3745.37</v>
      </c>
      <c r="C5" s="14" t="n">
        <v>-2286.91</v>
      </c>
      <c r="D5" s="14" t="n">
        <v>-828.44</v>
      </c>
      <c r="E5" s="14" t="n">
        <v>630.03</v>
      </c>
    </row>
    <row r="6" customFormat="false" ht="15" hidden="false" customHeight="false" outlineLevel="0" collapsed="false">
      <c r="A6" s="33" t="n">
        <v>0.015</v>
      </c>
      <c r="B6" s="14" t="n">
        <v>-1901.63</v>
      </c>
      <c r="C6" s="14" t="n">
        <v>287.12</v>
      </c>
      <c r="D6" s="14" t="n">
        <v>2475.86</v>
      </c>
      <c r="E6" s="14" t="n">
        <v>4664.61</v>
      </c>
    </row>
    <row r="7" customFormat="false" ht="15" hidden="false" customHeight="false" outlineLevel="0" collapsed="false">
      <c r="A7" s="33" t="n">
        <v>0.02</v>
      </c>
      <c r="B7" s="14" t="n">
        <v>-56.12</v>
      </c>
      <c r="C7" s="14" t="n">
        <v>2863.6</v>
      </c>
      <c r="D7" s="14" t="n">
        <v>5783.32</v>
      </c>
      <c r="E7" s="14" t="n">
        <v>8703.04</v>
      </c>
    </row>
    <row r="8" customFormat="false" ht="15" hidden="false" customHeight="false" outlineLevel="0" collapsed="false">
      <c r="A8" s="33" t="n">
        <v>0.025</v>
      </c>
      <c r="B8" s="14" t="n">
        <v>1791.15</v>
      </c>
      <c r="C8" s="14" t="n">
        <v>5442.54</v>
      </c>
      <c r="D8" s="14" t="n">
        <v>9093.94</v>
      </c>
      <c r="E8" s="14" t="n">
        <v>12745.33</v>
      </c>
    </row>
    <row r="9" customFormat="false" ht="15" hidden="false" customHeight="false" outlineLevel="0" collapsed="false">
      <c r="A9" s="33" t="n">
        <v>0.03</v>
      </c>
      <c r="B9" s="14" t="n">
        <v>3640.19</v>
      </c>
      <c r="C9" s="14" t="n">
        <v>8023.95</v>
      </c>
      <c r="D9" s="14" t="n">
        <v>12407.72</v>
      </c>
      <c r="E9" s="14" t="n">
        <v>16791.49</v>
      </c>
    </row>
    <row r="10" customFormat="false" ht="15" hidden="false" customHeight="false" outlineLevel="0" collapsed="false">
      <c r="A10" s="33" t="n">
        <v>0.04</v>
      </c>
      <c r="B10" s="14" t="n">
        <v>7343.57</v>
      </c>
      <c r="C10" s="14" t="n">
        <v>13194.19</v>
      </c>
      <c r="D10" s="14" t="n">
        <v>19044.8</v>
      </c>
      <c r="E10" s="14" t="n">
        <v>24895.41</v>
      </c>
    </row>
    <row r="11" customFormat="false" ht="15" hidden="false" customHeight="false" outlineLevel="0" collapsed="false">
      <c r="A11" s="33" t="n">
        <v>0.05</v>
      </c>
      <c r="B11" s="14" t="n">
        <v>11054.05</v>
      </c>
      <c r="C11" s="14" t="n">
        <v>18374.32</v>
      </c>
      <c r="D11" s="14" t="n">
        <v>25694.59</v>
      </c>
      <c r="E11" s="14" t="n">
        <v>33014.86</v>
      </c>
    </row>
    <row r="13" customFormat="false" ht="15" hidden="false" customHeight="false" outlineLevel="0" collapsed="false">
      <c r="A13" s="24" t="s">
        <v>601</v>
      </c>
    </row>
    <row r="14" customFormat="false" ht="15" hidden="false" customHeight="false" outlineLevel="0" collapsed="false">
      <c r="A14" s="3" t="s">
        <v>602</v>
      </c>
      <c r="B14" s="3" t="s">
        <v>603</v>
      </c>
      <c r="C14" s="3" t="s">
        <v>604</v>
      </c>
      <c r="D14" s="3" t="s">
        <v>605</v>
      </c>
      <c r="E14" s="3" t="s">
        <v>606</v>
      </c>
      <c r="F14" s="3" t="s">
        <v>607</v>
      </c>
    </row>
    <row r="15" customFormat="false" ht="15" hidden="false" customHeight="false" outlineLevel="0" collapsed="false">
      <c r="A15" s="6" t="s">
        <v>608</v>
      </c>
      <c r="B15" s="34" t="n">
        <v>0.5</v>
      </c>
      <c r="C15" s="14" t="n">
        <v>2372.5405</v>
      </c>
      <c r="D15" s="16" t="n">
        <v>0.0158</v>
      </c>
      <c r="E15" s="14" t="n">
        <v>22212.5628</v>
      </c>
      <c r="F15" s="14" t="n">
        <v>5009.5956</v>
      </c>
    </row>
    <row r="16" customFormat="false" ht="15" hidden="false" customHeight="false" outlineLevel="0" collapsed="false">
      <c r="A16" s="6" t="s">
        <v>608</v>
      </c>
      <c r="B16" s="34" t="n">
        <v>0.75</v>
      </c>
      <c r="C16" s="14" t="n">
        <v>3558.8107</v>
      </c>
      <c r="D16" s="16" t="n">
        <v>0.0235</v>
      </c>
      <c r="E16" s="14" t="n">
        <v>23398.833</v>
      </c>
      <c r="F16" s="14" t="n">
        <v>5148.6667</v>
      </c>
    </row>
    <row r="17" customFormat="false" ht="15" hidden="false" customHeight="false" outlineLevel="0" collapsed="false">
      <c r="A17" s="6" t="s">
        <v>608</v>
      </c>
      <c r="B17" s="34" t="n">
        <v>1</v>
      </c>
      <c r="C17" s="14" t="n">
        <v>4745.0809</v>
      </c>
      <c r="D17" s="16" t="n">
        <v>0.031</v>
      </c>
      <c r="E17" s="14" t="n">
        <v>24585.1033</v>
      </c>
      <c r="F17" s="14" t="n">
        <v>5287.7377</v>
      </c>
    </row>
    <row r="18" customFormat="false" ht="15" hidden="false" customHeight="false" outlineLevel="0" collapsed="false">
      <c r="A18" s="6" t="s">
        <v>608</v>
      </c>
      <c r="B18" s="34" t="n">
        <v>1.5</v>
      </c>
      <c r="C18" s="14" t="n">
        <v>7117.6214</v>
      </c>
      <c r="D18" s="16" t="n">
        <v>0.0458</v>
      </c>
      <c r="E18" s="14" t="n">
        <v>26957.6438</v>
      </c>
      <c r="F18" s="14" t="n">
        <v>5565.8798</v>
      </c>
    </row>
    <row r="19" customFormat="false" ht="15" hidden="false" customHeight="false" outlineLevel="0" collapsed="false">
      <c r="A19" s="6" t="s">
        <v>608</v>
      </c>
      <c r="B19" s="34" t="n">
        <v>2</v>
      </c>
      <c r="C19" s="14" t="n">
        <v>9490.1619</v>
      </c>
      <c r="D19" s="16" t="n">
        <v>0.0602</v>
      </c>
      <c r="E19" s="14" t="n">
        <v>29330.1842</v>
      </c>
      <c r="F19" s="14" t="n">
        <v>5844.0219</v>
      </c>
    </row>
    <row r="20" customFormat="false" ht="15" hidden="false" customHeight="false" outlineLevel="0" collapsed="false">
      <c r="A20" s="6" t="s">
        <v>608</v>
      </c>
      <c r="B20" s="34" t="n">
        <v>3</v>
      </c>
      <c r="C20" s="14" t="n">
        <v>14235.2428</v>
      </c>
      <c r="D20" s="16" t="n">
        <v>0.0877</v>
      </c>
      <c r="E20" s="14" t="n">
        <v>34075.2652</v>
      </c>
      <c r="F20" s="14" t="n">
        <v>6400.3061</v>
      </c>
    </row>
    <row r="21" customFormat="false" ht="15" hidden="false" customHeight="false" outlineLevel="0" collapsed="false">
      <c r="A21" s="6" t="s">
        <v>609</v>
      </c>
      <c r="B21" s="34" t="n">
        <v>0.5</v>
      </c>
      <c r="C21" s="14" t="n">
        <v>102.2239</v>
      </c>
      <c r="D21" s="16" t="n">
        <v>0.0066</v>
      </c>
      <c r="E21" s="14" t="n">
        <v>-40922.4491</v>
      </c>
      <c r="F21" s="14" t="n">
        <v>-3272.8914</v>
      </c>
    </row>
    <row r="22" customFormat="false" ht="15" hidden="false" customHeight="false" outlineLevel="0" collapsed="false">
      <c r="A22" s="6" t="s">
        <v>609</v>
      </c>
      <c r="B22" s="34" t="n">
        <v>0.75</v>
      </c>
      <c r="C22" s="14" t="n">
        <v>153.3359</v>
      </c>
      <c r="D22" s="16" t="n">
        <v>0.0098</v>
      </c>
      <c r="E22" s="14" t="n">
        <v>-40871.3371</v>
      </c>
      <c r="F22" s="14" t="n">
        <v>-3267.6849</v>
      </c>
    </row>
    <row r="23" customFormat="false" ht="15" hidden="false" customHeight="false" outlineLevel="0" collapsed="false">
      <c r="A23" s="6" t="s">
        <v>609</v>
      </c>
      <c r="B23" s="34" t="n">
        <v>1</v>
      </c>
      <c r="C23" s="14" t="n">
        <v>204.4478</v>
      </c>
      <c r="D23" s="16" t="n">
        <v>0.013</v>
      </c>
      <c r="E23" s="14" t="n">
        <v>-40820.2252</v>
      </c>
      <c r="F23" s="14" t="n">
        <v>-3262.4783</v>
      </c>
    </row>
    <row r="24" customFormat="false" ht="15" hidden="false" customHeight="false" outlineLevel="0" collapsed="false">
      <c r="A24" s="6" t="s">
        <v>609</v>
      </c>
      <c r="B24" s="34" t="n">
        <v>1.5</v>
      </c>
      <c r="C24" s="14" t="n">
        <v>306.6718</v>
      </c>
      <c r="D24" s="16" t="n">
        <v>0.0194</v>
      </c>
      <c r="E24" s="14" t="n">
        <v>-40718.0012</v>
      </c>
      <c r="F24" s="14" t="n">
        <v>-3252.0652</v>
      </c>
    </row>
    <row r="25" customFormat="false" ht="15" hidden="false" customHeight="false" outlineLevel="0" collapsed="false">
      <c r="A25" s="6" t="s">
        <v>609</v>
      </c>
      <c r="B25" s="34" t="n">
        <v>2</v>
      </c>
      <c r="C25" s="14" t="n">
        <v>408.8957</v>
      </c>
      <c r="D25" s="16" t="n">
        <v>0.0257</v>
      </c>
      <c r="E25" s="14" t="n">
        <v>-40615.7773</v>
      </c>
      <c r="F25" s="14" t="n">
        <v>-3241.6521</v>
      </c>
    </row>
    <row r="26" customFormat="false" ht="15" hidden="false" customHeight="false" outlineLevel="0" collapsed="false">
      <c r="A26" s="6" t="s">
        <v>609</v>
      </c>
      <c r="B26" s="34" t="n">
        <v>3</v>
      </c>
      <c r="C26" s="14" t="n">
        <v>613.3435</v>
      </c>
      <c r="D26" s="16" t="n">
        <v>0.0381</v>
      </c>
      <c r="E26" s="14" t="n">
        <v>-40411.3295</v>
      </c>
      <c r="F26" s="14" t="n">
        <v>-3220.8259</v>
      </c>
    </row>
    <row r="27" customFormat="false" ht="15" hidden="false" customHeight="false" outlineLevel="0" collapsed="false">
      <c r="A27" s="6" t="s">
        <v>610</v>
      </c>
      <c r="B27" s="34" t="n">
        <v>0.5</v>
      </c>
      <c r="C27" s="14" t="n">
        <v>38223.1931</v>
      </c>
      <c r="D27" s="16" t="n">
        <v>0.0318</v>
      </c>
      <c r="E27" s="14" t="n">
        <v>749724.8072</v>
      </c>
      <c r="F27" s="14" t="n">
        <v>100515.3192</v>
      </c>
    </row>
    <row r="28" customFormat="false" ht="15" hidden="false" customHeight="false" outlineLevel="0" collapsed="false">
      <c r="A28" s="6" t="s">
        <v>610</v>
      </c>
      <c r="B28" s="34" t="n">
        <v>0.75</v>
      </c>
      <c r="C28" s="14" t="n">
        <v>57334.7896</v>
      </c>
      <c r="D28" s="16" t="n">
        <v>0.047</v>
      </c>
      <c r="E28" s="14" t="n">
        <v>768836.4038</v>
      </c>
      <c r="F28" s="14" t="n">
        <v>102953.0276</v>
      </c>
    </row>
    <row r="29" customFormat="false" ht="15" hidden="false" customHeight="false" outlineLevel="0" collapsed="false">
      <c r="A29" s="6" t="s">
        <v>610</v>
      </c>
      <c r="B29" s="34" t="n">
        <v>1</v>
      </c>
      <c r="C29" s="14" t="n">
        <v>76446.3861</v>
      </c>
      <c r="D29" s="16" t="n">
        <v>0.0616</v>
      </c>
      <c r="E29" s="14" t="n">
        <v>787948.0003</v>
      </c>
      <c r="F29" s="14" t="n">
        <v>105390.7361</v>
      </c>
    </row>
    <row r="30" customFormat="false" ht="15" hidden="false" customHeight="false" outlineLevel="0" collapsed="false">
      <c r="A30" s="6" t="s">
        <v>610</v>
      </c>
      <c r="B30" s="34" t="n">
        <v>1.5</v>
      </c>
      <c r="C30" s="14" t="n">
        <v>114669.5792</v>
      </c>
      <c r="D30" s="16" t="n">
        <v>0.0897</v>
      </c>
      <c r="E30" s="14" t="n">
        <v>826171.1933</v>
      </c>
      <c r="F30" s="14" t="n">
        <v>110266.153</v>
      </c>
    </row>
    <row r="31" customFormat="false" ht="15" hidden="false" customHeight="false" outlineLevel="0" collapsed="false">
      <c r="A31" s="6" t="s">
        <v>610</v>
      </c>
      <c r="B31" s="34" t="n">
        <v>2</v>
      </c>
      <c r="C31" s="14" t="n">
        <v>152892.7722</v>
      </c>
      <c r="D31" s="16" t="n">
        <v>0.1161</v>
      </c>
      <c r="E31" s="14" t="n">
        <v>864394.3864</v>
      </c>
      <c r="F31" s="14" t="n">
        <v>115141.57</v>
      </c>
    </row>
    <row r="32" customFormat="false" ht="15" hidden="false" customHeight="false" outlineLevel="0" collapsed="false">
      <c r="A32" s="6" t="s">
        <v>610</v>
      </c>
      <c r="B32" s="34" t="n">
        <v>3</v>
      </c>
      <c r="C32" s="14" t="n">
        <v>229339.1584</v>
      </c>
      <c r="D32" s="16" t="n">
        <v>0.1646</v>
      </c>
      <c r="E32" s="14" t="n">
        <v>940840.7725</v>
      </c>
      <c r="F32" s="14" t="n">
        <v>124892.4038</v>
      </c>
    </row>
    <row r="34" customFormat="false" ht="15" hidden="false" customHeight="false" outlineLevel="0" collapsed="false">
      <c r="A34" s="24" t="s">
        <v>611</v>
      </c>
    </row>
    <row r="35" customFormat="false" ht="15" hidden="false" customHeight="false" outlineLevel="0" collapsed="false">
      <c r="A35" s="3" t="s">
        <v>602</v>
      </c>
      <c r="B35" s="3" t="s">
        <v>612</v>
      </c>
      <c r="C35" s="3" t="s">
        <v>613</v>
      </c>
      <c r="D35" s="3" t="s">
        <v>614</v>
      </c>
      <c r="E35" s="3" t="s">
        <v>615</v>
      </c>
    </row>
    <row r="36" customFormat="false" ht="15" hidden="false" customHeight="false" outlineLevel="0" collapsed="false">
      <c r="A36" s="6" t="s">
        <v>608</v>
      </c>
      <c r="B36" s="6" t="n">
        <v>26</v>
      </c>
      <c r="C36" s="6" t="n">
        <v>27</v>
      </c>
      <c r="D36" s="14" t="n">
        <v>6550.03</v>
      </c>
      <c r="E36" s="14" t="n">
        <v>7572.59</v>
      </c>
    </row>
    <row r="37" customFormat="false" ht="15" hidden="false" customHeight="false" outlineLevel="0" collapsed="false">
      <c r="A37" s="6" t="s">
        <v>609</v>
      </c>
      <c r="B37" s="6" t="s">
        <v>616</v>
      </c>
      <c r="C37" s="6" t="s">
        <v>616</v>
      </c>
      <c r="D37" s="14" t="n">
        <v>91904.65</v>
      </c>
      <c r="E37" s="14" t="n">
        <v>92297.84</v>
      </c>
    </row>
    <row r="38" customFormat="false" ht="15" hidden="false" customHeight="false" outlineLevel="0" collapsed="false">
      <c r="A38" s="6" t="s">
        <v>610</v>
      </c>
      <c r="B38" s="6" t="n">
        <v>3</v>
      </c>
      <c r="C38" s="6" t="n">
        <v>3</v>
      </c>
      <c r="D38" s="14" t="n">
        <v>803.72</v>
      </c>
      <c r="E38" s="14" t="n">
        <v>803.72</v>
      </c>
    </row>
    <row r="40" customFormat="false" ht="15" hidden="false" customHeight="false" outlineLevel="0" collapsed="false">
      <c r="A40" s="24" t="s">
        <v>617</v>
      </c>
    </row>
    <row r="41" customFormat="false" ht="15" hidden="false" customHeight="false" outlineLevel="0" collapsed="false">
      <c r="A41" s="3" t="s">
        <v>4</v>
      </c>
      <c r="B41" s="3" t="s">
        <v>3</v>
      </c>
      <c r="C41" s="3" t="s">
        <v>618</v>
      </c>
      <c r="D41" s="3" t="s">
        <v>619</v>
      </c>
      <c r="E41" s="3" t="s">
        <v>620</v>
      </c>
    </row>
    <row r="42" customFormat="false" ht="15" hidden="false" customHeight="false" outlineLevel="0" collapsed="false">
      <c r="A42" s="6" t="s">
        <v>41</v>
      </c>
      <c r="B42" s="6" t="s">
        <v>40</v>
      </c>
      <c r="C42" s="14" t="n">
        <v>-29363.85</v>
      </c>
      <c r="D42" s="14" t="n">
        <v>41016.15</v>
      </c>
      <c r="E42" s="14" t="n">
        <v>70379.99</v>
      </c>
    </row>
    <row r="43" customFormat="false" ht="15" hidden="false" customHeight="false" outlineLevel="0" collapsed="false">
      <c r="A43" s="6" t="s">
        <v>78</v>
      </c>
      <c r="B43" s="6" t="s">
        <v>77</v>
      </c>
      <c r="C43" s="14" t="n">
        <v>-23828.58</v>
      </c>
      <c r="D43" s="14" t="n">
        <v>23850.48</v>
      </c>
      <c r="E43" s="14" t="n">
        <v>47679.07</v>
      </c>
    </row>
    <row r="44" customFormat="false" ht="15" hidden="false" customHeight="false" outlineLevel="0" collapsed="false">
      <c r="A44" s="6" t="s">
        <v>92</v>
      </c>
      <c r="B44" s="6" t="s">
        <v>91</v>
      </c>
      <c r="C44" s="14" t="n">
        <v>-21663.46</v>
      </c>
      <c r="D44" s="14" t="n">
        <v>21683.27</v>
      </c>
      <c r="E44" s="14" t="n">
        <v>43346.73</v>
      </c>
    </row>
    <row r="45" customFormat="false" ht="15" hidden="false" customHeight="false" outlineLevel="0" collapsed="false">
      <c r="A45" s="6" t="s">
        <v>89</v>
      </c>
      <c r="B45" s="6" t="s">
        <v>88</v>
      </c>
      <c r="C45" s="14" t="n">
        <v>-21663.46</v>
      </c>
      <c r="D45" s="14" t="n">
        <v>21683.27</v>
      </c>
      <c r="E45" s="14" t="n">
        <v>43346.73</v>
      </c>
    </row>
    <row r="46" customFormat="false" ht="15" hidden="false" customHeight="false" outlineLevel="0" collapsed="false">
      <c r="A46" s="6" t="s">
        <v>37</v>
      </c>
      <c r="B46" s="6" t="s">
        <v>36</v>
      </c>
      <c r="C46" s="14" t="n">
        <v>-21344.5</v>
      </c>
      <c r="D46" s="14" t="n">
        <v>21344.5</v>
      </c>
      <c r="E46" s="14" t="n">
        <v>42689.01</v>
      </c>
    </row>
    <row r="47" customFormat="false" ht="15" hidden="false" customHeight="false" outlineLevel="0" collapsed="false">
      <c r="A47" s="6" t="s">
        <v>109</v>
      </c>
      <c r="B47" s="6" t="s">
        <v>108</v>
      </c>
      <c r="C47" s="14" t="n">
        <v>-14619.76</v>
      </c>
      <c r="D47" s="14" t="n">
        <v>14619.76</v>
      </c>
      <c r="E47" s="14" t="n">
        <v>29239.52</v>
      </c>
    </row>
    <row r="48" customFormat="false" ht="15" hidden="false" customHeight="false" outlineLevel="0" collapsed="false">
      <c r="A48" s="6" t="s">
        <v>106</v>
      </c>
      <c r="B48" s="6" t="s">
        <v>105</v>
      </c>
      <c r="C48" s="14" t="n">
        <v>-9904.74</v>
      </c>
      <c r="D48" s="14" t="n">
        <v>9904.74</v>
      </c>
      <c r="E48" s="14" t="n">
        <v>19809.48</v>
      </c>
    </row>
    <row r="49" customFormat="false" ht="15" hidden="false" customHeight="false" outlineLevel="0" collapsed="false">
      <c r="A49" s="6" t="s">
        <v>98</v>
      </c>
      <c r="B49" s="6" t="s">
        <v>97</v>
      </c>
      <c r="C49" s="14" t="n">
        <v>-7487.5</v>
      </c>
      <c r="D49" s="14" t="n">
        <v>7487.66</v>
      </c>
      <c r="E49" s="14" t="n">
        <v>14975.16</v>
      </c>
    </row>
    <row r="50" customFormat="false" ht="15" hidden="false" customHeight="false" outlineLevel="0" collapsed="false">
      <c r="A50" s="6" t="s">
        <v>257</v>
      </c>
      <c r="B50" s="6" t="s">
        <v>256</v>
      </c>
      <c r="C50" s="14" t="n">
        <v>7200</v>
      </c>
      <c r="D50" s="14" t="n">
        <v>-7200</v>
      </c>
      <c r="E50" s="14" t="n">
        <v>14400</v>
      </c>
    </row>
    <row r="51" customFormat="false" ht="15" hidden="false" customHeight="false" outlineLevel="0" collapsed="false">
      <c r="A51" s="6" t="s">
        <v>95</v>
      </c>
      <c r="B51" s="6" t="s">
        <v>94</v>
      </c>
      <c r="C51" s="14" t="n">
        <v>-5989.84</v>
      </c>
      <c r="D51" s="14" t="n">
        <v>5988.42</v>
      </c>
      <c r="E51" s="14" t="n">
        <v>11978.26</v>
      </c>
    </row>
    <row r="52" customFormat="false" ht="15" hidden="false" customHeight="false" outlineLevel="0" collapsed="false">
      <c r="A52" s="6" t="s">
        <v>118</v>
      </c>
      <c r="B52" s="6" t="s">
        <v>117</v>
      </c>
      <c r="C52" s="14" t="n">
        <v>5157.91</v>
      </c>
      <c r="D52" s="14" t="n">
        <v>-5157.91</v>
      </c>
      <c r="E52" s="14" t="n">
        <v>10315.81</v>
      </c>
    </row>
    <row r="53" customFormat="false" ht="15" hidden="false" customHeight="false" outlineLevel="0" collapsed="false">
      <c r="A53" s="6" t="s">
        <v>57</v>
      </c>
      <c r="B53" s="6" t="s">
        <v>56</v>
      </c>
      <c r="C53" s="14" t="n">
        <v>4430.95</v>
      </c>
      <c r="D53" s="14" t="n">
        <v>-5735.32</v>
      </c>
      <c r="E53" s="14" t="n">
        <v>10166.26</v>
      </c>
    </row>
    <row r="54" customFormat="false" ht="15" hidden="false" customHeight="false" outlineLevel="0" collapsed="false">
      <c r="A54" s="6" t="s">
        <v>53</v>
      </c>
      <c r="B54" s="6" t="s">
        <v>52</v>
      </c>
      <c r="C54" s="14" t="n">
        <v>3746.53</v>
      </c>
      <c r="D54" s="14" t="n">
        <v>-3746.53</v>
      </c>
      <c r="E54" s="14" t="n">
        <v>7493.07</v>
      </c>
    </row>
    <row r="55" customFormat="false" ht="15" hidden="false" customHeight="false" outlineLevel="0" collapsed="false">
      <c r="A55" s="6" t="s">
        <v>126</v>
      </c>
      <c r="B55" s="6" t="s">
        <v>125</v>
      </c>
      <c r="C55" s="14" t="n">
        <v>-3149.28</v>
      </c>
      <c r="D55" s="14" t="n">
        <v>2996.99</v>
      </c>
      <c r="E55" s="14" t="n">
        <v>6146.27</v>
      </c>
    </row>
    <row r="56" customFormat="false" ht="15" hidden="false" customHeight="false" outlineLevel="0" collapsed="false">
      <c r="A56" s="6" t="s">
        <v>222</v>
      </c>
      <c r="B56" s="6" t="s">
        <v>221</v>
      </c>
      <c r="C56" s="14" t="n">
        <v>3062.57</v>
      </c>
      <c r="D56" s="14" t="n">
        <v>-3062.57</v>
      </c>
      <c r="E56" s="14" t="n">
        <v>6125.13</v>
      </c>
    </row>
    <row r="57" customFormat="false" ht="15" hidden="false" customHeight="false" outlineLevel="0" collapsed="false">
      <c r="A57" s="6" t="s">
        <v>219</v>
      </c>
      <c r="B57" s="6" t="s">
        <v>218</v>
      </c>
      <c r="C57" s="14" t="n">
        <v>3062.57</v>
      </c>
      <c r="D57" s="14" t="n">
        <v>-3062.57</v>
      </c>
      <c r="E57" s="14" t="n">
        <v>6125.13</v>
      </c>
    </row>
    <row r="58" customFormat="false" ht="15" hidden="false" customHeight="false" outlineLevel="0" collapsed="false">
      <c r="A58" s="6" t="s">
        <v>216</v>
      </c>
      <c r="B58" s="6" t="s">
        <v>215</v>
      </c>
      <c r="C58" s="14" t="n">
        <v>3062.57</v>
      </c>
      <c r="D58" s="14" t="n">
        <v>-3062.57</v>
      </c>
      <c r="E58" s="14" t="n">
        <v>6125.13</v>
      </c>
    </row>
    <row r="59" customFormat="false" ht="15" hidden="false" customHeight="false" outlineLevel="0" collapsed="false">
      <c r="A59" s="6" t="s">
        <v>129</v>
      </c>
      <c r="B59" s="6" t="s">
        <v>128</v>
      </c>
      <c r="C59" s="14" t="n">
        <v>-2329.66</v>
      </c>
      <c r="D59" s="14" t="n">
        <v>2427.84</v>
      </c>
      <c r="E59" s="14" t="n">
        <v>4757.5</v>
      </c>
    </row>
    <row r="60" customFormat="false" ht="15" hidden="false" customHeight="false" outlineLevel="0" collapsed="false">
      <c r="A60" s="6" t="s">
        <v>67</v>
      </c>
      <c r="B60" s="6" t="s">
        <v>66</v>
      </c>
      <c r="C60" s="14" t="n">
        <v>2201.15</v>
      </c>
      <c r="D60" s="14" t="n">
        <v>-2201.15</v>
      </c>
      <c r="E60" s="14" t="n">
        <v>4402.3</v>
      </c>
    </row>
    <row r="61" customFormat="false" ht="15" hidden="false" customHeight="false" outlineLevel="0" collapsed="false">
      <c r="A61" s="6" t="s">
        <v>101</v>
      </c>
      <c r="B61" s="6" t="s">
        <v>100</v>
      </c>
      <c r="C61" s="14" t="n">
        <v>-2166.17</v>
      </c>
      <c r="D61" s="14" t="n">
        <v>2166.17</v>
      </c>
      <c r="E61" s="14" t="n">
        <v>4332.34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6"/>
    <col collapsed="false" customWidth="true" hidden="false" outlineLevel="0" max="3" min="3" style="0" width="60"/>
    <col collapsed="false" customWidth="true" hidden="false" outlineLevel="0" max="4" min="4" style="0" width="28"/>
    <col collapsed="false" customWidth="true" hidden="false" outlineLevel="0" max="5" min="5" style="0" width="11"/>
    <col collapsed="false" customWidth="true" hidden="false" outlineLevel="0" max="6" min="6" style="0" width="70"/>
    <col collapsed="false" customWidth="true" hidden="false" outlineLevel="0" max="7" min="7" style="0" width="60"/>
  </cols>
  <sheetData>
    <row r="1" customFormat="false" ht="16.15" hidden="false" customHeight="false" outlineLevel="0" collapsed="false">
      <c r="A1" s="1" t="s">
        <v>621</v>
      </c>
    </row>
    <row r="3" customFormat="false" ht="15" hidden="false" customHeight="false" outlineLevel="0" collapsed="false">
      <c r="A3" s="3" t="s">
        <v>622</v>
      </c>
      <c r="B3" s="3" t="s">
        <v>623</v>
      </c>
      <c r="C3" s="3" t="s">
        <v>624</v>
      </c>
      <c r="D3" s="3" t="s">
        <v>625</v>
      </c>
      <c r="E3" s="3" t="s">
        <v>626</v>
      </c>
      <c r="F3" s="3" t="s">
        <v>627</v>
      </c>
      <c r="G3" s="3" t="s">
        <v>628</v>
      </c>
    </row>
    <row r="4" customFormat="false" ht="15" hidden="false" customHeight="false" outlineLevel="0" collapsed="false">
      <c r="A4" s="6" t="s">
        <v>629</v>
      </c>
      <c r="B4" s="6" t="s">
        <v>630</v>
      </c>
      <c r="C4" s="6" t="s">
        <v>631</v>
      </c>
      <c r="D4" s="6" t="s">
        <v>539</v>
      </c>
      <c r="E4" s="6" t="s">
        <v>632</v>
      </c>
      <c r="F4" s="6" t="s">
        <v>633</v>
      </c>
      <c r="G4" s="6" t="s">
        <v>634</v>
      </c>
    </row>
    <row r="5" customFormat="false" ht="15" hidden="false" customHeight="false" outlineLevel="0" collapsed="false">
      <c r="A5" s="6" t="s">
        <v>635</v>
      </c>
      <c r="B5" s="6" t="s">
        <v>630</v>
      </c>
      <c r="C5" s="6" t="s">
        <v>636</v>
      </c>
      <c r="D5" s="6" t="s">
        <v>539</v>
      </c>
      <c r="E5" s="6" t="s">
        <v>637</v>
      </c>
      <c r="F5" s="6" t="s">
        <v>638</v>
      </c>
      <c r="G5" s="6" t="s">
        <v>639</v>
      </c>
    </row>
    <row r="6" customFormat="false" ht="15" hidden="false" customHeight="false" outlineLevel="0" collapsed="false">
      <c r="A6" s="6" t="s">
        <v>640</v>
      </c>
      <c r="B6" s="6" t="s">
        <v>630</v>
      </c>
      <c r="C6" s="6" t="s">
        <v>641</v>
      </c>
      <c r="D6" s="6" t="s">
        <v>642</v>
      </c>
      <c r="E6" s="6" t="s">
        <v>643</v>
      </c>
      <c r="F6" s="6" t="s">
        <v>644</v>
      </c>
      <c r="G6" s="6" t="s">
        <v>645</v>
      </c>
    </row>
    <row r="7" customFormat="false" ht="15" hidden="false" customHeight="false" outlineLevel="0" collapsed="false">
      <c r="A7" s="6" t="s">
        <v>646</v>
      </c>
      <c r="B7" s="6" t="s">
        <v>647</v>
      </c>
      <c r="C7" s="6" t="s">
        <v>648</v>
      </c>
      <c r="D7" s="6" t="s">
        <v>649</v>
      </c>
      <c r="E7" s="6" t="s">
        <v>650</v>
      </c>
      <c r="F7" s="6" t="s">
        <v>651</v>
      </c>
      <c r="G7" s="6" t="s">
        <v>652</v>
      </c>
    </row>
    <row r="8" customFormat="false" ht="15" hidden="false" customHeight="false" outlineLevel="0" collapsed="false">
      <c r="A8" s="6" t="s">
        <v>653</v>
      </c>
      <c r="B8" s="6" t="s">
        <v>647</v>
      </c>
      <c r="C8" s="6" t="s">
        <v>654</v>
      </c>
      <c r="D8" s="6" t="s">
        <v>655</v>
      </c>
      <c r="E8" s="6" t="s">
        <v>650</v>
      </c>
      <c r="F8" s="6" t="s">
        <v>656</v>
      </c>
      <c r="G8" s="6" t="s">
        <v>657</v>
      </c>
    </row>
    <row r="9" customFormat="false" ht="15" hidden="false" customHeight="false" outlineLevel="0" collapsed="false">
      <c r="A9" s="6" t="s">
        <v>658</v>
      </c>
      <c r="B9" s="6" t="s">
        <v>647</v>
      </c>
      <c r="C9" s="6" t="s">
        <v>659</v>
      </c>
      <c r="D9" s="6" t="s">
        <v>660</v>
      </c>
      <c r="E9" s="6" t="s">
        <v>650</v>
      </c>
      <c r="F9" s="6" t="s">
        <v>661</v>
      </c>
      <c r="G9" s="6" t="s">
        <v>662</v>
      </c>
    </row>
    <row r="10" customFormat="false" ht="15" hidden="false" customHeight="false" outlineLevel="0" collapsed="false">
      <c r="A10" s="6" t="s">
        <v>663</v>
      </c>
      <c r="B10" s="6" t="s">
        <v>630</v>
      </c>
      <c r="C10" s="6" t="s">
        <v>664</v>
      </c>
      <c r="D10" s="6" t="s">
        <v>665</v>
      </c>
      <c r="E10" s="6" t="s">
        <v>650</v>
      </c>
      <c r="F10" s="6" t="s">
        <v>666</v>
      </c>
      <c r="G10" s="6" t="s">
        <v>667</v>
      </c>
    </row>
    <row r="11" customFormat="false" ht="15" hidden="false" customHeight="false" outlineLevel="0" collapsed="false">
      <c r="A11" s="6" t="s">
        <v>668</v>
      </c>
      <c r="B11" s="6" t="s">
        <v>647</v>
      </c>
      <c r="C11" s="6" t="s">
        <v>669</v>
      </c>
      <c r="D11" s="6" t="s">
        <v>670</v>
      </c>
      <c r="E11" s="6" t="s">
        <v>650</v>
      </c>
      <c r="F11" s="6" t="s">
        <v>671</v>
      </c>
      <c r="G11" s="6" t="s">
        <v>672</v>
      </c>
    </row>
    <row r="12" customFormat="false" ht="15" hidden="false" customHeight="false" outlineLevel="0" collapsed="false">
      <c r="A12" s="6" t="s">
        <v>673</v>
      </c>
      <c r="B12" s="6" t="s">
        <v>630</v>
      </c>
      <c r="C12" s="6" t="s">
        <v>674</v>
      </c>
      <c r="D12" s="6" t="s">
        <v>675</v>
      </c>
      <c r="E12" s="6" t="s">
        <v>650</v>
      </c>
      <c r="F12" s="6" t="s">
        <v>676</v>
      </c>
      <c r="G12" s="6" t="s">
        <v>677</v>
      </c>
    </row>
    <row r="13" customFormat="false" ht="15" hidden="false" customHeight="false" outlineLevel="0" collapsed="false">
      <c r="A13" s="6" t="s">
        <v>678</v>
      </c>
      <c r="B13" s="6" t="s">
        <v>630</v>
      </c>
      <c r="C13" s="6" t="s">
        <v>679</v>
      </c>
      <c r="D13" s="6" t="s">
        <v>680</v>
      </c>
      <c r="E13" s="6" t="s">
        <v>681</v>
      </c>
      <c r="F13" s="6" t="s">
        <v>682</v>
      </c>
      <c r="G13" s="6" t="s">
        <v>683</v>
      </c>
    </row>
    <row r="14" customFormat="false" ht="15" hidden="false" customHeight="false" outlineLevel="0" collapsed="false">
      <c r="A14" s="6" t="s">
        <v>684</v>
      </c>
      <c r="B14" s="6" t="s">
        <v>685</v>
      </c>
      <c r="C14" s="6" t="s">
        <v>686</v>
      </c>
      <c r="D14" s="6" t="s">
        <v>687</v>
      </c>
      <c r="E14" s="6" t="s">
        <v>650</v>
      </c>
      <c r="F14" s="6" t="s">
        <v>688</v>
      </c>
      <c r="G14" s="6" t="s">
        <v>689</v>
      </c>
    </row>
    <row r="15" customFormat="false" ht="15" hidden="false" customHeight="false" outlineLevel="0" collapsed="false">
      <c r="A15" s="6" t="s">
        <v>690</v>
      </c>
      <c r="B15" s="6" t="s">
        <v>647</v>
      </c>
      <c r="C15" s="6" t="s">
        <v>691</v>
      </c>
      <c r="D15" s="6" t="s">
        <v>692</v>
      </c>
      <c r="E15" s="6" t="s">
        <v>693</v>
      </c>
      <c r="F15" s="6" t="s">
        <v>694</v>
      </c>
      <c r="G15" s="6" t="s">
        <v>695</v>
      </c>
    </row>
    <row r="16" customFormat="false" ht="15" hidden="false" customHeight="false" outlineLevel="0" collapsed="false">
      <c r="A16" s="6" t="s">
        <v>696</v>
      </c>
      <c r="B16" s="6" t="s">
        <v>685</v>
      </c>
      <c r="C16" s="6" t="s">
        <v>697</v>
      </c>
      <c r="D16" s="6" t="s">
        <v>698</v>
      </c>
      <c r="E16" s="6" t="s">
        <v>650</v>
      </c>
      <c r="F16" s="6" t="s">
        <v>699</v>
      </c>
      <c r="G16" s="6" t="s">
        <v>700</v>
      </c>
    </row>
    <row r="17" customFormat="false" ht="15" hidden="false" customHeight="false" outlineLevel="0" collapsed="false">
      <c r="A17" s="6" t="s">
        <v>701</v>
      </c>
      <c r="B17" s="6" t="s">
        <v>647</v>
      </c>
      <c r="C17" s="6" t="s">
        <v>702</v>
      </c>
      <c r="D17" s="6" t="s">
        <v>703</v>
      </c>
      <c r="E17" s="6" t="s">
        <v>650</v>
      </c>
      <c r="F17" s="6" t="s">
        <v>704</v>
      </c>
      <c r="G17" s="6" t="s">
        <v>705</v>
      </c>
    </row>
    <row r="18" customFormat="false" ht="15" hidden="false" customHeight="false" outlineLevel="0" collapsed="false">
      <c r="A18" s="6" t="s">
        <v>706</v>
      </c>
      <c r="B18" s="6" t="s">
        <v>630</v>
      </c>
      <c r="C18" s="6" t="s">
        <v>707</v>
      </c>
      <c r="D18" s="6" t="s">
        <v>539</v>
      </c>
      <c r="E18" s="6" t="s">
        <v>650</v>
      </c>
      <c r="F18" s="6" t="s">
        <v>708</v>
      </c>
      <c r="G18" s="6" t="s">
        <v>709</v>
      </c>
    </row>
    <row r="19" customFormat="false" ht="15" hidden="false" customHeight="false" outlineLevel="0" collapsed="false">
      <c r="A19" s="6" t="s">
        <v>710</v>
      </c>
      <c r="B19" s="6" t="s">
        <v>685</v>
      </c>
      <c r="C19" s="6" t="s">
        <v>711</v>
      </c>
      <c r="D19" s="6" t="s">
        <v>539</v>
      </c>
      <c r="E19" s="6" t="s">
        <v>650</v>
      </c>
      <c r="F19" s="6" t="s">
        <v>712</v>
      </c>
      <c r="G19" s="6" t="s">
        <v>713</v>
      </c>
    </row>
    <row r="20" customFormat="false" ht="15" hidden="false" customHeight="false" outlineLevel="0" collapsed="false">
      <c r="A20" s="6" t="s">
        <v>714</v>
      </c>
      <c r="B20" s="6" t="s">
        <v>647</v>
      </c>
      <c r="C20" s="6" t="s">
        <v>715</v>
      </c>
      <c r="D20" s="6" t="s">
        <v>716</v>
      </c>
      <c r="E20" s="6" t="s">
        <v>650</v>
      </c>
      <c r="F20" s="6" t="s">
        <v>717</v>
      </c>
      <c r="G20" s="6" t="s">
        <v>718</v>
      </c>
    </row>
    <row r="21" customFormat="false" ht="15" hidden="false" customHeight="false" outlineLevel="0" collapsed="false">
      <c r="A21" s="6" t="s">
        <v>719</v>
      </c>
      <c r="B21" s="6" t="s">
        <v>685</v>
      </c>
      <c r="C21" s="6" t="s">
        <v>720</v>
      </c>
      <c r="D21" s="6" t="s">
        <v>721</v>
      </c>
      <c r="E21" s="6" t="s">
        <v>650</v>
      </c>
      <c r="F21" s="6" t="s">
        <v>722</v>
      </c>
      <c r="G21" s="6" t="s">
        <v>723</v>
      </c>
    </row>
    <row r="22" customFormat="false" ht="15" hidden="false" customHeight="false" outlineLevel="0" collapsed="false">
      <c r="A22" s="6" t="s">
        <v>724</v>
      </c>
      <c r="B22" s="6" t="s">
        <v>685</v>
      </c>
      <c r="C22" s="6" t="s">
        <v>725</v>
      </c>
      <c r="D22" s="6" t="s">
        <v>726</v>
      </c>
      <c r="E22" s="6" t="s">
        <v>650</v>
      </c>
      <c r="F22" s="6" t="s">
        <v>727</v>
      </c>
      <c r="G22" s="6" t="s">
        <v>728</v>
      </c>
    </row>
    <row r="23" customFormat="false" ht="15" hidden="false" customHeight="false" outlineLevel="0" collapsed="false">
      <c r="A23" s="6" t="s">
        <v>729</v>
      </c>
      <c r="B23" s="6" t="s">
        <v>685</v>
      </c>
      <c r="C23" s="6" t="s">
        <v>730</v>
      </c>
      <c r="D23" s="6" t="s">
        <v>731</v>
      </c>
      <c r="E23" s="6" t="s">
        <v>650</v>
      </c>
      <c r="F23" s="6" t="s">
        <v>732</v>
      </c>
      <c r="G23" s="6" t="s">
        <v>733</v>
      </c>
    </row>
    <row r="24" customFormat="false" ht="15" hidden="false" customHeight="false" outlineLevel="0" collapsed="false">
      <c r="A24" s="6" t="s">
        <v>734</v>
      </c>
      <c r="B24" s="6" t="s">
        <v>685</v>
      </c>
      <c r="C24" s="6" t="s">
        <v>735</v>
      </c>
      <c r="D24" s="6" t="s">
        <v>736</v>
      </c>
      <c r="E24" s="6" t="s">
        <v>650</v>
      </c>
      <c r="F24" s="6" t="s">
        <v>737</v>
      </c>
      <c r="G24" s="6" t="s">
        <v>738</v>
      </c>
    </row>
    <row r="26" customFormat="false" ht="15" hidden="false" customHeight="false" outlineLevel="0" collapsed="false">
      <c r="A26" s="2" t="s">
        <v>739</v>
      </c>
    </row>
    <row r="27" customFormat="false" ht="15" hidden="false" customHeight="false" outlineLevel="0" collapsed="false">
      <c r="A27" s="2" t="s">
        <v>740</v>
      </c>
    </row>
    <row r="28" customFormat="false" ht="15" hidden="false" customHeight="false" outlineLevel="0" collapsed="false">
      <c r="A28" s="2" t="s">
        <v>741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2026-09-25T22:49:23Z</dcterms:created>
  <dc:creator>openpyxl</dc:creator>
  <dc:description/>
  <dc:language>en-US</dc:language>
  <cp:lastModifiedBy/>
  <dcterms:modified xsi:type="dcterms:W3CDTF">2026-09-25T22:49:24Z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