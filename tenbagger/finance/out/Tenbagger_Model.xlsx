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Monthly_Base" sheetId="2" state="visible" r:id="rId2"/>
    <sheet name="Monthly_Bear" sheetId="3" state="visible" r:id="rId3"/>
    <sheet name="Monthly_Bull" sheetId="4" state="visible" r:id="rId4"/>
    <sheet name="Annual_PnL" sheetId="5" state="visible" r:id="rId5"/>
    <sheet name="KPIs" sheetId="6" state="visible" r:id="rId6"/>
    <sheet name="Sensitivity" sheetId="7" state="visible" r:id="rId7"/>
    <sheet name="Sourc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#,##0;(#,##0);&quot;-&quot;"/>
    <numFmt numFmtId="165" formatCode="0.0%;(0.0%);&quot;-&quot;"/>
    <numFmt numFmtId="166" formatCode="#,##0.0##;(#,##0.0##);&quot;-&quot;"/>
    <numFmt numFmtId="167" formatCode="$#,##0;($#,##0);&quot;-&quot;"/>
    <numFmt numFmtId="168" formatCode="$#,##0.00;($#,##0.00);&quot;-&quot;"/>
    <numFmt numFmtId="169" formatCode="0.00&quot;x&quot;;(0.00&quot;x&quot;);&quot;-&quot;"/>
    <numFmt numFmtId="170" formatCode="0.0;(0.0);&quot;-&quot;"/>
    <numFmt numFmtId="171" formatCode="0.00&quot;x&quot;"/>
  </numFmts>
  <fonts count="7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555555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color rgb="00000000"/>
      <sz val="10"/>
    </font>
    <font>
      <name val="Arial"/>
      <color rgb="000000FF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top style="thin">
        <color rgb="00808080"/>
      </top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0" pivotButton="0" quotePrefix="0" xfId="0"/>
    <xf numFmtId="0" fontId="0" fillId="3" borderId="0" pivotButton="0" quotePrefix="0" xfId="0"/>
    <xf numFmtId="0" fontId="5" fillId="0" borderId="0" pivotButton="0" quotePrefix="0" xfId="0"/>
    <xf numFmtId="1" fontId="6" fillId="4" borderId="0" pivotButton="0" quotePrefix="0" xfId="0"/>
    <xf numFmtId="1" fontId="5" fillId="0" borderId="0" pivotButton="0" quotePrefix="0" xfId="0"/>
    <xf numFmtId="164" fontId="6" fillId="4" borderId="0" pivotButton="0" quotePrefix="0" xfId="0"/>
    <xf numFmtId="165" fontId="6" fillId="4" borderId="0" pivotButton="0" quotePrefix="0" xfId="0"/>
    <xf numFmtId="166" fontId="6" fillId="4" borderId="0" pivotButton="0" quotePrefix="0" xfId="0"/>
    <xf numFmtId="167" fontId="6" fillId="4" borderId="0" pivotButton="0" quotePrefix="0" xfId="0"/>
    <xf numFmtId="168" fontId="6" fillId="4" borderId="0" pivotButton="0" quotePrefix="0" xfId="0"/>
    <xf numFmtId="167" fontId="5" fillId="0" borderId="0" pivotButton="0" quotePrefix="0" xfId="0"/>
    <xf numFmtId="168" fontId="5" fillId="0" borderId="0" pivotButton="0" quotePrefix="0" xfId="0"/>
    <xf numFmtId="165" fontId="5" fillId="0" borderId="0" pivotButton="0" quotePrefix="0" xfId="0"/>
    <xf numFmtId="164" fontId="5" fillId="0" borderId="0" pivotButton="0" quotePrefix="0" xfId="0"/>
    <xf numFmtId="166" fontId="5" fillId="0" borderId="0" pivotButton="0" quotePrefix="0" xfId="0"/>
    <xf numFmtId="0" fontId="0" fillId="2" borderId="0" pivotButton="0" quotePrefix="0" xfId="0"/>
    <xf numFmtId="0" fontId="3" fillId="2" borderId="0" applyAlignment="1" pivotButton="0" quotePrefix="0" xfId="0">
      <alignment horizontal="right"/>
    </xf>
    <xf numFmtId="0" fontId="4" fillId="5" borderId="0" pivotButton="0" quotePrefix="0" xfId="0"/>
    <xf numFmtId="164" fontId="4" fillId="5" borderId="1" pivotButton="0" quotePrefix="0" xfId="0"/>
    <xf numFmtId="167" fontId="4" fillId="5" borderId="1" pivotButton="0" quotePrefix="0" xfId="0"/>
    <xf numFmtId="0" fontId="4" fillId="0" borderId="0" pivotButton="0" quotePrefix="0" xfId="0"/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67" fontId="5" fillId="0" borderId="0" applyAlignment="1" pivotButton="0" quotePrefix="0" xfId="0">
      <alignment horizontal="right"/>
    </xf>
    <xf numFmtId="168" fontId="5" fillId="0" borderId="0" applyAlignment="1" pivotButton="0" quotePrefix="0" xfId="0">
      <alignment horizontal="right"/>
    </xf>
    <xf numFmtId="169" fontId="5" fillId="0" borderId="0" applyAlignment="1" pivotButton="0" quotePrefix="0" xfId="0">
      <alignment horizontal="right"/>
    </xf>
    <xf numFmtId="170" fontId="5" fillId="0" borderId="0" applyAlignment="1" pivotButton="0" quotePrefix="0" xfId="0">
      <alignment horizontal="right"/>
    </xf>
    <xf numFmtId="1" fontId="5" fillId="0" borderId="0" applyAlignment="1" pivotButton="0" quotePrefix="0" xfId="0">
      <alignment horizontal="right"/>
    </xf>
    <xf numFmtId="168" fontId="3" fillId="2" borderId="0" pivotButton="0" quotePrefix="0" xfId="0"/>
    <xf numFmtId="165" fontId="4" fillId="0" borderId="0" pivotButton="0" quotePrefix="0" xfId="0"/>
    <xf numFmtId="171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62" customWidth="1" min="3" max="3"/>
    <col width="8" customWidth="1" min="4" max="4"/>
    <col width="12" customWidth="1" min="5" max="5"/>
    <col width="12" customWidth="1" min="6" max="6"/>
    <col width="12" customWidth="1" min="7" max="7"/>
    <col width="90" customWidth="1" min="8" max="8"/>
  </cols>
  <sheetData>
    <row r="1">
      <c r="A1" s="1" t="inlineStr">
        <is>
          <t>Tenbagger model: assumptions (edit the blue cells; everything else recalculates)</t>
        </is>
      </c>
    </row>
    <row r="2">
      <c r="A2" s="2" t="inlineStr">
        <is>
          <t>Blue = input. Black = formula. Bear/Bull cells in black follow Base; type a value to override. Mirrors tenbagger/finance/assumptions.yaml (re-run model.py to refresh Python outputs).</t>
        </is>
      </c>
    </row>
    <row r="3">
      <c r="A3" s="3" t="inlineStr">
        <is>
          <t>Section</t>
        </is>
      </c>
      <c r="B3" s="3" t="inlineStr">
        <is>
          <t>Key</t>
        </is>
      </c>
      <c r="C3" s="3" t="inlineStr">
        <is>
          <t>Driver</t>
        </is>
      </c>
      <c r="D3" s="3" t="inlineStr">
        <is>
          <t>Unit</t>
        </is>
      </c>
      <c r="E3" s="3" t="inlineStr">
        <is>
          <t>Base</t>
        </is>
      </c>
      <c r="F3" s="3" t="inlineStr">
        <is>
          <t>Bear</t>
        </is>
      </c>
      <c r="G3" s="3" t="inlineStr">
        <is>
          <t>Bull</t>
        </is>
      </c>
      <c r="H3" s="3" t="inlineStr">
        <is>
          <t>Source / why</t>
        </is>
      </c>
    </row>
    <row r="4">
      <c r="A4" s="4" t="inlineStr">
        <is>
          <t>SWITCHES</t>
        </is>
      </c>
      <c r="B4" s="5" t="n"/>
      <c r="C4" s="5" t="n"/>
      <c r="D4" s="5" t="n"/>
      <c r="E4" s="5" t="n"/>
      <c r="F4" s="5" t="n"/>
      <c r="G4" s="5" t="n"/>
      <c r="H4" s="5" t="n"/>
    </row>
    <row r="5">
      <c r="A5" s="6" t="inlineStr">
        <is>
          <t>Switches</t>
        </is>
      </c>
      <c r="B5" s="2" t="inlineStr">
        <is>
          <t>ads_on</t>
        </is>
      </c>
      <c r="C5" s="6" t="inlineStr">
        <is>
          <t>In-app ads on the free tier</t>
        </is>
      </c>
      <c r="D5" s="6" t="inlineStr">
        <is>
          <t>toggle</t>
        </is>
      </c>
      <c r="E5" s="7" t="n">
        <v>1</v>
      </c>
      <c r="F5" s="8">
        <f>$E5</f>
        <v/>
      </c>
      <c r="G5" s="8">
        <f>$E5</f>
        <v/>
      </c>
      <c r="H5" s="2" t="inlineStr">
        <is>
          <t>Founder request. Never shown to Pro. [U]</t>
        </is>
      </c>
    </row>
    <row r="6">
      <c r="A6" s="6" t="inlineStr">
        <is>
          <t>Switches</t>
        </is>
      </c>
      <c r="B6" s="2" t="inlineStr">
        <is>
          <t>affiliate_on</t>
        </is>
      </c>
      <c r="C6" s="6" t="inlineStr">
        <is>
          <t>Affiliate offers (education-adjacent only, no credit)</t>
        </is>
      </c>
      <c r="D6" s="6" t="inlineStr">
        <is>
          <t>toggle</t>
        </is>
      </c>
      <c r="E6" s="7" t="n">
        <v>1</v>
      </c>
      <c r="F6" s="8">
        <f>$E6</f>
        <v/>
      </c>
      <c r="G6" s="8">
        <f>$E6</f>
        <v/>
      </c>
      <c r="H6" s="2" t="inlineStr">
        <is>
          <t>Founder request. Brand guardrail PS §5: never reward trading. [U]</t>
        </is>
      </c>
    </row>
    <row r="7">
      <c r="A7" s="6" t="inlineStr">
        <is>
          <t>Switches</t>
        </is>
      </c>
      <c r="B7" s="2" t="inlineStr">
        <is>
          <t>b2b_on</t>
        </is>
      </c>
      <c r="C7" s="6" t="inlineStr">
        <is>
          <t>B2B / Edu licences (Classroom Pro, campus)</t>
        </is>
      </c>
      <c r="D7" s="6" t="inlineStr">
        <is>
          <t>toggle</t>
        </is>
      </c>
      <c r="E7" s="7" t="n">
        <v>0</v>
      </c>
      <c r="F7" s="8">
        <f>$E7</f>
        <v/>
      </c>
      <c r="G7" s="8">
        <f>$E7</f>
        <v/>
      </c>
      <c r="H7" s="2" t="inlineStr">
        <is>
          <t>PS §4: 'Edu (later)'. Off by default.</t>
        </is>
      </c>
    </row>
    <row r="8">
      <c r="A8" s="6" t="inlineStr">
        <is>
          <t>Switches</t>
        </is>
      </c>
      <c r="B8" s="2" t="inlineStr">
        <is>
          <t>llm_on</t>
        </is>
      </c>
      <c r="C8" s="6" t="inlineStr">
        <is>
          <t>AI tutor enabled (v2)</t>
        </is>
      </c>
      <c r="D8" s="6" t="inlineStr">
        <is>
          <t>toggle</t>
        </is>
      </c>
      <c r="E8" s="7" t="n">
        <v>1</v>
      </c>
      <c r="F8" s="8">
        <f>$E8</f>
        <v/>
      </c>
      <c r="G8" s="8">
        <f>$E8</f>
        <v/>
      </c>
      <c r="H8" s="2" t="inlineStr">
        <is>
          <t>PS idea #21; v2 feature</t>
        </is>
      </c>
    </row>
    <row r="9">
      <c r="A9" s="6" t="inlineStr">
        <is>
          <t>Switches</t>
        </is>
      </c>
      <c r="B9" s="2" t="inlineStr">
        <is>
          <t>plaid_on</t>
        </is>
      </c>
      <c r="C9" s="6" t="inlineStr">
        <is>
          <t>Bank / brokerage linking (Plaid) enabled</t>
        </is>
      </c>
      <c r="D9" s="6" t="inlineStr">
        <is>
          <t>toggle</t>
        </is>
      </c>
      <c r="E9" s="7" t="n">
        <v>1</v>
      </c>
      <c r="F9" s="8">
        <f>$E9</f>
        <v/>
      </c>
      <c r="G9" s="8">
        <f>$E9</f>
        <v/>
      </c>
      <c r="H9" s="2" t="inlineStr">
        <is>
          <t>MH §5 Option C: free = 1 bank, Pro = unlimited</t>
        </is>
      </c>
    </row>
    <row r="10">
      <c r="A10" s="6" t="inlineStr">
        <is>
          <t>Switches</t>
        </is>
      </c>
      <c r="B10" s="2" t="inlineStr">
        <is>
          <t>founder_salary_on</t>
        </is>
      </c>
      <c r="C10" s="6" t="inlineStr">
        <is>
          <t>Pay founder salary</t>
        </is>
      </c>
      <c r="D10" s="6" t="inlineStr">
        <is>
          <t>toggle</t>
        </is>
      </c>
      <c r="E10" s="7" t="n">
        <v>0</v>
      </c>
      <c r="F10" s="8">
        <f>$E10</f>
        <v/>
      </c>
      <c r="G10" s="8">
        <f>$E10</f>
        <v/>
      </c>
      <c r="H10" s="2" t="inlineStr">
        <is>
          <t>BENCHMARKS §C excludes founder pay; $5k/mo 'ramen' hurdle shown separately</t>
        </is>
      </c>
    </row>
    <row r="11">
      <c r="A11" s="6" t="inlineStr">
        <is>
          <t>Switches</t>
        </is>
      </c>
      <c r="B11" s="2" t="inlineStr">
        <is>
          <t>soc2_on</t>
        </is>
      </c>
      <c r="C11" s="6" t="inlineStr">
        <is>
          <t>SOC 2 programme (needed only for B2B)</t>
        </is>
      </c>
      <c r="D11" s="6" t="inlineStr">
        <is>
          <t>toggle</t>
        </is>
      </c>
      <c r="E11" s="7" t="n">
        <v>0</v>
      </c>
      <c r="F11" s="8">
        <f>$E11</f>
        <v/>
      </c>
      <c r="G11" s="8">
        <f>$E11</f>
        <v/>
      </c>
      <c r="H11" s="2" t="inlineStr">
        <is>
          <t>[U] Off until a B2B buyer asks</t>
        </is>
      </c>
    </row>
    <row r="12">
      <c r="A12" s="4" t="inlineStr">
        <is>
          <t>ACQUISITION</t>
        </is>
      </c>
      <c r="B12" s="5" t="n"/>
      <c r="C12" s="5" t="n"/>
      <c r="D12" s="5" t="n"/>
      <c r="E12" s="5" t="n"/>
      <c r="F12" s="5" t="n"/>
      <c r="G12" s="5" t="n"/>
      <c r="H12" s="5" t="n"/>
    </row>
    <row r="13">
      <c r="A13" s="6" t="inlineStr">
        <is>
          <t>Acquisition</t>
        </is>
      </c>
      <c r="B13" s="2" t="inlineStr">
        <is>
          <t>organic_installs_m1</t>
        </is>
      </c>
      <c r="C13" s="6" t="inlineStr">
        <is>
          <t>Organic installs (SEO / ASO / social), month 1</t>
        </is>
      </c>
      <c r="D13" s="6" t="inlineStr">
        <is>
          <t>count</t>
        </is>
      </c>
      <c r="E13" s="9" t="n">
        <v>1050</v>
      </c>
      <c r="F13" s="9" t="n">
        <v>560</v>
      </c>
      <c r="G13" s="9" t="n">
        <v>2100</v>
      </c>
      <c r="H13" s="2" t="inlineStr">
        <is>
          <t>BENCHMARKS C1 base 1,500 total m1 x 70% non-paid share; [S54] Stock Analysis SEO; [S35] Finelo ~2.1k/day</t>
        </is>
      </c>
    </row>
    <row r="14">
      <c r="A14" s="6" t="inlineStr">
        <is>
          <t>Acquisition</t>
        </is>
      </c>
      <c r="B14" s="2" t="inlineStr">
        <is>
          <t>organic_growth</t>
        </is>
      </c>
      <c r="C14" s="6" t="inlineStr">
        <is>
          <t>Organic installs growth, month over month</t>
        </is>
      </c>
      <c r="D14" s="6" t="inlineStr">
        <is>
          <t>pct</t>
        </is>
      </c>
      <c r="E14" s="10" t="n">
        <v>0.07000000000000001</v>
      </c>
      <c r="F14" s="10" t="n">
        <v>0.04</v>
      </c>
      <c r="G14" s="10" t="n">
        <v>0.09</v>
      </c>
      <c r="H14" s="2" t="inlineStr">
        <is>
          <t>BENCHMARKS C1 (7% base; author judgment)</t>
        </is>
      </c>
    </row>
    <row r="15">
      <c r="A15" s="6" t="inlineStr">
        <is>
          <t>Acquisition</t>
        </is>
      </c>
      <c r="B15" s="2" t="inlineStr">
        <is>
          <t>referral_installs_per_mau</t>
        </is>
      </c>
      <c r="C15" s="6" t="inlineStr">
        <is>
          <t>Referral installs per prior-month MAU</t>
        </is>
      </c>
      <c r="D15" s="6" t="inlineStr">
        <is>
          <t>x</t>
        </is>
      </c>
      <c r="E15" s="11" t="n">
        <v>0.015</v>
      </c>
      <c r="F15" s="11" t="n">
        <v>0.008</v>
      </c>
      <c r="G15" s="11" t="n">
        <v>0.03</v>
      </c>
      <c r="H15" s="2" t="inlineStr">
        <is>
          <t>[U] author. Share cards (PS idea #2); Robinhood referral waitlist [S62]</t>
        </is>
      </c>
    </row>
    <row r="16">
      <c r="A16" s="6" t="inlineStr">
        <is>
          <t>Acquisition</t>
        </is>
      </c>
      <c r="B16" s="2" t="inlineStr">
        <is>
          <t>creator_start_month</t>
        </is>
      </c>
      <c r="C16" s="6" t="inlineStr">
        <is>
          <t>Creator sponsorships start (month)</t>
        </is>
      </c>
      <c r="D16" s="6" t="inlineStr">
        <is>
          <t>month</t>
        </is>
      </c>
      <c r="E16" s="7" t="n">
        <v>4</v>
      </c>
      <c r="F16" s="8">
        <f>$E16</f>
        <v/>
      </c>
      <c r="G16" s="8">
        <f>$E16</f>
        <v/>
      </c>
      <c r="H16" s="2" t="inlineStr">
        <is>
          <t>[U] after onboarding is tuned (PS §7 gates)</t>
        </is>
      </c>
    </row>
    <row r="17">
      <c r="A17" s="6" t="inlineStr">
        <is>
          <t>Acquisition</t>
        </is>
      </c>
      <c r="B17" s="2" t="inlineStr">
        <is>
          <t>creator_budget_m1</t>
        </is>
      </c>
      <c r="C17" s="6" t="inlineStr">
        <is>
          <t>Creator spend in start month</t>
        </is>
      </c>
      <c r="D17" s="6" t="inlineStr">
        <is>
          <t>usd</t>
        </is>
      </c>
      <c r="E17" s="12" t="n">
        <v>500</v>
      </c>
      <c r="F17" s="12" t="n">
        <v>300</v>
      </c>
      <c r="G17" s="12" t="n">
        <v>1000</v>
      </c>
      <c r="H17" s="2" t="inlineStr">
        <is>
          <t>[U] author; Brilliant's main channel [S27]</t>
        </is>
      </c>
    </row>
    <row r="18">
      <c r="A18" s="6" t="inlineStr">
        <is>
          <t>Acquisition</t>
        </is>
      </c>
      <c r="B18" s="2" t="inlineStr">
        <is>
          <t>creator_budget_growth</t>
        </is>
      </c>
      <c r="C18" s="6" t="inlineStr">
        <is>
          <t>Creator spend growth, month over month</t>
        </is>
      </c>
      <c r="D18" s="6" t="inlineStr">
        <is>
          <t>pct</t>
        </is>
      </c>
      <c r="E18" s="10" t="n">
        <v>0.05</v>
      </c>
      <c r="F18" s="10" t="n">
        <v>0.03</v>
      </c>
      <c r="G18" s="10" t="n">
        <v>0.07000000000000001</v>
      </c>
      <c r="H18" s="2" t="inlineStr">
        <is>
          <t>[U] author</t>
        </is>
      </c>
    </row>
    <row r="19">
      <c r="A19" s="6" t="inlineStr">
        <is>
          <t>Acquisition</t>
        </is>
      </c>
      <c r="B19" s="2" t="inlineStr">
        <is>
          <t>creator_cpi</t>
        </is>
      </c>
      <c r="C19" s="6" t="inlineStr">
        <is>
          <t>Creator cost per install</t>
        </is>
      </c>
      <c r="D19" s="6" t="inlineStr">
        <is>
          <t>usd_c</t>
        </is>
      </c>
      <c r="E19" s="13" t="n">
        <v>8</v>
      </c>
      <c r="F19" s="13" t="n">
        <v>12</v>
      </c>
      <c r="G19" s="13" t="n">
        <v>5</v>
      </c>
      <c r="H19" s="2" t="inlineStr">
        <is>
          <t>[S20][U] $40-80 CPM x ~0.5% view-to-install = ~$10 CPI; base assumes CPA-style deals</t>
        </is>
      </c>
    </row>
    <row r="20">
      <c r="A20" s="6" t="inlineStr">
        <is>
          <t>Acquisition</t>
        </is>
      </c>
      <c r="B20" s="2" t="inlineStr">
        <is>
          <t>asa_start_month</t>
        </is>
      </c>
      <c r="C20" s="6" t="inlineStr">
        <is>
          <t>Apple Search Ads start (month)</t>
        </is>
      </c>
      <c r="D20" s="6" t="inlineStr">
        <is>
          <t>month</t>
        </is>
      </c>
      <c r="E20" s="7" t="n">
        <v>1</v>
      </c>
      <c r="F20" s="8">
        <f>$E20</f>
        <v/>
      </c>
      <c r="G20" s="8">
        <f>$E20</f>
        <v/>
      </c>
      <c r="H20" s="2" t="inlineStr">
        <is>
          <t>[U]</t>
        </is>
      </c>
    </row>
    <row r="21">
      <c r="A21" s="6" t="inlineStr">
        <is>
          <t>Acquisition</t>
        </is>
      </c>
      <c r="B21" s="2" t="inlineStr">
        <is>
          <t>asa_budget_m1</t>
        </is>
      </c>
      <c r="C21" s="6" t="inlineStr">
        <is>
          <t>Apple Search Ads spend in start month</t>
        </is>
      </c>
      <c r="D21" s="6" t="inlineStr">
        <is>
          <t>usd</t>
        </is>
      </c>
      <c r="E21" s="12" t="n">
        <v>500</v>
      </c>
      <c r="F21" s="14">
        <f>$E21</f>
        <v/>
      </c>
      <c r="G21" s="12" t="n">
        <v>1000</v>
      </c>
      <c r="H21" s="2" t="inlineStr">
        <is>
          <t>[U] test budget; PS §7 ads tests $300-500</t>
        </is>
      </c>
    </row>
    <row r="22">
      <c r="A22" s="6" t="inlineStr">
        <is>
          <t>Acquisition</t>
        </is>
      </c>
      <c r="B22" s="2" t="inlineStr">
        <is>
          <t>asa_budget_growth</t>
        </is>
      </c>
      <c r="C22" s="6" t="inlineStr">
        <is>
          <t>ASA spend growth, month over month</t>
        </is>
      </c>
      <c r="D22" s="6" t="inlineStr">
        <is>
          <t>pct</t>
        </is>
      </c>
      <c r="E22" s="10" t="n">
        <v>0.03</v>
      </c>
      <c r="F22" s="10" t="n">
        <v>0</v>
      </c>
      <c r="G22" s="10" t="n">
        <v>0.06</v>
      </c>
      <c r="H22" s="2" t="inlineStr">
        <is>
          <t>[U] kept small: paid LTV/CAC &lt; 1 in BENCHMARKS B4</t>
        </is>
      </c>
    </row>
    <row r="23">
      <c r="A23" s="6" t="inlineStr">
        <is>
          <t>Acquisition</t>
        </is>
      </c>
      <c r="B23" s="2" t="inlineStr">
        <is>
          <t>asa_cpi</t>
        </is>
      </c>
      <c r="C23" s="6" t="inlineStr">
        <is>
          <t>Apple Search Ads cost per install</t>
        </is>
      </c>
      <c r="D23" s="6" t="inlineStr">
        <is>
          <t>usd_c</t>
        </is>
      </c>
      <c r="E23" s="13" t="n">
        <v>6</v>
      </c>
      <c r="F23" s="13" t="n">
        <v>9</v>
      </c>
      <c r="G23" s="13" t="n">
        <v>4</v>
      </c>
      <c r="H23" s="2" t="inlineStr">
        <is>
          <t>[S17][S] Finance CPA $13.28, all-category $3.76; [S18][U] Education CPT ~$1.24. Base bids education keywords</t>
        </is>
      </c>
    </row>
    <row r="24">
      <c r="A24" s="4" t="inlineStr">
        <is>
          <t>ENGAGEMENT</t>
        </is>
      </c>
      <c r="B24" s="5" t="n"/>
      <c r="C24" s="5" t="n"/>
      <c r="D24" s="5" t="n"/>
      <c r="E24" s="5" t="n"/>
      <c r="F24" s="5" t="n"/>
      <c r="G24" s="5" t="n"/>
      <c r="H24" s="5" t="n"/>
    </row>
    <row r="25">
      <c r="A25" s="6" t="inlineStr">
        <is>
          <t>Engagement</t>
        </is>
      </c>
      <c r="B25" s="2" t="inlineStr">
        <is>
          <t>activation_rate</t>
        </is>
      </c>
      <c r="C25" s="6" t="inlineStr">
        <is>
          <t>Installs that activate (finish first lesson)</t>
        </is>
      </c>
      <c r="D25" s="6" t="inlineStr">
        <is>
          <t>pct</t>
        </is>
      </c>
      <c r="E25" s="10" t="n">
        <v>0.65</v>
      </c>
      <c r="F25" s="10" t="n">
        <v>0.55</v>
      </c>
      <c r="G25" s="10" t="n">
        <v>0.75</v>
      </c>
      <c r="H25" s="2" t="inlineStr">
        <is>
          <t>PS §7 W8 target 150 of 200 (75%) invited testers; public installs lower [U]</t>
        </is>
      </c>
    </row>
    <row r="26">
      <c r="A26" s="6" t="inlineStr">
        <is>
          <t>Engagement</t>
        </is>
      </c>
      <c r="B26" s="2" t="inlineStr">
        <is>
          <t>d30_retention</t>
        </is>
      </c>
      <c r="C26" s="6" t="inlineStr">
        <is>
          <t>Free installs still active the following month (D30)</t>
        </is>
      </c>
      <c r="D26" s="6" t="inlineStr">
        <is>
          <t>pct</t>
        </is>
      </c>
      <c r="E26" s="10" t="n">
        <v>0.12</v>
      </c>
      <c r="F26" s="10" t="n">
        <v>0.06</v>
      </c>
      <c r="G26" s="10" t="n">
        <v>0.2</v>
      </c>
      <c r="H26" s="2" t="inlineStr">
        <is>
          <t>[S85][U] finance D30 2-6%; PS §7 gate D30 &gt;= 7%. Habit product assumed above median</t>
        </is>
      </c>
    </row>
    <row r="27">
      <c r="A27" s="6" t="inlineStr">
        <is>
          <t>Engagement</t>
        </is>
      </c>
      <c r="B27" s="2" t="inlineStr">
        <is>
          <t>retained_decay</t>
        </is>
      </c>
      <c r="C27" s="6" t="inlineStr">
        <is>
          <t>Monthly decay of the retained free pool</t>
        </is>
      </c>
      <c r="D27" s="6" t="inlineStr">
        <is>
          <t>pct</t>
        </is>
      </c>
      <c r="E27" s="10" t="n">
        <v>0.08</v>
      </c>
      <c r="F27" s="10" t="n">
        <v>0.12</v>
      </c>
      <c r="G27" s="10" t="n">
        <v>0.06</v>
      </c>
      <c r="H27" s="2" t="inlineStr">
        <is>
          <t>BENCHMARKS C1 uses 7%/mo decay</t>
        </is>
      </c>
    </row>
    <row r="28">
      <c r="A28" s="4" t="inlineStr">
        <is>
          <t>CONVERSION</t>
        </is>
      </c>
      <c r="B28" s="5" t="n"/>
      <c r="C28" s="5" t="n"/>
      <c r="D28" s="5" t="n"/>
      <c r="E28" s="5" t="n"/>
      <c r="F28" s="5" t="n"/>
      <c r="G28" s="5" t="n"/>
      <c r="H28" s="5" t="n"/>
    </row>
    <row r="29">
      <c r="A29" s="6" t="inlineStr">
        <is>
          <t>Conversion</t>
        </is>
      </c>
      <c r="B29" s="2" t="inlineStr">
        <is>
          <t>trial_start_rate</t>
        </is>
      </c>
      <c r="C29" s="6" t="inlineStr">
        <is>
          <t>Trial / paywall starts as share of activated users</t>
        </is>
      </c>
      <c r="D29" s="6" t="inlineStr">
        <is>
          <t>pct</t>
        </is>
      </c>
      <c r="E29" s="10" t="n">
        <v>0.1</v>
      </c>
      <c r="F29" s="10" t="n">
        <v>0.08</v>
      </c>
      <c r="G29" s="10" t="n">
        <v>0.14</v>
      </c>
      <c r="H29" s="2" t="inlineStr">
        <is>
          <t>PS §7 gate: trial starts &gt;= 8% of activated</t>
        </is>
      </c>
    </row>
    <row r="30">
      <c r="A30" s="6" t="inlineStr">
        <is>
          <t>Conversion</t>
        </is>
      </c>
      <c r="B30" s="2" t="inlineStr">
        <is>
          <t>trial_to_paid</t>
        </is>
      </c>
      <c r="C30" s="6" t="inlineStr">
        <is>
          <t>Trial-to-paid</t>
        </is>
      </c>
      <c r="D30" s="6" t="inlineStr">
        <is>
          <t>pct</t>
        </is>
      </c>
      <c r="E30" s="10" t="n">
        <v>0.38</v>
      </c>
      <c r="F30" s="10" t="n">
        <v>0.33</v>
      </c>
      <c r="G30" s="10" t="n">
        <v>0.4</v>
      </c>
      <c r="H30" s="2" t="inlineStr">
        <is>
          <t>[S13][S] 37.4% for 5-9 day trials; PS gate &gt;= 25%</t>
        </is>
      </c>
    </row>
    <row r="31">
      <c r="A31" s="6" t="inlineStr">
        <is>
          <t>Conversion</t>
        </is>
      </c>
      <c r="B31" s="2" t="inlineStr">
        <is>
          <t>mix_monthly</t>
        </is>
      </c>
      <c r="C31" s="6" t="inlineStr">
        <is>
          <t>New payers choosing monthly plan</t>
        </is>
      </c>
      <c r="D31" s="6" t="inlineStr">
        <is>
          <t>pct</t>
        </is>
      </c>
      <c r="E31" s="10" t="n">
        <v>0.35</v>
      </c>
      <c r="F31" s="10" t="n">
        <v>0.4</v>
      </c>
      <c r="G31" s="10" t="n">
        <v>0.3</v>
      </c>
      <c r="H31" s="2" t="inlineStr">
        <is>
          <t>BENCHMARKS B2: 60% annual among monthly+annual</t>
        </is>
      </c>
    </row>
    <row r="32">
      <c r="A32" s="6" t="inlineStr">
        <is>
          <t>Conversion</t>
        </is>
      </c>
      <c r="B32" s="2" t="inlineStr">
        <is>
          <t>mix_annual</t>
        </is>
      </c>
      <c r="C32" s="6" t="inlineStr">
        <is>
          <t>New payers choosing annual plan (student = remainder)</t>
        </is>
      </c>
      <c r="D32" s="6" t="inlineStr">
        <is>
          <t>pct</t>
        </is>
      </c>
      <c r="E32" s="10" t="n">
        <v>0.5</v>
      </c>
      <c r="F32" s="10" t="n">
        <v>0.45</v>
      </c>
      <c r="G32" s="10" t="n">
        <v>0.55</v>
      </c>
      <c r="H32" s="2" t="inlineStr">
        <is>
          <t>BENCHMARKS B2; annual plans retain best [S14]</t>
        </is>
      </c>
    </row>
    <row r="33">
      <c r="A33" s="6" t="inlineStr">
        <is>
          <t>Conversion</t>
        </is>
      </c>
      <c r="B33" s="2" t="inlineStr">
        <is>
          <t>pass_rate</t>
        </is>
      </c>
      <c r="C33" s="6" t="inlineStr">
        <is>
          <t>Recruiting Pass purchases per activated user</t>
        </is>
      </c>
      <c r="D33" s="6" t="inlineStr">
        <is>
          <t>pct</t>
        </is>
      </c>
      <c r="E33" s="10" t="n">
        <v>0.004</v>
      </c>
      <c r="F33" s="10" t="n">
        <v>0.002</v>
      </c>
      <c r="G33" s="10" t="n">
        <v>0.008</v>
      </c>
      <c r="H33" s="2" t="inlineStr">
        <is>
          <t>PS §7 gate: &gt;= 5 purchases per ~100 student testers; students ~ a third of users [U]</t>
        </is>
      </c>
    </row>
    <row r="34">
      <c r="A34" s="4" t="inlineStr">
        <is>
          <t>PRICING</t>
        </is>
      </c>
      <c r="B34" s="5" t="n"/>
      <c r="C34" s="5" t="n"/>
      <c r="D34" s="5" t="n"/>
      <c r="E34" s="5" t="n"/>
      <c r="F34" s="5" t="n"/>
      <c r="G34" s="5" t="n"/>
      <c r="H34" s="5" t="n"/>
    </row>
    <row r="35">
      <c r="A35" s="6" t="inlineStr">
        <is>
          <t>Pricing</t>
        </is>
      </c>
      <c r="B35" s="2" t="inlineStr">
        <is>
          <t>price_monthly</t>
        </is>
      </c>
      <c r="C35" s="6" t="inlineStr">
        <is>
          <t>Pro monthly price</t>
        </is>
      </c>
      <c r="D35" s="6" t="inlineStr">
        <is>
          <t>usd_c</t>
        </is>
      </c>
      <c r="E35" s="13" t="n">
        <v>12.99</v>
      </c>
      <c r="F35" s="13" t="n">
        <v>9.99</v>
      </c>
      <c r="G35" s="13" t="n">
        <v>14.99</v>
      </c>
      <c r="H35" s="2" t="inlineStr">
        <is>
          <t>PS §4; BENCHMARKS C1 base; Monarch/Copilot $13-15 [S30][S31]</t>
        </is>
      </c>
    </row>
    <row r="36">
      <c r="A36" s="6" t="inlineStr">
        <is>
          <t>Pricing</t>
        </is>
      </c>
      <c r="B36" s="2" t="inlineStr">
        <is>
          <t>price_annual</t>
        </is>
      </c>
      <c r="C36" s="6" t="inlineStr">
        <is>
          <t>Pro annual price</t>
        </is>
      </c>
      <c r="D36" s="6" t="inlineStr">
        <is>
          <t>usd_c</t>
        </is>
      </c>
      <c r="E36" s="13" t="n">
        <v>79.98999999999999</v>
      </c>
      <c r="F36" s="13" t="n">
        <v>59.99</v>
      </c>
      <c r="G36" s="13" t="n">
        <v>99.98999999999999</v>
      </c>
      <c r="H36" s="2" t="inlineStr">
        <is>
          <t>PS §4; Stock Analysis $79 [S56]; Monarch $99.99 [S30]</t>
        </is>
      </c>
    </row>
    <row r="37">
      <c r="A37" s="6" t="inlineStr">
        <is>
          <t>Pricing</t>
        </is>
      </c>
      <c r="B37" s="2" t="inlineStr">
        <is>
          <t>price_student</t>
        </is>
      </c>
      <c r="C37" s="6" t="inlineStr">
        <is>
          <t>Student annual price (.edu verified)</t>
        </is>
      </c>
      <c r="D37" s="6" t="inlineStr">
        <is>
          <t>usd_c</t>
        </is>
      </c>
      <c r="E37" s="13" t="n">
        <v>39.99</v>
      </c>
      <c r="F37" s="15">
        <f>$E37</f>
        <v/>
      </c>
      <c r="G37" s="15">
        <f>$E37</f>
        <v/>
      </c>
      <c r="H37" s="2" t="inlineStr">
        <is>
          <t>PS §4 (~50% off, Spotify Student norm)</t>
        </is>
      </c>
    </row>
    <row r="38">
      <c r="A38" s="6" t="inlineStr">
        <is>
          <t>Pricing</t>
        </is>
      </c>
      <c r="B38" s="2" t="inlineStr">
        <is>
          <t>price_pass</t>
        </is>
      </c>
      <c r="C38" s="6" t="inlineStr">
        <is>
          <t>Recruiting Pass, one-time (4 months)</t>
        </is>
      </c>
      <c r="D38" s="6" t="inlineStr">
        <is>
          <t>usd_c</t>
        </is>
      </c>
      <c r="E38" s="13" t="n">
        <v>49</v>
      </c>
      <c r="F38" s="15">
        <f>$E38</f>
        <v/>
      </c>
      <c r="G38" s="15">
        <f>$E38</f>
        <v/>
      </c>
      <c r="H38" s="2" t="inlineStr">
        <is>
          <t>PS §4 (10% of WSP/BIWS [S69][S70])</t>
        </is>
      </c>
    </row>
    <row r="39">
      <c r="A39" s="6" t="inlineStr">
        <is>
          <t>Pricing</t>
        </is>
      </c>
      <c r="B39" s="2" t="inlineStr">
        <is>
          <t>store_fee</t>
        </is>
      </c>
      <c r="C39" s="6" t="inlineStr">
        <is>
          <t>App store commission</t>
        </is>
      </c>
      <c r="D39" s="6" t="inlineStr">
        <is>
          <t>pct</t>
        </is>
      </c>
      <c r="E39" s="10" t="n">
        <v>0.15</v>
      </c>
      <c r="F39" s="16">
        <f>$E39</f>
        <v/>
      </c>
      <c r="G39" s="16">
        <f>$E39</f>
        <v/>
      </c>
      <c r="H39" s="2" t="inlineStr">
        <is>
          <t>[S83][S] Apple Small Business Program &lt; $1M proceeds; Google 15% on subscriptions</t>
        </is>
      </c>
    </row>
    <row r="40">
      <c r="A40" s="6" t="inlineStr">
        <is>
          <t>Pricing</t>
        </is>
      </c>
      <c r="B40" s="2" t="inlineStr">
        <is>
          <t>refund_rate</t>
        </is>
      </c>
      <c r="C40" s="6" t="inlineStr">
        <is>
          <t>Refunds as share of gross in-app sales</t>
        </is>
      </c>
      <c r="D40" s="6" t="inlineStr">
        <is>
          <t>pct</t>
        </is>
      </c>
      <c r="E40" s="10" t="n">
        <v>0.02</v>
      </c>
      <c r="F40" s="10" t="n">
        <v>0.03</v>
      </c>
      <c r="G40" s="10" t="n">
        <v>0.015</v>
      </c>
      <c r="H40" s="2" t="inlineStr">
        <is>
          <t>[U] author estimate; PS pricing rules (no weekly traps) limit refunds</t>
        </is>
      </c>
    </row>
    <row r="41">
      <c r="A41" s="4" t="inlineStr">
        <is>
          <t>RETENTION</t>
        </is>
      </c>
      <c r="B41" s="5" t="n"/>
      <c r="C41" s="5" t="n"/>
      <c r="D41" s="5" t="n"/>
      <c r="E41" s="5" t="n"/>
      <c r="F41" s="5" t="n"/>
      <c r="G41" s="5" t="n"/>
      <c r="H41" s="5" t="n"/>
    </row>
    <row r="42">
      <c r="A42" s="6" t="inlineStr">
        <is>
          <t>Retention</t>
        </is>
      </c>
      <c r="B42" s="2" t="inlineStr">
        <is>
          <t>ret12_monthly</t>
        </is>
      </c>
      <c r="C42" s="6" t="inlineStr">
        <is>
          <t>Monthly plans still subscribed after 12 months</t>
        </is>
      </c>
      <c r="D42" s="6" t="inlineStr">
        <is>
          <t>pct</t>
        </is>
      </c>
      <c r="E42" s="10" t="n">
        <v>0.17</v>
      </c>
      <c r="F42" s="10" t="n">
        <v>0.095</v>
      </c>
      <c r="G42" s="10" t="n">
        <v>0.25</v>
      </c>
      <c r="H42" s="2" t="inlineStr">
        <is>
          <t>[S14][S] RevenueCat 2025: 17.0%</t>
        </is>
      </c>
    </row>
    <row r="43">
      <c r="A43" s="6" t="inlineStr">
        <is>
          <t>Retention</t>
        </is>
      </c>
      <c r="B43" s="2" t="inlineStr">
        <is>
          <t>renew_annual</t>
        </is>
      </c>
      <c r="C43" s="6" t="inlineStr">
        <is>
          <t>Annual plan renewal rate</t>
        </is>
      </c>
      <c r="D43" s="6" t="inlineStr">
        <is>
          <t>pct</t>
        </is>
      </c>
      <c r="E43" s="10" t="n">
        <v>0.441</v>
      </c>
      <c r="F43" s="10" t="n">
        <v>0.307</v>
      </c>
      <c r="G43" s="10" t="n">
        <v>0.54</v>
      </c>
      <c r="H43" s="2" t="inlineStr">
        <is>
          <t>[S14][S] RevenueCat 2025: 44.1%</t>
        </is>
      </c>
    </row>
    <row r="44">
      <c r="A44" s="6" t="inlineStr">
        <is>
          <t>Retention</t>
        </is>
      </c>
      <c r="B44" s="2" t="inlineStr">
        <is>
          <t>renew_student</t>
        </is>
      </c>
      <c r="C44" s="6" t="inlineStr">
        <is>
          <t>Student plan renewal rate</t>
        </is>
      </c>
      <c r="D44" s="6" t="inlineStr">
        <is>
          <t>pct</t>
        </is>
      </c>
      <c r="E44" s="10" t="n">
        <v>0.35</v>
      </c>
      <c r="F44" s="10" t="n">
        <v>0.25</v>
      </c>
      <c r="G44" s="10" t="n">
        <v>0.45</v>
      </c>
      <c r="H44" s="2" t="inlineStr">
        <is>
          <t>[U] below annual: students graduate / leave</t>
        </is>
      </c>
    </row>
    <row r="45">
      <c r="A45" s="4" t="inlineStr">
        <is>
          <t>ADS</t>
        </is>
      </c>
      <c r="B45" s="5" t="n"/>
      <c r="C45" s="5" t="n"/>
      <c r="D45" s="5" t="n"/>
      <c r="E45" s="5" t="n"/>
      <c r="F45" s="5" t="n"/>
      <c r="G45" s="5" t="n"/>
      <c r="H45" s="5" t="n"/>
    </row>
    <row r="46">
      <c r="A46" s="6" t="inlineStr">
        <is>
          <t>Ads</t>
        </is>
      </c>
      <c r="B46" s="2" t="inlineStr">
        <is>
          <t>ads_start_month</t>
        </is>
      </c>
      <c r="C46" s="6" t="inlineStr">
        <is>
          <t>Ads start (month)</t>
        </is>
      </c>
      <c r="D46" s="6" t="inlineStr">
        <is>
          <t>month</t>
        </is>
      </c>
      <c r="E46" s="7" t="n">
        <v>4</v>
      </c>
      <c r="F46" s="8">
        <f>$E46</f>
        <v/>
      </c>
      <c r="G46" s="8">
        <f>$E46</f>
        <v/>
      </c>
      <c r="H46" s="2" t="inlineStr">
        <is>
          <t>[U] after launch trust is built</t>
        </is>
      </c>
    </row>
    <row r="47">
      <c r="A47" s="6" t="inlineStr">
        <is>
          <t>Ads</t>
        </is>
      </c>
      <c r="B47" s="2" t="inlineStr">
        <is>
          <t>ad_share_free_mau</t>
        </is>
      </c>
      <c r="C47" s="6" t="inlineStr">
        <is>
          <t>Share of free MAU who see ads</t>
        </is>
      </c>
      <c r="D47" s="6" t="inlineStr">
        <is>
          <t>pct</t>
        </is>
      </c>
      <c r="E47" s="10" t="n">
        <v>0.7</v>
      </c>
      <c r="F47" s="10" t="n">
        <v>0.6</v>
      </c>
      <c r="G47" s="10" t="n">
        <v>0.8</v>
      </c>
      <c r="H47" s="2" t="inlineStr">
        <is>
          <t>[U] excludes under-18s, consent declines, ad-free trial periods</t>
        </is>
      </c>
    </row>
    <row r="48">
      <c r="A48" s="6" t="inlineStr">
        <is>
          <t>Ads</t>
        </is>
      </c>
      <c r="B48" s="2" t="inlineStr">
        <is>
          <t>imps_article</t>
        </is>
      </c>
      <c r="C48" s="6" t="inlineStr">
        <is>
          <t>Impressions / ad-seeing free MAU / month: article &amp; lesson end (banner/native)</t>
        </is>
      </c>
      <c r="D48" s="6" t="inlineStr">
        <is>
          <t>x</t>
        </is>
      </c>
      <c r="E48" s="11" t="n">
        <v>8</v>
      </c>
      <c r="F48" s="11" t="n">
        <v>5</v>
      </c>
      <c r="G48" s="11" t="n">
        <v>12</v>
      </c>
      <c r="H48" s="2" t="inlineStr">
        <is>
          <t>[U] author: ~2 per session x ~4 sessions</t>
        </is>
      </c>
    </row>
    <row r="49">
      <c r="A49" s="6" t="inlineStr">
        <is>
          <t>Ads</t>
        </is>
      </c>
      <c r="B49" s="2" t="inlineStr">
        <is>
          <t>imps_screener</t>
        </is>
      </c>
      <c r="C49" s="6" t="inlineStr">
        <is>
          <t>Impressions / ad-seeing free MAU / month: screener native slot</t>
        </is>
      </c>
      <c r="D49" s="6" t="inlineStr">
        <is>
          <t>x</t>
        </is>
      </c>
      <c r="E49" s="11" t="n">
        <v>4</v>
      </c>
      <c r="F49" s="11" t="n">
        <v>2</v>
      </c>
      <c r="G49" s="11" t="n">
        <v>6</v>
      </c>
      <c r="H49" s="2" t="inlineStr">
        <is>
          <t>[U] author</t>
        </is>
      </c>
    </row>
    <row r="50">
      <c r="A50" s="6" t="inlineStr">
        <is>
          <t>Ads</t>
        </is>
      </c>
      <c r="B50" s="2" t="inlineStr">
        <is>
          <t>imps_rewarded</t>
        </is>
      </c>
      <c r="C50" s="6" t="inlineStr">
        <is>
          <t>Impressions / ad-seeing free MAU / month: opt-in rewarded (e.g. unlock extra lesson)</t>
        </is>
      </c>
      <c r="D50" s="6" t="inlineStr">
        <is>
          <t>x</t>
        </is>
      </c>
      <c r="E50" s="11" t="n">
        <v>1</v>
      </c>
      <c r="F50" s="11" t="n">
        <v>0.5</v>
      </c>
      <c r="G50" s="11" t="n">
        <v>2</v>
      </c>
      <c r="H50" s="2" t="inlineStr">
        <is>
          <t>[U] author</t>
        </is>
      </c>
    </row>
    <row r="51">
      <c r="A51" s="6" t="inlineStr">
        <is>
          <t>Ads</t>
        </is>
      </c>
      <c r="B51" s="2" t="inlineStr">
        <is>
          <t>ecpm_article</t>
        </is>
      </c>
      <c r="C51" s="6" t="inlineStr">
        <is>
          <t>eCPM: article-end banner/native</t>
        </is>
      </c>
      <c r="D51" s="6" t="inlineStr">
        <is>
          <t>usd_c</t>
        </is>
      </c>
      <c r="E51" s="13" t="n">
        <v>2.5</v>
      </c>
      <c r="F51" s="13" t="n">
        <v>1.5</v>
      </c>
      <c r="G51" s="13" t="n">
        <v>4</v>
      </c>
      <c r="H51" s="2" t="inlineStr">
        <is>
          <t>[U] typical US in-app banner $0.5-1.5, native $2-5; not in sources.json - verify with AdMob/AppLovin</t>
        </is>
      </c>
    </row>
    <row r="52">
      <c r="A52" s="6" t="inlineStr">
        <is>
          <t>Ads</t>
        </is>
      </c>
      <c r="B52" s="2" t="inlineStr">
        <is>
          <t>ecpm_screener</t>
        </is>
      </c>
      <c r="C52" s="6" t="inlineStr">
        <is>
          <t>eCPM: screener native</t>
        </is>
      </c>
      <c r="D52" s="6" t="inlineStr">
        <is>
          <t>usd_c</t>
        </is>
      </c>
      <c r="E52" s="13" t="n">
        <v>3</v>
      </c>
      <c r="F52" s="13" t="n">
        <v>2</v>
      </c>
      <c r="G52" s="13" t="n">
        <v>5</v>
      </c>
      <c r="H52" s="2" t="inlineStr">
        <is>
          <t>[U] typical US in-app native $2-5; finance intent may price higher - verify</t>
        </is>
      </c>
    </row>
    <row r="53">
      <c r="A53" s="6" t="inlineStr">
        <is>
          <t>Ads</t>
        </is>
      </c>
      <c r="B53" s="2" t="inlineStr">
        <is>
          <t>ecpm_rewarded</t>
        </is>
      </c>
      <c r="C53" s="6" t="inlineStr">
        <is>
          <t>eCPM: opt-in rewarded video</t>
        </is>
      </c>
      <c r="D53" s="6" t="inlineStr">
        <is>
          <t>usd_c</t>
        </is>
      </c>
      <c r="E53" s="13" t="n">
        <v>12</v>
      </c>
      <c r="F53" s="13" t="n">
        <v>8</v>
      </c>
      <c r="G53" s="13" t="n">
        <v>18</v>
      </c>
      <c r="H53" s="2" t="inlineStr">
        <is>
          <t>[U] typical US rewarded $8-20 - verify</t>
        </is>
      </c>
    </row>
    <row r="54">
      <c r="A54" s="6" t="inlineStr">
        <is>
          <t>Ads</t>
        </is>
      </c>
      <c r="B54" s="2" t="inlineStr">
        <is>
          <t>ad_fill_rate</t>
        </is>
      </c>
      <c r="C54" s="6" t="inlineStr">
        <is>
          <t>Ad fill rate</t>
        </is>
      </c>
      <c r="D54" s="6" t="inlineStr">
        <is>
          <t>pct</t>
        </is>
      </c>
      <c r="E54" s="10" t="n">
        <v>0.85</v>
      </c>
      <c r="F54" s="10" t="n">
        <v>0.7</v>
      </c>
      <c r="G54" s="10" t="n">
        <v>0.95</v>
      </c>
      <c r="H54" s="2" t="inlineStr">
        <is>
          <t>[U] mediated fill, US</t>
        </is>
      </c>
    </row>
    <row r="55">
      <c r="A55" s="4" t="inlineStr">
        <is>
          <t>AFFILIATE</t>
        </is>
      </c>
      <c r="B55" s="5" t="n"/>
      <c r="C55" s="5" t="n"/>
      <c r="D55" s="5" t="n"/>
      <c r="E55" s="5" t="n"/>
      <c r="F55" s="5" t="n"/>
      <c r="G55" s="5" t="n"/>
      <c r="H55" s="5" t="n"/>
    </row>
    <row r="56">
      <c r="A56" s="6" t="inlineStr">
        <is>
          <t>Affiliate</t>
        </is>
      </c>
      <c r="B56" s="2" t="inlineStr">
        <is>
          <t>affiliate_start_month</t>
        </is>
      </c>
      <c r="C56" s="6" t="inlineStr">
        <is>
          <t>Affiliate offers start (month)</t>
        </is>
      </c>
      <c r="D56" s="6" t="inlineStr">
        <is>
          <t>month</t>
        </is>
      </c>
      <c r="E56" s="7" t="n">
        <v>7</v>
      </c>
      <c r="F56" s="8">
        <f>$E56</f>
        <v/>
      </c>
      <c r="G56" s="8">
        <f>$E56</f>
        <v/>
      </c>
      <c r="H56" s="2" t="inlineStr">
        <is>
          <t>[U] after counsel review (PS §6 #4)</t>
        </is>
      </c>
    </row>
    <row r="57">
      <c r="A57" s="6" t="inlineStr">
        <is>
          <t>Affiliate</t>
        </is>
      </c>
      <c r="B57" s="2" t="inlineStr">
        <is>
          <t>aff_clicks_per_1k_mau</t>
        </is>
      </c>
      <c r="C57" s="6" t="inlineStr">
        <is>
          <t>Affiliate clicks per 1,000 MAU per month</t>
        </is>
      </c>
      <c r="D57" s="6" t="inlineStr">
        <is>
          <t>x</t>
        </is>
      </c>
      <c r="E57" s="11" t="n">
        <v>5</v>
      </c>
      <c r="F57" s="11" t="n">
        <v>3</v>
      </c>
      <c r="G57" s="11" t="n">
        <v>10</v>
      </c>
      <c r="H57" s="2" t="inlineStr">
        <is>
          <t>[U] author; offers shown only in 'open a Roth / brokerage' lessons</t>
        </is>
      </c>
    </row>
    <row r="58">
      <c r="A58" s="6" t="inlineStr">
        <is>
          <t>Affiliate</t>
        </is>
      </c>
      <c r="B58" s="2" t="inlineStr">
        <is>
          <t>aff_conversion</t>
        </is>
      </c>
      <c r="C58" s="6" t="inlineStr">
        <is>
          <t>Clicks that become funded accounts</t>
        </is>
      </c>
      <c r="D58" s="6" t="inlineStr">
        <is>
          <t>pct</t>
        </is>
      </c>
      <c r="E58" s="10" t="n">
        <v>0.04</v>
      </c>
      <c r="F58" s="10" t="n">
        <v>0.02</v>
      </c>
      <c r="G58" s="10" t="n">
        <v>0.06</v>
      </c>
      <c r="H58" s="2" t="inlineStr">
        <is>
          <t>[U] author</t>
        </is>
      </c>
    </row>
    <row r="59">
      <c r="A59" s="6" t="inlineStr">
        <is>
          <t>Affiliate</t>
        </is>
      </c>
      <c r="B59" s="2" t="inlineStr">
        <is>
          <t>aff_payout</t>
        </is>
      </c>
      <c r="C59" s="6" t="inlineStr">
        <is>
          <t>Payout per funded account</t>
        </is>
      </c>
      <c r="D59" s="6" t="inlineStr">
        <is>
          <t>usd</t>
        </is>
      </c>
      <c r="E59" s="12" t="n">
        <v>50</v>
      </c>
      <c r="F59" s="12" t="n">
        <v>30</v>
      </c>
      <c r="G59" s="12" t="n">
        <v>75</v>
      </c>
      <c r="H59" s="2" t="inlineStr">
        <is>
          <t>[U] typical broker/Roth bounties $25-150; education offers only, never credit</t>
        </is>
      </c>
    </row>
    <row r="60">
      <c r="A60" s="4" t="inlineStr">
        <is>
          <t>B2B</t>
        </is>
      </c>
      <c r="B60" s="5" t="n"/>
      <c r="C60" s="5" t="n"/>
      <c r="D60" s="5" t="n"/>
      <c r="E60" s="5" t="n"/>
      <c r="F60" s="5" t="n"/>
      <c r="G60" s="5" t="n"/>
      <c r="H60" s="5" t="n"/>
    </row>
    <row r="61">
      <c r="A61" s="6" t="inlineStr">
        <is>
          <t>B2B</t>
        </is>
      </c>
      <c r="B61" s="2" t="inlineStr">
        <is>
          <t>b2b_start_month</t>
        </is>
      </c>
      <c r="C61" s="6" t="inlineStr">
        <is>
          <t>B2B / Edu sales start (month)</t>
        </is>
      </c>
      <c r="D61" s="6" t="inlineStr">
        <is>
          <t>month</t>
        </is>
      </c>
      <c r="E61" s="7" t="n">
        <v>19</v>
      </c>
      <c r="F61" s="8">
        <f>$E61</f>
        <v/>
      </c>
      <c r="G61" s="8">
        <f>$E61</f>
        <v/>
      </c>
      <c r="H61" s="2" t="inlineStr">
        <is>
          <t>PS §4 'later'; Zogo model year 2 (PS idea #20)</t>
        </is>
      </c>
    </row>
    <row r="62">
      <c r="A62" s="6" t="inlineStr">
        <is>
          <t>B2B</t>
        </is>
      </c>
      <c r="B62" s="2" t="inlineStr">
        <is>
          <t>teachers_at_start</t>
        </is>
      </c>
      <c r="C62" s="6" t="inlineStr">
        <is>
          <t>Classroom Pro teachers at start</t>
        </is>
      </c>
      <c r="D62" s="6" t="inlineStr">
        <is>
          <t>count</t>
        </is>
      </c>
      <c r="E62" s="9" t="n">
        <v>5</v>
      </c>
      <c r="F62" s="17">
        <f>$E62</f>
        <v/>
      </c>
      <c r="G62" s="17">
        <f>$E62</f>
        <v/>
      </c>
      <c r="H62" s="2" t="inlineStr">
        <is>
          <t>[U]</t>
        </is>
      </c>
    </row>
    <row r="63">
      <c r="A63" s="6" t="inlineStr">
        <is>
          <t>B2B</t>
        </is>
      </c>
      <c r="B63" s="2" t="inlineStr">
        <is>
          <t>teachers_added_per_month</t>
        </is>
      </c>
      <c r="C63" s="6" t="inlineStr">
        <is>
          <t>Teachers added per month (net)</t>
        </is>
      </c>
      <c r="D63" s="6" t="inlineStr">
        <is>
          <t>count</t>
        </is>
      </c>
      <c r="E63" s="9" t="n">
        <v>3</v>
      </c>
      <c r="F63" s="17">
        <f>$E63</f>
        <v/>
      </c>
      <c r="G63" s="17">
        <f>$E63</f>
        <v/>
      </c>
      <c r="H63" s="2" t="inlineStr">
        <is>
          <t>[U]</t>
        </is>
      </c>
    </row>
    <row r="64">
      <c r="A64" s="6" t="inlineStr">
        <is>
          <t>B2B</t>
        </is>
      </c>
      <c r="B64" s="2" t="inlineStr">
        <is>
          <t>teacher_price_annual</t>
        </is>
      </c>
      <c r="C64" s="6" t="inlineStr">
        <is>
          <t>Classroom Pro price per teacher per year</t>
        </is>
      </c>
      <c r="D64" s="6" t="inlineStr">
        <is>
          <t>usd</t>
        </is>
      </c>
      <c r="E64" s="12" t="n">
        <v>149</v>
      </c>
      <c r="F64" s="14">
        <f>$E64</f>
        <v/>
      </c>
      <c r="G64" s="14">
        <f>$E64</f>
        <v/>
      </c>
      <c r="H64" s="2" t="inlineStr">
        <is>
          <t>PS §4 (Kahoot anchor)</t>
        </is>
      </c>
    </row>
    <row r="65">
      <c r="A65" s="6" t="inlineStr">
        <is>
          <t>B2B</t>
        </is>
      </c>
      <c r="B65" s="2" t="inlineStr">
        <is>
          <t>campus_at_start</t>
        </is>
      </c>
      <c r="C65" s="6" t="inlineStr">
        <is>
          <t>Campus / club licences at start</t>
        </is>
      </c>
      <c r="D65" s="6" t="inlineStr">
        <is>
          <t>count</t>
        </is>
      </c>
      <c r="E65" s="9" t="n">
        <v>1</v>
      </c>
      <c r="F65" s="17">
        <f>$E65</f>
        <v/>
      </c>
      <c r="G65" s="17">
        <f>$E65</f>
        <v/>
      </c>
      <c r="H65" s="2" t="inlineStr">
        <is>
          <t>[U]</t>
        </is>
      </c>
    </row>
    <row r="66">
      <c r="A66" s="6" t="inlineStr">
        <is>
          <t>B2B</t>
        </is>
      </c>
      <c r="B66" s="2" t="inlineStr">
        <is>
          <t>campus_added_per_month</t>
        </is>
      </c>
      <c r="C66" s="6" t="inlineStr">
        <is>
          <t>Campus licences added per month (net)</t>
        </is>
      </c>
      <c r="D66" s="6" t="inlineStr">
        <is>
          <t>count</t>
        </is>
      </c>
      <c r="E66" s="9" t="n">
        <v>0.25</v>
      </c>
      <c r="F66" s="17">
        <f>$E66</f>
        <v/>
      </c>
      <c r="G66" s="17">
        <f>$E66</f>
        <v/>
      </c>
      <c r="H66" s="2" t="inlineStr">
        <is>
          <t>[U] one a quarter</t>
        </is>
      </c>
    </row>
    <row r="67">
      <c r="A67" s="6" t="inlineStr">
        <is>
          <t>B2B</t>
        </is>
      </c>
      <c r="B67" s="2" t="inlineStr">
        <is>
          <t>campus_price_annual</t>
        </is>
      </c>
      <c r="C67" s="6" t="inlineStr">
        <is>
          <t>Campus / club licence per year</t>
        </is>
      </c>
      <c r="D67" s="6" t="inlineStr">
        <is>
          <t>usd</t>
        </is>
      </c>
      <c r="E67" s="12" t="n">
        <v>3000</v>
      </c>
      <c r="F67" s="14">
        <f>$E67</f>
        <v/>
      </c>
      <c r="G67" s="14">
        <f>$E67</f>
        <v/>
      </c>
      <c r="H67" s="2" t="inlineStr">
        <is>
          <t>PS §4 $1.5-5k/yr [assumption]</t>
        </is>
      </c>
    </row>
    <row r="68">
      <c r="A68" s="6" t="inlineStr">
        <is>
          <t>B2B</t>
        </is>
      </c>
      <c r="B68" s="2" t="inlineStr">
        <is>
          <t>b2b_processing_rate</t>
        </is>
      </c>
      <c r="C68" s="6" t="inlineStr">
        <is>
          <t>Card processing on B2B invoices</t>
        </is>
      </c>
      <c r="D68" s="6" t="inlineStr">
        <is>
          <t>pct</t>
        </is>
      </c>
      <c r="E68" s="10" t="n">
        <v>0.03</v>
      </c>
      <c r="F68" s="16">
        <f>$E68</f>
        <v/>
      </c>
      <c r="G68" s="16">
        <f>$E68</f>
        <v/>
      </c>
      <c r="H68" s="2" t="inlineStr">
        <is>
          <t>[U] Stripe ~2.9% + 30c</t>
        </is>
      </c>
    </row>
    <row r="69">
      <c r="A69" s="4" t="inlineStr">
        <is>
          <t>COGS</t>
        </is>
      </c>
      <c r="B69" s="5" t="n"/>
      <c r="C69" s="5" t="n"/>
      <c r="D69" s="5" t="n"/>
      <c r="E69" s="5" t="n"/>
      <c r="F69" s="5" t="n"/>
      <c r="G69" s="5" t="n"/>
      <c r="H69" s="5" t="n"/>
    </row>
    <row r="70">
      <c r="A70" s="6" t="inlineStr">
        <is>
          <t>COGS</t>
        </is>
      </c>
      <c r="B70" s="2" t="inlineStr">
        <is>
          <t>data_beta_cost</t>
        </is>
      </c>
      <c r="C70" s="6" t="inlineStr">
        <is>
          <t>Data licence, public-beta phase (EOD prices w/ redistribution)</t>
        </is>
      </c>
      <c r="D70" s="6" t="inlineStr">
        <is>
          <t>usd</t>
        </is>
      </c>
      <c r="E70" s="12" t="n">
        <v>400</v>
      </c>
      <c r="F70" s="12" t="n">
        <v>450</v>
      </c>
      <c r="G70" s="12" t="n">
        <v>350</v>
      </c>
      <c r="H70" s="2" t="inlineStr">
        <is>
          <t>DS §6 $250-450 (Tiingo $250 / EODHD $399); BENCHMARKS C1 $400</t>
        </is>
      </c>
    </row>
    <row r="71">
      <c r="A71" s="6" t="inlineStr">
        <is>
          <t>COGS</t>
        </is>
      </c>
      <c r="B71" s="2" t="inlineStr">
        <is>
          <t>data_scale_cost</t>
        </is>
      </c>
      <c r="C71" s="6" t="inlineStr">
        <is>
          <t>Data licence, scale phase (delayed quotes, ETFs)</t>
        </is>
      </c>
      <c r="D71" s="6" t="inlineStr">
        <is>
          <t>usd</t>
        </is>
      </c>
      <c r="E71" s="12" t="n">
        <v>3000</v>
      </c>
      <c r="F71" s="12" t="n">
        <v>3500</v>
      </c>
      <c r="G71" s="12" t="n">
        <v>2500</v>
      </c>
      <c r="H71" s="2" t="inlineStr">
        <is>
          <t>DS §6 $2-5k [U: enterprise quotes]</t>
        </is>
      </c>
    </row>
    <row r="72">
      <c r="A72" s="6" t="inlineStr">
        <is>
          <t>COGS</t>
        </is>
      </c>
      <c r="B72" s="2" t="inlineStr">
        <is>
          <t>data_scale_mau</t>
        </is>
      </c>
      <c r="C72" s="6" t="inlineStr">
        <is>
          <t>MAU that triggers the scale data phase</t>
        </is>
      </c>
      <c r="D72" s="6" t="inlineStr">
        <is>
          <t>count</t>
        </is>
      </c>
      <c r="E72" s="9" t="n">
        <v>100000</v>
      </c>
      <c r="F72" s="17">
        <f>$E72</f>
        <v/>
      </c>
      <c r="G72" s="17">
        <f>$E72</f>
        <v/>
      </c>
      <c r="H72" s="2" t="inlineStr">
        <is>
          <t>[U] author; DS: scale = when product needs delayed quotes</t>
        </is>
      </c>
    </row>
    <row r="73">
      <c r="A73" s="6" t="inlineStr">
        <is>
          <t>COGS</t>
        </is>
      </c>
      <c r="B73" s="2" t="inlineStr">
        <is>
          <t>plaid_start_month</t>
        </is>
      </c>
      <c r="C73" s="6" t="inlineStr">
        <is>
          <t>Linking launches (month)</t>
        </is>
      </c>
      <c r="D73" s="6" t="inlineStr">
        <is>
          <t>month</t>
        </is>
      </c>
      <c r="E73" s="7" t="n">
        <v>13</v>
      </c>
      <c r="F73" s="8">
        <f>$E73</f>
        <v/>
      </c>
      <c r="G73" s="8">
        <f>$E73</f>
        <v/>
      </c>
      <c r="H73" s="2" t="inlineStr">
        <is>
          <t>BENCHMARKS C1: linking starts month 13</t>
        </is>
      </c>
    </row>
    <row r="74">
      <c r="A74" s="6" t="inlineStr">
        <is>
          <t>COGS</t>
        </is>
      </c>
      <c r="B74" s="2" t="inlineStr">
        <is>
          <t>plaid_free_link_share</t>
        </is>
      </c>
      <c r="C74" s="6" t="inlineStr">
        <is>
          <t>Free MAU with a linked bank (capped at 1 Item)</t>
        </is>
      </c>
      <c r="D74" s="6" t="inlineStr">
        <is>
          <t>pct</t>
        </is>
      </c>
      <c r="E74" s="10" t="n">
        <v>0.1</v>
      </c>
      <c r="F74" s="10" t="n">
        <v>0.12</v>
      </c>
      <c r="G74" s="10" t="n">
        <v>0.08</v>
      </c>
      <c r="H74" s="2" t="inlineStr">
        <is>
          <t>MH §3 lever 1-2: free = 1 Item, auto-unlink after 30 days idle [U]</t>
        </is>
      </c>
    </row>
    <row r="75">
      <c r="A75" s="6" t="inlineStr">
        <is>
          <t>COGS</t>
        </is>
      </c>
      <c r="B75" s="2" t="inlineStr">
        <is>
          <t>plaid_free_item_cost</t>
        </is>
      </c>
      <c r="C75" s="6" t="inlineStr">
        <is>
          <t>Plaid cost per free Item per month (Transactions only)</t>
        </is>
      </c>
      <c r="D75" s="6" t="inlineStr">
        <is>
          <t>usd_c</t>
        </is>
      </c>
      <c r="E75" s="13" t="n">
        <v>0.45</v>
      </c>
      <c r="F75" s="13" t="n">
        <v>0.6</v>
      </c>
      <c r="G75" s="13" t="n">
        <v>0.3</v>
      </c>
      <c r="H75" s="2" t="inlineStr">
        <is>
          <t>MH §3 illustrative $0.30-0.60 [U]; [S89] rates not public</t>
        </is>
      </c>
    </row>
    <row r="76">
      <c r="A76" s="6" t="inlineStr">
        <is>
          <t>COGS</t>
        </is>
      </c>
      <c r="B76" s="2" t="inlineStr">
        <is>
          <t>plaid_pro_link_share</t>
        </is>
      </c>
      <c r="C76" s="6" t="inlineStr">
        <is>
          <t>Pro subscribers who link accounts</t>
        </is>
      </c>
      <c r="D76" s="6" t="inlineStr">
        <is>
          <t>pct</t>
        </is>
      </c>
      <c r="E76" s="10" t="n">
        <v>0.4</v>
      </c>
      <c r="F76" s="10" t="n">
        <v>0.35</v>
      </c>
      <c r="G76" s="10" t="n">
        <v>0.5</v>
      </c>
      <c r="H76" s="2" t="inlineStr">
        <is>
          <t>BENCHMARKS C1 20/30/40%; raised for the Money Hub [U]</t>
        </is>
      </c>
    </row>
    <row r="77">
      <c r="A77" s="6" t="inlineStr">
        <is>
          <t>COGS</t>
        </is>
      </c>
      <c r="B77" s="2" t="inlineStr">
        <is>
          <t>plaid_pro_items</t>
        </is>
      </c>
      <c r="C77" s="6" t="inlineStr">
        <is>
          <t>Average linked Items per linking Pro user</t>
        </is>
      </c>
      <c r="D77" s="6" t="inlineStr">
        <is>
          <t>x</t>
        </is>
      </c>
      <c r="E77" s="11" t="n">
        <v>2.5</v>
      </c>
      <c r="F77" s="18">
        <f>$E77</f>
        <v/>
      </c>
      <c r="G77" s="11" t="n">
        <v>3</v>
      </c>
      <c r="H77" s="2" t="inlineStr">
        <is>
          <t>MH §3: ~3 Items, often 2</t>
        </is>
      </c>
    </row>
    <row r="78">
      <c r="A78" s="6" t="inlineStr">
        <is>
          <t>COGS</t>
        </is>
      </c>
      <c r="B78" s="2" t="inlineStr">
        <is>
          <t>plaid_pro_item_cost</t>
        </is>
      </c>
      <c r="C78" s="6" t="inlineStr">
        <is>
          <t>Plaid cost per Pro Item per month (Tx + Liabilities + Investments mix)</t>
        </is>
      </c>
      <c r="D78" s="6" t="inlineStr">
        <is>
          <t>usd_c</t>
        </is>
      </c>
      <c r="E78" s="13" t="n">
        <v>0.7</v>
      </c>
      <c r="F78" s="13" t="n">
        <v>0.9</v>
      </c>
      <c r="G78" s="13" t="n">
        <v>0.55</v>
      </c>
      <c r="H78" s="2" t="inlineStr">
        <is>
          <t>MH §3: $0.80-2.00 per fully linked user [U]; BENCHMARKS $1.25-2.50/user [S86]</t>
        </is>
      </c>
    </row>
    <row r="79">
      <c r="A79" s="6" t="inlineStr">
        <is>
          <t>COGS</t>
        </is>
      </c>
      <c r="B79" s="2" t="inlineStr">
        <is>
          <t>plaid_platform_fee</t>
        </is>
      </c>
      <c r="C79" s="6" t="inlineStr">
        <is>
          <t>Aggregator platform minimum per month</t>
        </is>
      </c>
      <c r="D79" s="6" t="inlineStr">
        <is>
          <t>usd</t>
        </is>
      </c>
      <c r="E79" s="12" t="n">
        <v>100</v>
      </c>
      <c r="F79" s="14">
        <f>$E79</f>
        <v/>
      </c>
      <c r="G79" s="14">
        <f>$E79</f>
        <v/>
      </c>
      <c r="H79" s="2" t="inlineStr">
        <is>
          <t>[S86][P] SnapTrade $100/mo as proxy; Plaid minimum unknown</t>
        </is>
      </c>
    </row>
    <row r="80">
      <c r="A80" s="6" t="inlineStr">
        <is>
          <t>COGS</t>
        </is>
      </c>
      <c r="B80" s="2" t="inlineStr">
        <is>
          <t>hosting_fixed</t>
        </is>
      </c>
      <c r="C80" s="6" t="inlineStr">
        <is>
          <t>Hosting fixed (Supabase Pro, Expo)</t>
        </is>
      </c>
      <c r="D80" s="6" t="inlineStr">
        <is>
          <t>usd</t>
        </is>
      </c>
      <c r="E80" s="12" t="n">
        <v>50</v>
      </c>
      <c r="F80" s="14">
        <f>$E80</f>
        <v/>
      </c>
      <c r="G80" s="14">
        <f>$E80</f>
        <v/>
      </c>
      <c r="H80" s="2" t="inlineStr">
        <is>
          <t>[S87] Supabase Pro $25; [S88] Expo $19; BENCHMARKS C1</t>
        </is>
      </c>
    </row>
    <row r="81">
      <c r="A81" s="6" t="inlineStr">
        <is>
          <t>COGS</t>
        </is>
      </c>
      <c r="B81" s="2" t="inlineStr">
        <is>
          <t>hosting_per_mau</t>
        </is>
      </c>
      <c r="C81" s="6" t="inlineStr">
        <is>
          <t>Hosting per MAU per month</t>
        </is>
      </c>
      <c r="D81" s="6" t="inlineStr">
        <is>
          <t>usd_c</t>
        </is>
      </c>
      <c r="E81" s="13" t="n">
        <v>0.01</v>
      </c>
      <c r="F81" s="15">
        <f>$E81</f>
        <v/>
      </c>
      <c r="G81" s="15">
        <f>$E81</f>
        <v/>
      </c>
      <c r="H81" s="2" t="inlineStr">
        <is>
          <t>BENCHMARKS C1 ($0.01/MAU)</t>
        </is>
      </c>
    </row>
    <row r="82">
      <c r="A82" s="6" t="inlineStr">
        <is>
          <t>COGS</t>
        </is>
      </c>
      <c r="B82" s="2" t="inlineStr">
        <is>
          <t>llm_start_month</t>
        </is>
      </c>
      <c r="C82" s="6" t="inlineStr">
        <is>
          <t>AI tutor launches (month)</t>
        </is>
      </c>
      <c r="D82" s="6" t="inlineStr">
        <is>
          <t>month</t>
        </is>
      </c>
      <c r="E82" s="7" t="n">
        <v>7</v>
      </c>
      <c r="F82" s="8">
        <f>$E82</f>
        <v/>
      </c>
      <c r="G82" s="8">
        <f>$E82</f>
        <v/>
      </c>
      <c r="H82" s="2" t="inlineStr">
        <is>
          <t>PS: tutor is v2 (months 4-9)</t>
        </is>
      </c>
    </row>
    <row r="83">
      <c r="A83" s="6" t="inlineStr">
        <is>
          <t>COGS</t>
        </is>
      </c>
      <c r="B83" s="2" t="inlineStr">
        <is>
          <t>llm_cost_per_payer</t>
        </is>
      </c>
      <c r="C83" s="6" t="inlineStr">
        <is>
          <t>LLM tokens per Pro user per month (capped)</t>
        </is>
      </c>
      <c r="D83" s="6" t="inlineStr">
        <is>
          <t>usd_c</t>
        </is>
      </c>
      <c r="E83" s="13" t="n">
        <v>0.45</v>
      </c>
      <c r="F83" s="13" t="n">
        <v>0.65</v>
      </c>
      <c r="G83" s="13" t="n">
        <v>0.3</v>
      </c>
      <c r="H83" s="2" t="inlineStr">
        <is>
          <t>PS idea #21: $0.30-0.65 per Pro user at 40 answers/mo</t>
        </is>
      </c>
    </row>
    <row r="84">
      <c r="A84" s="6" t="inlineStr">
        <is>
          <t>COGS</t>
        </is>
      </c>
      <c r="B84" s="2" t="inlineStr">
        <is>
          <t>llm_cost_per_free_mau</t>
        </is>
      </c>
      <c r="C84" s="6" t="inlineStr">
        <is>
          <t>LLM tokens per free MAU per month (taster)</t>
        </is>
      </c>
      <c r="D84" s="6" t="inlineStr">
        <is>
          <t>usd_c</t>
        </is>
      </c>
      <c r="E84" s="13" t="n">
        <v>0.01</v>
      </c>
      <c r="F84" s="15">
        <f>$E84</f>
        <v/>
      </c>
      <c r="G84" s="15">
        <f>$E84</f>
        <v/>
      </c>
      <c r="H84" s="2" t="inlineStr">
        <is>
          <t>PS idea #21: ~$0.008-0.016 per answer, ~1 free answer/mo [U]</t>
        </is>
      </c>
    </row>
    <row r="85">
      <c r="A85" s="6" t="inlineStr">
        <is>
          <t>COGS</t>
        </is>
      </c>
      <c r="B85" s="2" t="inlineStr">
        <is>
          <t>rc_threshold</t>
        </is>
      </c>
      <c r="C85" s="6" t="inlineStr">
        <is>
          <t>RevenueCat free up to this monthly tracked revenue</t>
        </is>
      </c>
      <c r="D85" s="6" t="inlineStr">
        <is>
          <t>usd</t>
        </is>
      </c>
      <c r="E85" s="12" t="n">
        <v>2500</v>
      </c>
      <c r="F85" s="14">
        <f>$E85</f>
        <v/>
      </c>
      <c r="G85" s="14">
        <f>$E85</f>
        <v/>
      </c>
      <c r="H85" s="2" t="inlineStr">
        <is>
          <t>[S84][P]</t>
        </is>
      </c>
    </row>
    <row r="86">
      <c r="A86" s="6" t="inlineStr">
        <is>
          <t>COGS</t>
        </is>
      </c>
      <c r="B86" s="2" t="inlineStr">
        <is>
          <t>rc_rate</t>
        </is>
      </c>
      <c r="C86" s="6" t="inlineStr">
        <is>
          <t>RevenueCat fee above threshold</t>
        </is>
      </c>
      <c r="D86" s="6" t="inlineStr">
        <is>
          <t>pct</t>
        </is>
      </c>
      <c r="E86" s="10" t="n">
        <v>0.01</v>
      </c>
      <c r="F86" s="16">
        <f>$E86</f>
        <v/>
      </c>
      <c r="G86" s="16">
        <f>$E86</f>
        <v/>
      </c>
      <c r="H86" s="2" t="inlineStr">
        <is>
          <t>[S84][P]</t>
        </is>
      </c>
    </row>
    <row r="87">
      <c r="A87" s="4" t="inlineStr">
        <is>
          <t>OPEX</t>
        </is>
      </c>
      <c r="B87" s="5" t="n"/>
      <c r="C87" s="5" t="n"/>
      <c r="D87" s="5" t="n"/>
      <c r="E87" s="5" t="n"/>
      <c r="F87" s="5" t="n"/>
      <c r="G87" s="5" t="n"/>
      <c r="H87" s="5" t="n"/>
    </row>
    <row r="88">
      <c r="A88" s="6" t="inlineStr">
        <is>
          <t>OpEx</t>
        </is>
      </c>
      <c r="B88" s="2" t="inlineStr">
        <is>
          <t>founder_salary</t>
        </is>
      </c>
      <c r="C88" s="6" t="inlineStr">
        <is>
          <t>Founder salary per month (if switched on)</t>
        </is>
      </c>
      <c r="D88" s="6" t="inlineStr">
        <is>
          <t>usd</t>
        </is>
      </c>
      <c r="E88" s="12" t="n">
        <v>5000</v>
      </c>
      <c r="F88" s="14">
        <f>$E88</f>
        <v/>
      </c>
      <c r="G88" s="14">
        <f>$E88</f>
        <v/>
      </c>
      <c r="H88" s="2" t="inlineStr">
        <is>
          <t>BENCHMARKS §C $5k ramen hurdle</t>
        </is>
      </c>
    </row>
    <row r="89">
      <c r="A89" s="6" t="inlineStr">
        <is>
          <t>OpEx</t>
        </is>
      </c>
      <c r="B89" s="2" t="inlineStr">
        <is>
          <t>contractors_fy1</t>
        </is>
      </c>
      <c r="C89" s="6" t="inlineStr">
        <is>
          <t>Contractors per month, FY1 (content QA, design)</t>
        </is>
      </c>
      <c r="D89" s="6" t="inlineStr">
        <is>
          <t>usd</t>
        </is>
      </c>
      <c r="E89" s="12" t="n">
        <v>500</v>
      </c>
      <c r="F89" s="12" t="n">
        <v>300</v>
      </c>
      <c r="G89" s="12" t="n">
        <v>1000</v>
      </c>
      <c r="H89" s="2" t="inlineStr">
        <is>
          <t>[U] author</t>
        </is>
      </c>
    </row>
    <row r="90">
      <c r="A90" s="6" t="inlineStr">
        <is>
          <t>OpEx</t>
        </is>
      </c>
      <c r="B90" s="2" t="inlineStr">
        <is>
          <t>contractors_fy2</t>
        </is>
      </c>
      <c r="C90" s="6" t="inlineStr">
        <is>
          <t>Contractors per month, FY2</t>
        </is>
      </c>
      <c r="D90" s="6" t="inlineStr">
        <is>
          <t>usd</t>
        </is>
      </c>
      <c r="E90" s="12" t="n">
        <v>1500</v>
      </c>
      <c r="F90" s="12" t="n">
        <v>800</v>
      </c>
      <c r="G90" s="12" t="n">
        <v>3000</v>
      </c>
      <c r="H90" s="2" t="inlineStr">
        <is>
          <t>[U] author</t>
        </is>
      </c>
    </row>
    <row r="91">
      <c r="A91" s="6" t="inlineStr">
        <is>
          <t>OpEx</t>
        </is>
      </c>
      <c r="B91" s="2" t="inlineStr">
        <is>
          <t>contractors_fy3</t>
        </is>
      </c>
      <c r="C91" s="6" t="inlineStr">
        <is>
          <t>Contractors per month, FY3</t>
        </is>
      </c>
      <c r="D91" s="6" t="inlineStr">
        <is>
          <t>usd</t>
        </is>
      </c>
      <c r="E91" s="12" t="n">
        <v>3000</v>
      </c>
      <c r="F91" s="12" t="n">
        <v>1500</v>
      </c>
      <c r="G91" s="12" t="n">
        <v>6000</v>
      </c>
      <c r="H91" s="2" t="inlineStr">
        <is>
          <t>[U] author</t>
        </is>
      </c>
    </row>
    <row r="92">
      <c r="A92" s="6" t="inlineStr">
        <is>
          <t>OpEx</t>
        </is>
      </c>
      <c r="B92" s="2" t="inlineStr">
        <is>
          <t>mkt_other_monthly</t>
        </is>
      </c>
      <c r="C92" s="6" t="inlineStr">
        <is>
          <t>Other marketing per month (newsletter, community, landing tests)</t>
        </is>
      </c>
      <c r="D92" s="6" t="inlineStr">
        <is>
          <t>usd</t>
        </is>
      </c>
      <c r="E92" s="12" t="n">
        <v>150</v>
      </c>
      <c r="F92" s="14">
        <f>$E92</f>
        <v/>
      </c>
      <c r="G92" s="14">
        <f>$E92</f>
        <v/>
      </c>
      <c r="H92" s="2" t="inlineStr">
        <is>
          <t>PS §7 budget [U]</t>
        </is>
      </c>
    </row>
    <row r="93">
      <c r="A93" s="6" t="inlineStr">
        <is>
          <t>OpEx</t>
        </is>
      </c>
      <c r="B93" s="2" t="inlineStr">
        <is>
          <t>legal_llc</t>
        </is>
      </c>
      <c r="C93" s="6" t="inlineStr">
        <is>
          <t>LLC + D-U-N-S (one-time, month 1)</t>
        </is>
      </c>
      <c r="D93" s="6" t="inlineStr">
        <is>
          <t>usd</t>
        </is>
      </c>
      <c r="E93" s="12" t="n">
        <v>500</v>
      </c>
      <c r="F93" s="14">
        <f>$E93</f>
        <v/>
      </c>
      <c r="G93" s="14">
        <f>$E93</f>
        <v/>
      </c>
      <c r="H93" s="2" t="inlineStr">
        <is>
          <t>PS §7: $100-500</t>
        </is>
      </c>
    </row>
    <row r="94">
      <c r="A94" s="6" t="inlineStr">
        <is>
          <t>OpEx</t>
        </is>
      </c>
      <c r="B94" s="2" t="inlineStr">
        <is>
          <t>legal_counsel_review</t>
        </is>
      </c>
      <c r="C94" s="6" t="inlineStr">
        <is>
          <t>Securities counsel review (one-time, month 1)</t>
        </is>
      </c>
      <c r="D94" s="6" t="inlineStr">
        <is>
          <t>usd</t>
        </is>
      </c>
      <c r="E94" s="12" t="n">
        <v>2000</v>
      </c>
      <c r="F94" s="14">
        <f>$E94</f>
        <v/>
      </c>
      <c r="G94" s="14">
        <f>$E94</f>
        <v/>
      </c>
      <c r="H94" s="2" t="inlineStr">
        <is>
          <t>PS §6 #4: $1-2k [U]</t>
        </is>
      </c>
    </row>
    <row r="95">
      <c r="A95" s="6" t="inlineStr">
        <is>
          <t>OpEx</t>
        </is>
      </c>
      <c r="B95" s="2" t="inlineStr">
        <is>
          <t>legal_privacy</t>
        </is>
      </c>
      <c r="C95" s="6" t="inlineStr">
        <is>
          <t>Privacy policy / ToS (one-time, month 1)</t>
        </is>
      </c>
      <c r="D95" s="6" t="inlineStr">
        <is>
          <t>usd</t>
        </is>
      </c>
      <c r="E95" s="12" t="n">
        <v>500</v>
      </c>
      <c r="F95" s="14">
        <f>$E95</f>
        <v/>
      </c>
      <c r="G95" s="14">
        <f>$E95</f>
        <v/>
      </c>
      <c r="H95" s="2" t="inlineStr">
        <is>
          <t>[U] template + review</t>
        </is>
      </c>
    </row>
    <row r="96">
      <c r="A96" s="6" t="inlineStr">
        <is>
          <t>OpEx</t>
        </is>
      </c>
      <c r="B96" s="2" t="inlineStr">
        <is>
          <t>legal_trademark</t>
        </is>
      </c>
      <c r="C96" s="6" t="inlineStr">
        <is>
          <t>Trademark filing, 2 classes (one-time, month 1)</t>
        </is>
      </c>
      <c r="D96" s="6" t="inlineStr">
        <is>
          <t>usd</t>
        </is>
      </c>
      <c r="E96" s="12" t="n">
        <v>700</v>
      </c>
      <c r="F96" s="14">
        <f>$E96</f>
        <v/>
      </c>
      <c r="G96" s="14">
        <f>$E96</f>
        <v/>
      </c>
      <c r="H96" s="2" t="inlineStr">
        <is>
          <t>[U] USPTO ~$350/class; PS §3 classes 9 and 41</t>
        </is>
      </c>
    </row>
    <row r="97">
      <c r="A97" s="6" t="inlineStr">
        <is>
          <t>OpEx</t>
        </is>
      </c>
      <c r="B97" s="2" t="inlineStr">
        <is>
          <t>legal_monthly</t>
        </is>
      </c>
      <c r="C97" s="6" t="inlineStr">
        <is>
          <t>Ongoing legal / compliance per month</t>
        </is>
      </c>
      <c r="D97" s="6" t="inlineStr">
        <is>
          <t>usd</t>
        </is>
      </c>
      <c r="E97" s="12" t="n">
        <v>100</v>
      </c>
      <c r="F97" s="14">
        <f>$E97</f>
        <v/>
      </c>
      <c r="G97" s="14">
        <f>$E97</f>
        <v/>
      </c>
      <c r="H97" s="2" t="inlineStr">
        <is>
          <t>[U]</t>
        </is>
      </c>
    </row>
    <row r="98">
      <c r="A98" s="6" t="inlineStr">
        <is>
          <t>OpEx</t>
        </is>
      </c>
      <c r="B98" s="2" t="inlineStr">
        <is>
          <t>legal_annual_review</t>
        </is>
      </c>
      <c r="C98" s="6" t="inlineStr">
        <is>
          <t>Annual counsel refresh (months 13, 25)</t>
        </is>
      </c>
      <c r="D98" s="6" t="inlineStr">
        <is>
          <t>usd</t>
        </is>
      </c>
      <c r="E98" s="12" t="n">
        <v>1000</v>
      </c>
      <c r="F98" s="14">
        <f>$E98</f>
        <v/>
      </c>
      <c r="G98" s="14">
        <f>$E98</f>
        <v/>
      </c>
      <c r="H98" s="2" t="inlineStr">
        <is>
          <t>[U]</t>
        </is>
      </c>
    </row>
    <row r="99">
      <c r="A99" s="6" t="inlineStr">
        <is>
          <t>OpEx</t>
        </is>
      </c>
      <c r="B99" s="2" t="inlineStr">
        <is>
          <t>soc2_start_month</t>
        </is>
      </c>
      <c r="C99" s="6" t="inlineStr">
        <is>
          <t>SOC 2 starts (month, if switched on)</t>
        </is>
      </c>
      <c r="D99" s="6" t="inlineStr">
        <is>
          <t>month</t>
        </is>
      </c>
      <c r="E99" s="7" t="n">
        <v>25</v>
      </c>
      <c r="F99" s="8">
        <f>$E99</f>
        <v/>
      </c>
      <c r="G99" s="8">
        <f>$E99</f>
        <v/>
      </c>
      <c r="H99" s="2" t="inlineStr">
        <is>
          <t>[U]</t>
        </is>
      </c>
    </row>
    <row r="100">
      <c r="A100" s="6" t="inlineStr">
        <is>
          <t>OpEx</t>
        </is>
      </c>
      <c r="B100" s="2" t="inlineStr">
        <is>
          <t>soc2_monthly</t>
        </is>
      </c>
      <c r="C100" s="6" t="inlineStr">
        <is>
          <t>SOC 2 tooling + audit per month</t>
        </is>
      </c>
      <c r="D100" s="6" t="inlineStr">
        <is>
          <t>usd</t>
        </is>
      </c>
      <c r="E100" s="12" t="n">
        <v>1500</v>
      </c>
      <c r="F100" s="14">
        <f>$E100</f>
        <v/>
      </c>
      <c r="G100" s="14">
        <f>$E100</f>
        <v/>
      </c>
      <c r="H100" s="2" t="inlineStr">
        <is>
          <t>[U] Vanta/Drata + audit ~$15-25k/yr</t>
        </is>
      </c>
    </row>
    <row r="101">
      <c r="A101" s="6" t="inlineStr">
        <is>
          <t>OpEx</t>
        </is>
      </c>
      <c r="B101" s="2" t="inlineStr">
        <is>
          <t>tools_fy1</t>
        </is>
      </c>
      <c r="C101" s="6" t="inlineStr">
        <is>
          <t>Software / tools per month, FY1</t>
        </is>
      </c>
      <c r="D101" s="6" t="inlineStr">
        <is>
          <t>usd</t>
        </is>
      </c>
      <c r="E101" s="12" t="n">
        <v>150</v>
      </c>
      <c r="F101" s="14">
        <f>$E101</f>
        <v/>
      </c>
      <c r="G101" s="14">
        <f>$E101</f>
        <v/>
      </c>
      <c r="H101" s="2" t="inlineStr">
        <is>
          <t>BENCHMARKS C1 $160 other fixed; PS §7 free tiers</t>
        </is>
      </c>
    </row>
    <row r="102">
      <c r="A102" s="6" t="inlineStr">
        <is>
          <t>OpEx</t>
        </is>
      </c>
      <c r="B102" s="2" t="inlineStr">
        <is>
          <t>tools_fy2</t>
        </is>
      </c>
      <c r="C102" s="6" t="inlineStr">
        <is>
          <t>Software / tools per month, FY2</t>
        </is>
      </c>
      <c r="D102" s="6" t="inlineStr">
        <is>
          <t>usd</t>
        </is>
      </c>
      <c r="E102" s="12" t="n">
        <v>250</v>
      </c>
      <c r="F102" s="14">
        <f>$E102</f>
        <v/>
      </c>
      <c r="G102" s="14">
        <f>$E102</f>
        <v/>
      </c>
      <c r="H102" s="2" t="inlineStr">
        <is>
          <t>[U]</t>
        </is>
      </c>
    </row>
    <row r="103">
      <c r="A103" s="6" t="inlineStr">
        <is>
          <t>OpEx</t>
        </is>
      </c>
      <c r="B103" s="2" t="inlineStr">
        <is>
          <t>tools_fy3</t>
        </is>
      </c>
      <c r="C103" s="6" t="inlineStr">
        <is>
          <t>Software / tools per month, FY3</t>
        </is>
      </c>
      <c r="D103" s="6" t="inlineStr">
        <is>
          <t>usd</t>
        </is>
      </c>
      <c r="E103" s="12" t="n">
        <v>400</v>
      </c>
      <c r="F103" s="14">
        <f>$E103</f>
        <v/>
      </c>
      <c r="G103" s="14">
        <f>$E103</f>
        <v/>
      </c>
      <c r="H103" s="2" t="inlineStr">
        <is>
          <t>[U]</t>
        </is>
      </c>
    </row>
    <row r="104">
      <c r="A104" s="6" t="inlineStr">
        <is>
          <t>OpEx</t>
        </is>
      </c>
      <c r="B104" s="2" t="inlineStr">
        <is>
          <t>apple_dev_fee</t>
        </is>
      </c>
      <c r="C104" s="6" t="inlineStr">
        <is>
          <t>Apple Developer Program (per year, months 1/13/25)</t>
        </is>
      </c>
      <c r="D104" s="6" t="inlineStr">
        <is>
          <t>usd</t>
        </is>
      </c>
      <c r="E104" s="12" t="n">
        <v>99</v>
      </c>
      <c r="F104" s="14">
        <f>$E104</f>
        <v/>
      </c>
      <c r="G104" s="14">
        <f>$E104</f>
        <v/>
      </c>
      <c r="H104" s="2" t="inlineStr">
        <is>
          <t>PS §7 $99</t>
        </is>
      </c>
    </row>
    <row r="105">
      <c r="A105" s="6" t="inlineStr">
        <is>
          <t>OpEx</t>
        </is>
      </c>
      <c r="B105" s="2" t="inlineStr">
        <is>
          <t>google_dev_fee</t>
        </is>
      </c>
      <c r="C105" s="6" t="inlineStr">
        <is>
          <t>Google Play registration (one-time, month 1)</t>
        </is>
      </c>
      <c r="D105" s="6" t="inlineStr">
        <is>
          <t>usd</t>
        </is>
      </c>
      <c r="E105" s="12" t="n">
        <v>25</v>
      </c>
      <c r="F105" s="14">
        <f>$E105</f>
        <v/>
      </c>
      <c r="G105" s="14">
        <f>$E105</f>
        <v/>
      </c>
      <c r="H105" s="2" t="inlineStr">
        <is>
          <t>[U] Google list price</t>
        </is>
      </c>
    </row>
    <row r="106">
      <c r="A106" s="6" t="inlineStr">
        <is>
          <t>OpEx</t>
        </is>
      </c>
      <c r="B106" s="2" t="inlineStr">
        <is>
          <t>insurance_monthly</t>
        </is>
      </c>
      <c r="C106" s="6" t="inlineStr">
        <is>
          <t>Insurance (cyber + E&amp;O) per month</t>
        </is>
      </c>
      <c r="D106" s="6" t="inlineStr">
        <is>
          <t>usd</t>
        </is>
      </c>
      <c r="E106" s="12" t="n">
        <v>100</v>
      </c>
      <c r="F106" s="14">
        <f>$E106</f>
        <v/>
      </c>
      <c r="G106" s="14">
        <f>$E106</f>
        <v/>
      </c>
      <c r="H106" s="2" t="inlineStr">
        <is>
          <t>[U] author</t>
        </is>
      </c>
    </row>
    <row r="108">
      <c r="A108" s="4" t="inlineStr">
        <is>
          <t>DERIVED (formulas, do not edit)</t>
        </is>
      </c>
      <c r="B108" s="5" t="n"/>
      <c r="C108" s="5" t="n"/>
      <c r="D108" s="5" t="n"/>
      <c r="E108" s="5" t="n"/>
      <c r="F108" s="5" t="n"/>
      <c r="G108" s="5" t="n"/>
      <c r="H108" s="5" t="n"/>
    </row>
    <row r="109">
      <c r="A109" s="6" t="inlineStr">
        <is>
          <t>Derived</t>
        </is>
      </c>
      <c r="B109" s="2" t="inlineStr">
        <is>
          <t>mix_student</t>
        </is>
      </c>
      <c r="C109" s="6" t="inlineStr">
        <is>
          <t>New payers choosing student plan (1 - monthly - annual)</t>
        </is>
      </c>
      <c r="D109" s="6" t="inlineStr">
        <is>
          <t>pct</t>
        </is>
      </c>
      <c r="E109" s="16">
        <f>((1-E31)-E32)</f>
        <v/>
      </c>
      <c r="F109" s="16">
        <f>((1-F31)-F32)</f>
        <v/>
      </c>
      <c r="G109" s="16">
        <f>((1-G31)-G32)</f>
        <v/>
      </c>
    </row>
    <row r="110">
      <c r="A110" s="6" t="inlineStr">
        <is>
          <t>Derived</t>
        </is>
      </c>
      <c r="B110" s="2" t="inlineStr">
        <is>
          <t>churn_monthly</t>
        </is>
      </c>
      <c r="C110" s="6" t="inlineStr">
        <is>
          <t>Monthly-plan churn per month = 1 - ret12^(1/12)</t>
        </is>
      </c>
      <c r="D110" s="6" t="inlineStr">
        <is>
          <t>pct</t>
        </is>
      </c>
      <c r="E110" s="16">
        <f>(1-(E42^(1/12)))</f>
        <v/>
      </c>
      <c r="F110" s="16">
        <f>(1-(F42^(1/12)))</f>
        <v/>
      </c>
      <c r="G110" s="16">
        <f>(1-(G42^(1/12)))</f>
        <v/>
      </c>
    </row>
    <row r="111">
      <c r="A111" s="6" t="inlineStr">
        <is>
          <t>Derived</t>
        </is>
      </c>
      <c r="B111" s="2" t="inlineStr">
        <is>
          <t>install_to_paid</t>
        </is>
      </c>
      <c r="C111" s="6" t="inlineStr">
        <is>
          <t>Install-to-paid = activation x trial start x trial-to-paid</t>
        </is>
      </c>
      <c r="D111" s="6" t="inlineStr">
        <is>
          <t>pct</t>
        </is>
      </c>
      <c r="E111" s="16">
        <f>((E25*E29)*E30)</f>
        <v/>
      </c>
      <c r="F111" s="16">
        <f>((F25*F29)*F30)</f>
        <v/>
      </c>
      <c r="G111" s="16">
        <f>((G25*G29)*G30)</f>
        <v/>
      </c>
    </row>
    <row r="112">
      <c r="A112" s="6" t="inlineStr">
        <is>
          <t>Derived</t>
        </is>
      </c>
      <c r="B112" s="2" t="inlineStr">
        <is>
          <t>net_factor</t>
        </is>
      </c>
      <c r="C112" s="6" t="inlineStr">
        <is>
          <t>Share of gross in-app sales kept = (1 - refunds) x (1 - store fee)</t>
        </is>
      </c>
      <c r="D112" s="6" t="inlineStr">
        <is>
          <t>pct</t>
        </is>
      </c>
      <c r="E112" s="16">
        <f>((1-E40)*(1-E39))</f>
        <v/>
      </c>
      <c r="F112" s="16">
        <f>((1-F40)*(1-F39))</f>
        <v/>
      </c>
      <c r="G112" s="16">
        <f>((1-G40)*(1-G39))</f>
        <v/>
      </c>
    </row>
    <row r="113">
      <c r="A113" s="6" t="inlineStr">
        <is>
          <t>Derived</t>
        </is>
      </c>
      <c r="B113" s="2" t="inlineStr">
        <is>
          <t>ad_rev_per_ad_mau</t>
        </is>
      </c>
      <c r="C113" s="6" t="inlineStr">
        <is>
          <t>Ad revenue per ad-seeing free MAU per month</t>
        </is>
      </c>
      <c r="D113" s="6" t="inlineStr">
        <is>
          <t>usd_c</t>
        </is>
      </c>
      <c r="E113" s="15">
        <f>(((((E48*E51)+(E49*E52))+(E50*E53))/1000)*E54)</f>
        <v/>
      </c>
      <c r="F113" s="15">
        <f>(((((F48*F51)+(F49*F52))+(F50*F53))/1000)*F54)</f>
        <v/>
      </c>
      <c r="G113" s="15">
        <f>(((((G48*G51)+(G49*G52))+(G50*G53))/1000)*G54)</f>
        <v/>
      </c>
    </row>
    <row r="114">
      <c r="A114" s="6" t="inlineStr">
        <is>
          <t>Derived</t>
        </is>
      </c>
      <c r="B114" s="2" t="inlineStr">
        <is>
          <t>var_cost_per_payer</t>
        </is>
      </c>
      <c r="C114" s="6" t="inlineStr">
        <is>
          <t>Variable cost per payer per month (LLM + Plaid Pro), steady state</t>
        </is>
      </c>
      <c r="D114" s="6" t="inlineStr">
        <is>
          <t>usd_c</t>
        </is>
      </c>
      <c r="E114" s="15">
        <f>((E8*E83)+(((E9*E76)*E77)*E78))</f>
        <v/>
      </c>
      <c r="F114" s="15">
        <f>((F8*F83)+(((F9*F76)*F77)*F78))</f>
        <v/>
      </c>
      <c r="G114" s="15">
        <f>((G8*G83)+(((G9*G76)*G77)*G78))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10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A1" s="1" t="inlineStr">
        <is>
          <t>Tenbagger: Base case, monthly (USD). All cells are formulas driven by the Assumptions sheet.</t>
        </is>
      </c>
    </row>
    <row r="2">
      <c r="A2" s="3" t="inlineStr">
        <is>
          <t>Month</t>
        </is>
      </c>
      <c r="B2" s="19" t="n"/>
      <c r="C2" s="20" t="n">
        <v>1</v>
      </c>
      <c r="D2" s="20" t="n">
        <v>2</v>
      </c>
      <c r="E2" s="20" t="n">
        <v>3</v>
      </c>
      <c r="F2" s="20" t="n">
        <v>4</v>
      </c>
      <c r="G2" s="20" t="n">
        <v>5</v>
      </c>
      <c r="H2" s="20" t="n">
        <v>6</v>
      </c>
      <c r="I2" s="20" t="n">
        <v>7</v>
      </c>
      <c r="J2" s="20" t="n">
        <v>8</v>
      </c>
      <c r="K2" s="20" t="n">
        <v>9</v>
      </c>
      <c r="L2" s="20" t="n">
        <v>10</v>
      </c>
      <c r="M2" s="20" t="n">
        <v>11</v>
      </c>
      <c r="N2" s="20" t="n">
        <v>12</v>
      </c>
      <c r="O2" s="20" t="n">
        <v>13</v>
      </c>
      <c r="P2" s="20" t="n">
        <v>14</v>
      </c>
      <c r="Q2" s="20" t="n">
        <v>15</v>
      </c>
      <c r="R2" s="20" t="n">
        <v>16</v>
      </c>
      <c r="S2" s="20" t="n">
        <v>17</v>
      </c>
      <c r="T2" s="20" t="n">
        <v>18</v>
      </c>
      <c r="U2" s="20" t="n">
        <v>19</v>
      </c>
      <c r="V2" s="20" t="n">
        <v>20</v>
      </c>
      <c r="W2" s="20" t="n">
        <v>21</v>
      </c>
      <c r="X2" s="20" t="n">
        <v>22</v>
      </c>
      <c r="Y2" s="20" t="n">
        <v>23</v>
      </c>
      <c r="Z2" s="20" t="n">
        <v>24</v>
      </c>
      <c r="AA2" s="20" t="n">
        <v>25</v>
      </c>
      <c r="AB2" s="20" t="n">
        <v>26</v>
      </c>
      <c r="AC2" s="20" t="n">
        <v>27</v>
      </c>
      <c r="AD2" s="20" t="n">
        <v>28</v>
      </c>
      <c r="AE2" s="20" t="n">
        <v>29</v>
      </c>
      <c r="AF2" s="20" t="n">
        <v>30</v>
      </c>
      <c r="AG2" s="20" t="n">
        <v>31</v>
      </c>
      <c r="AH2" s="20" t="n">
        <v>32</v>
      </c>
      <c r="AI2" s="20" t="n">
        <v>33</v>
      </c>
      <c r="AJ2" s="20" t="n">
        <v>34</v>
      </c>
      <c r="AK2" s="20" t="n">
        <v>35</v>
      </c>
      <c r="AL2" s="20" t="n">
        <v>36</v>
      </c>
    </row>
    <row r="3">
      <c r="A3" s="3" t="inlineStr">
        <is>
          <t>Fiscal year</t>
        </is>
      </c>
      <c r="B3" s="19" t="n"/>
      <c r="C3" s="20" t="n">
        <v>1</v>
      </c>
      <c r="D3" s="20" t="n">
        <v>1</v>
      </c>
      <c r="E3" s="20" t="n">
        <v>1</v>
      </c>
      <c r="F3" s="20" t="n">
        <v>1</v>
      </c>
      <c r="G3" s="20" t="n">
        <v>1</v>
      </c>
      <c r="H3" s="20" t="n">
        <v>1</v>
      </c>
      <c r="I3" s="20" t="n">
        <v>1</v>
      </c>
      <c r="J3" s="20" t="n">
        <v>1</v>
      </c>
      <c r="K3" s="20" t="n">
        <v>1</v>
      </c>
      <c r="L3" s="20" t="n">
        <v>1</v>
      </c>
      <c r="M3" s="20" t="n">
        <v>1</v>
      </c>
      <c r="N3" s="20" t="n">
        <v>1</v>
      </c>
      <c r="O3" s="20" t="n">
        <v>2</v>
      </c>
      <c r="P3" s="20" t="n">
        <v>2</v>
      </c>
      <c r="Q3" s="20" t="n">
        <v>2</v>
      </c>
      <c r="R3" s="20" t="n">
        <v>2</v>
      </c>
      <c r="S3" s="20" t="n">
        <v>2</v>
      </c>
      <c r="T3" s="20" t="n">
        <v>2</v>
      </c>
      <c r="U3" s="20" t="n">
        <v>2</v>
      </c>
      <c r="V3" s="20" t="n">
        <v>2</v>
      </c>
      <c r="W3" s="20" t="n">
        <v>2</v>
      </c>
      <c r="X3" s="20" t="n">
        <v>2</v>
      </c>
      <c r="Y3" s="20" t="n">
        <v>2</v>
      </c>
      <c r="Z3" s="20" t="n">
        <v>2</v>
      </c>
      <c r="AA3" s="20" t="n">
        <v>3</v>
      </c>
      <c r="AB3" s="20" t="n">
        <v>3</v>
      </c>
      <c r="AC3" s="20" t="n">
        <v>3</v>
      </c>
      <c r="AD3" s="20" t="n">
        <v>3</v>
      </c>
      <c r="AE3" s="20" t="n">
        <v>3</v>
      </c>
      <c r="AF3" s="20" t="n">
        <v>3</v>
      </c>
      <c r="AG3" s="20" t="n">
        <v>3</v>
      </c>
      <c r="AH3" s="20" t="n">
        <v>3</v>
      </c>
      <c r="AI3" s="20" t="n">
        <v>3</v>
      </c>
      <c r="AJ3" s="20" t="n">
        <v>3</v>
      </c>
      <c r="AK3" s="20" t="n">
        <v>3</v>
      </c>
      <c r="AL3" s="20" t="n">
        <v>3</v>
      </c>
    </row>
    <row r="4">
      <c r="A4" s="3" t="inlineStr">
        <is>
          <t>Calendar month</t>
        </is>
      </c>
      <c r="B4" s="19" t="n"/>
      <c r="C4" s="20" t="inlineStr">
        <is>
          <t>Jan-27</t>
        </is>
      </c>
      <c r="D4" s="20" t="inlineStr">
        <is>
          <t>Feb-27</t>
        </is>
      </c>
      <c r="E4" s="20" t="inlineStr">
        <is>
          <t>Mar-27</t>
        </is>
      </c>
      <c r="F4" s="20" t="inlineStr">
        <is>
          <t>Apr-27</t>
        </is>
      </c>
      <c r="G4" s="20" t="inlineStr">
        <is>
          <t>May-27</t>
        </is>
      </c>
      <c r="H4" s="20" t="inlineStr">
        <is>
          <t>Jun-27</t>
        </is>
      </c>
      <c r="I4" s="20" t="inlineStr">
        <is>
          <t>Jul-27</t>
        </is>
      </c>
      <c r="J4" s="20" t="inlineStr">
        <is>
          <t>Aug-27</t>
        </is>
      </c>
      <c r="K4" s="20" t="inlineStr">
        <is>
          <t>Sep-27</t>
        </is>
      </c>
      <c r="L4" s="20" t="inlineStr">
        <is>
          <t>Oct-27</t>
        </is>
      </c>
      <c r="M4" s="20" t="inlineStr">
        <is>
          <t>Nov-27</t>
        </is>
      </c>
      <c r="N4" s="20" t="inlineStr">
        <is>
          <t>Dec-27</t>
        </is>
      </c>
      <c r="O4" s="20" t="inlineStr">
        <is>
          <t>Jan-28</t>
        </is>
      </c>
      <c r="P4" s="20" t="inlineStr">
        <is>
          <t>Feb-28</t>
        </is>
      </c>
      <c r="Q4" s="20" t="inlineStr">
        <is>
          <t>Mar-28</t>
        </is>
      </c>
      <c r="R4" s="20" t="inlineStr">
        <is>
          <t>Apr-28</t>
        </is>
      </c>
      <c r="S4" s="20" t="inlineStr">
        <is>
          <t>May-28</t>
        </is>
      </c>
      <c r="T4" s="20" t="inlineStr">
        <is>
          <t>Jun-28</t>
        </is>
      </c>
      <c r="U4" s="20" t="inlineStr">
        <is>
          <t>Jul-28</t>
        </is>
      </c>
      <c r="V4" s="20" t="inlineStr">
        <is>
          <t>Aug-28</t>
        </is>
      </c>
      <c r="W4" s="20" t="inlineStr">
        <is>
          <t>Sep-28</t>
        </is>
      </c>
      <c r="X4" s="20" t="inlineStr">
        <is>
          <t>Oct-28</t>
        </is>
      </c>
      <c r="Y4" s="20" t="inlineStr">
        <is>
          <t>Nov-28</t>
        </is>
      </c>
      <c r="Z4" s="20" t="inlineStr">
        <is>
          <t>Dec-28</t>
        </is>
      </c>
      <c r="AA4" s="20" t="inlineStr">
        <is>
          <t>Jan-29</t>
        </is>
      </c>
      <c r="AB4" s="20" t="inlineStr">
        <is>
          <t>Feb-29</t>
        </is>
      </c>
      <c r="AC4" s="20" t="inlineStr">
        <is>
          <t>Mar-29</t>
        </is>
      </c>
      <c r="AD4" s="20" t="inlineStr">
        <is>
          <t>Apr-29</t>
        </is>
      </c>
      <c r="AE4" s="20" t="inlineStr">
        <is>
          <t>May-29</t>
        </is>
      </c>
      <c r="AF4" s="20" t="inlineStr">
        <is>
          <t>Jun-29</t>
        </is>
      </c>
      <c r="AG4" s="20" t="inlineStr">
        <is>
          <t>Jul-29</t>
        </is>
      </c>
      <c r="AH4" s="20" t="inlineStr">
        <is>
          <t>Aug-29</t>
        </is>
      </c>
      <c r="AI4" s="20" t="inlineStr">
        <is>
          <t>Sep-29</t>
        </is>
      </c>
      <c r="AJ4" s="20" t="inlineStr">
        <is>
          <t>Oct-29</t>
        </is>
      </c>
      <c r="AK4" s="20" t="inlineStr">
        <is>
          <t>Nov-29</t>
        </is>
      </c>
      <c r="AL4" s="20" t="inlineStr">
        <is>
          <t>Dec-29</t>
        </is>
      </c>
    </row>
    <row r="5">
      <c r="A5" s="4" t="inlineStr">
        <is>
          <t>ACQUISITION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</row>
    <row r="6">
      <c r="A6" s="6" t="inlineStr">
        <is>
          <t>Installs: organic / SEO / ASO</t>
        </is>
      </c>
      <c r="B6" s="2" t="inlineStr">
        <is>
          <t>inst_org</t>
        </is>
      </c>
      <c r="C6" s="17">
        <f>(Assumptions!$E$13*((1+Assumptions!$E$14)^(C$2-1)))</f>
        <v/>
      </c>
      <c r="D6" s="17">
        <f>(Assumptions!$E$13*((1+Assumptions!$E$14)^(D$2-1)))</f>
        <v/>
      </c>
      <c r="E6" s="17">
        <f>(Assumptions!$E$13*((1+Assumptions!$E$14)^(E$2-1)))</f>
        <v/>
      </c>
      <c r="F6" s="17">
        <f>(Assumptions!$E$13*((1+Assumptions!$E$14)^(F$2-1)))</f>
        <v/>
      </c>
      <c r="G6" s="17">
        <f>(Assumptions!$E$13*((1+Assumptions!$E$14)^(G$2-1)))</f>
        <v/>
      </c>
      <c r="H6" s="17">
        <f>(Assumptions!$E$13*((1+Assumptions!$E$14)^(H$2-1)))</f>
        <v/>
      </c>
      <c r="I6" s="17">
        <f>(Assumptions!$E$13*((1+Assumptions!$E$14)^(I$2-1)))</f>
        <v/>
      </c>
      <c r="J6" s="17">
        <f>(Assumptions!$E$13*((1+Assumptions!$E$14)^(J$2-1)))</f>
        <v/>
      </c>
      <c r="K6" s="17">
        <f>(Assumptions!$E$13*((1+Assumptions!$E$14)^(K$2-1)))</f>
        <v/>
      </c>
      <c r="L6" s="17">
        <f>(Assumptions!$E$13*((1+Assumptions!$E$14)^(L$2-1)))</f>
        <v/>
      </c>
      <c r="M6" s="17">
        <f>(Assumptions!$E$13*((1+Assumptions!$E$14)^(M$2-1)))</f>
        <v/>
      </c>
      <c r="N6" s="17">
        <f>(Assumptions!$E$13*((1+Assumptions!$E$14)^(N$2-1)))</f>
        <v/>
      </c>
      <c r="O6" s="17">
        <f>(Assumptions!$E$13*((1+Assumptions!$E$14)^(O$2-1)))</f>
        <v/>
      </c>
      <c r="P6" s="17">
        <f>(Assumptions!$E$13*((1+Assumptions!$E$14)^(P$2-1)))</f>
        <v/>
      </c>
      <c r="Q6" s="17">
        <f>(Assumptions!$E$13*((1+Assumptions!$E$14)^(Q$2-1)))</f>
        <v/>
      </c>
      <c r="R6" s="17">
        <f>(Assumptions!$E$13*((1+Assumptions!$E$14)^(R$2-1)))</f>
        <v/>
      </c>
      <c r="S6" s="17">
        <f>(Assumptions!$E$13*((1+Assumptions!$E$14)^(S$2-1)))</f>
        <v/>
      </c>
      <c r="T6" s="17">
        <f>(Assumptions!$E$13*((1+Assumptions!$E$14)^(T$2-1)))</f>
        <v/>
      </c>
      <c r="U6" s="17">
        <f>(Assumptions!$E$13*((1+Assumptions!$E$14)^(U$2-1)))</f>
        <v/>
      </c>
      <c r="V6" s="17">
        <f>(Assumptions!$E$13*((1+Assumptions!$E$14)^(V$2-1)))</f>
        <v/>
      </c>
      <c r="W6" s="17">
        <f>(Assumptions!$E$13*((1+Assumptions!$E$14)^(W$2-1)))</f>
        <v/>
      </c>
      <c r="X6" s="17">
        <f>(Assumptions!$E$13*((1+Assumptions!$E$14)^(X$2-1)))</f>
        <v/>
      </c>
      <c r="Y6" s="17">
        <f>(Assumptions!$E$13*((1+Assumptions!$E$14)^(Y$2-1)))</f>
        <v/>
      </c>
      <c r="Z6" s="17">
        <f>(Assumptions!$E$13*((1+Assumptions!$E$14)^(Z$2-1)))</f>
        <v/>
      </c>
      <c r="AA6" s="17">
        <f>(Assumptions!$E$13*((1+Assumptions!$E$14)^(AA$2-1)))</f>
        <v/>
      </c>
      <c r="AB6" s="17">
        <f>(Assumptions!$E$13*((1+Assumptions!$E$14)^(AB$2-1)))</f>
        <v/>
      </c>
      <c r="AC6" s="17">
        <f>(Assumptions!$E$13*((1+Assumptions!$E$14)^(AC$2-1)))</f>
        <v/>
      </c>
      <c r="AD6" s="17">
        <f>(Assumptions!$E$13*((1+Assumptions!$E$14)^(AD$2-1)))</f>
        <v/>
      </c>
      <c r="AE6" s="17">
        <f>(Assumptions!$E$13*((1+Assumptions!$E$14)^(AE$2-1)))</f>
        <v/>
      </c>
      <c r="AF6" s="17">
        <f>(Assumptions!$E$13*((1+Assumptions!$E$14)^(AF$2-1)))</f>
        <v/>
      </c>
      <c r="AG6" s="17">
        <f>(Assumptions!$E$13*((1+Assumptions!$E$14)^(AG$2-1)))</f>
        <v/>
      </c>
      <c r="AH6" s="17">
        <f>(Assumptions!$E$13*((1+Assumptions!$E$14)^(AH$2-1)))</f>
        <v/>
      </c>
      <c r="AI6" s="17">
        <f>(Assumptions!$E$13*((1+Assumptions!$E$14)^(AI$2-1)))</f>
        <v/>
      </c>
      <c r="AJ6" s="17">
        <f>(Assumptions!$E$13*((1+Assumptions!$E$14)^(AJ$2-1)))</f>
        <v/>
      </c>
      <c r="AK6" s="17">
        <f>(Assumptions!$E$13*((1+Assumptions!$E$14)^(AK$2-1)))</f>
        <v/>
      </c>
      <c r="AL6" s="17">
        <f>(Assumptions!$E$13*((1+Assumptions!$E$14)^(AL$2-1)))</f>
        <v/>
      </c>
    </row>
    <row r="7">
      <c r="A7" s="6" t="inlineStr">
        <is>
          <t>Installs: referral (x prior-month MAU)</t>
        </is>
      </c>
      <c r="B7" s="2" t="inlineStr">
        <is>
          <t>inst_ref</t>
        </is>
      </c>
      <c r="C7" s="17">
        <f>(Assumptions!$E$15*0)</f>
        <v/>
      </c>
      <c r="D7" s="17">
        <f>(Assumptions!$E$15*C36)</f>
        <v/>
      </c>
      <c r="E7" s="17">
        <f>(Assumptions!$E$15*D36)</f>
        <v/>
      </c>
      <c r="F7" s="17">
        <f>(Assumptions!$E$15*E36)</f>
        <v/>
      </c>
      <c r="G7" s="17">
        <f>(Assumptions!$E$15*F36)</f>
        <v/>
      </c>
      <c r="H7" s="17">
        <f>(Assumptions!$E$15*G36)</f>
        <v/>
      </c>
      <c r="I7" s="17">
        <f>(Assumptions!$E$15*H36)</f>
        <v/>
      </c>
      <c r="J7" s="17">
        <f>(Assumptions!$E$15*I36)</f>
        <v/>
      </c>
      <c r="K7" s="17">
        <f>(Assumptions!$E$15*J36)</f>
        <v/>
      </c>
      <c r="L7" s="17">
        <f>(Assumptions!$E$15*K36)</f>
        <v/>
      </c>
      <c r="M7" s="17">
        <f>(Assumptions!$E$15*L36)</f>
        <v/>
      </c>
      <c r="N7" s="17">
        <f>(Assumptions!$E$15*M36)</f>
        <v/>
      </c>
      <c r="O7" s="17">
        <f>(Assumptions!$E$15*N36)</f>
        <v/>
      </c>
      <c r="P7" s="17">
        <f>(Assumptions!$E$15*O36)</f>
        <v/>
      </c>
      <c r="Q7" s="17">
        <f>(Assumptions!$E$15*P36)</f>
        <v/>
      </c>
      <c r="R7" s="17">
        <f>(Assumptions!$E$15*Q36)</f>
        <v/>
      </c>
      <c r="S7" s="17">
        <f>(Assumptions!$E$15*R36)</f>
        <v/>
      </c>
      <c r="T7" s="17">
        <f>(Assumptions!$E$15*S36)</f>
        <v/>
      </c>
      <c r="U7" s="17">
        <f>(Assumptions!$E$15*T36)</f>
        <v/>
      </c>
      <c r="V7" s="17">
        <f>(Assumptions!$E$15*U36)</f>
        <v/>
      </c>
      <c r="W7" s="17">
        <f>(Assumptions!$E$15*V36)</f>
        <v/>
      </c>
      <c r="X7" s="17">
        <f>(Assumptions!$E$15*W36)</f>
        <v/>
      </c>
      <c r="Y7" s="17">
        <f>(Assumptions!$E$15*X36)</f>
        <v/>
      </c>
      <c r="Z7" s="17">
        <f>(Assumptions!$E$15*Y36)</f>
        <v/>
      </c>
      <c r="AA7" s="17">
        <f>(Assumptions!$E$15*Z36)</f>
        <v/>
      </c>
      <c r="AB7" s="17">
        <f>(Assumptions!$E$15*AA36)</f>
        <v/>
      </c>
      <c r="AC7" s="17">
        <f>(Assumptions!$E$15*AB36)</f>
        <v/>
      </c>
      <c r="AD7" s="17">
        <f>(Assumptions!$E$15*AC36)</f>
        <v/>
      </c>
      <c r="AE7" s="17">
        <f>(Assumptions!$E$15*AD36)</f>
        <v/>
      </c>
      <c r="AF7" s="17">
        <f>(Assumptions!$E$15*AE36)</f>
        <v/>
      </c>
      <c r="AG7" s="17">
        <f>(Assumptions!$E$15*AF36)</f>
        <v/>
      </c>
      <c r="AH7" s="17">
        <f>(Assumptions!$E$15*AG36)</f>
        <v/>
      </c>
      <c r="AI7" s="17">
        <f>(Assumptions!$E$15*AH36)</f>
        <v/>
      </c>
      <c r="AJ7" s="17">
        <f>(Assumptions!$E$15*AI36)</f>
        <v/>
      </c>
      <c r="AK7" s="17">
        <f>(Assumptions!$E$15*AJ36)</f>
        <v/>
      </c>
      <c r="AL7" s="17">
        <f>(Assumptions!$E$15*AK36)</f>
        <v/>
      </c>
    </row>
    <row r="8">
      <c r="A8" s="6" t="inlineStr">
        <is>
          <t>Creator spend</t>
        </is>
      </c>
      <c r="B8" s="2" t="inlineStr">
        <is>
          <t>spend_creators</t>
        </is>
      </c>
      <c r="C8" s="14">
        <f>IF((C$2&gt;=Assumptions!$E$16),(Assumptions!$E$17*((1+Assumptions!$E$18)^(C$2-Assumptions!$E$16))),0)</f>
        <v/>
      </c>
      <c r="D8" s="14">
        <f>IF((D$2&gt;=Assumptions!$E$16),(Assumptions!$E$17*((1+Assumptions!$E$18)^(D$2-Assumptions!$E$16))),0)</f>
        <v/>
      </c>
      <c r="E8" s="14">
        <f>IF((E$2&gt;=Assumptions!$E$16),(Assumptions!$E$17*((1+Assumptions!$E$18)^(E$2-Assumptions!$E$16))),0)</f>
        <v/>
      </c>
      <c r="F8" s="14">
        <f>IF((F$2&gt;=Assumptions!$E$16),(Assumptions!$E$17*((1+Assumptions!$E$18)^(F$2-Assumptions!$E$16))),0)</f>
        <v/>
      </c>
      <c r="G8" s="14">
        <f>IF((G$2&gt;=Assumptions!$E$16),(Assumptions!$E$17*((1+Assumptions!$E$18)^(G$2-Assumptions!$E$16))),0)</f>
        <v/>
      </c>
      <c r="H8" s="14">
        <f>IF((H$2&gt;=Assumptions!$E$16),(Assumptions!$E$17*((1+Assumptions!$E$18)^(H$2-Assumptions!$E$16))),0)</f>
        <v/>
      </c>
      <c r="I8" s="14">
        <f>IF((I$2&gt;=Assumptions!$E$16),(Assumptions!$E$17*((1+Assumptions!$E$18)^(I$2-Assumptions!$E$16))),0)</f>
        <v/>
      </c>
      <c r="J8" s="14">
        <f>IF((J$2&gt;=Assumptions!$E$16),(Assumptions!$E$17*((1+Assumptions!$E$18)^(J$2-Assumptions!$E$16))),0)</f>
        <v/>
      </c>
      <c r="K8" s="14">
        <f>IF((K$2&gt;=Assumptions!$E$16),(Assumptions!$E$17*((1+Assumptions!$E$18)^(K$2-Assumptions!$E$16))),0)</f>
        <v/>
      </c>
      <c r="L8" s="14">
        <f>IF((L$2&gt;=Assumptions!$E$16),(Assumptions!$E$17*((1+Assumptions!$E$18)^(L$2-Assumptions!$E$16))),0)</f>
        <v/>
      </c>
      <c r="M8" s="14">
        <f>IF((M$2&gt;=Assumptions!$E$16),(Assumptions!$E$17*((1+Assumptions!$E$18)^(M$2-Assumptions!$E$16))),0)</f>
        <v/>
      </c>
      <c r="N8" s="14">
        <f>IF((N$2&gt;=Assumptions!$E$16),(Assumptions!$E$17*((1+Assumptions!$E$18)^(N$2-Assumptions!$E$16))),0)</f>
        <v/>
      </c>
      <c r="O8" s="14">
        <f>IF((O$2&gt;=Assumptions!$E$16),(Assumptions!$E$17*((1+Assumptions!$E$18)^(O$2-Assumptions!$E$16))),0)</f>
        <v/>
      </c>
      <c r="P8" s="14">
        <f>IF((P$2&gt;=Assumptions!$E$16),(Assumptions!$E$17*((1+Assumptions!$E$18)^(P$2-Assumptions!$E$16))),0)</f>
        <v/>
      </c>
      <c r="Q8" s="14">
        <f>IF((Q$2&gt;=Assumptions!$E$16),(Assumptions!$E$17*((1+Assumptions!$E$18)^(Q$2-Assumptions!$E$16))),0)</f>
        <v/>
      </c>
      <c r="R8" s="14">
        <f>IF((R$2&gt;=Assumptions!$E$16),(Assumptions!$E$17*((1+Assumptions!$E$18)^(R$2-Assumptions!$E$16))),0)</f>
        <v/>
      </c>
      <c r="S8" s="14">
        <f>IF((S$2&gt;=Assumptions!$E$16),(Assumptions!$E$17*((1+Assumptions!$E$18)^(S$2-Assumptions!$E$16))),0)</f>
        <v/>
      </c>
      <c r="T8" s="14">
        <f>IF((T$2&gt;=Assumptions!$E$16),(Assumptions!$E$17*((1+Assumptions!$E$18)^(T$2-Assumptions!$E$16))),0)</f>
        <v/>
      </c>
      <c r="U8" s="14">
        <f>IF((U$2&gt;=Assumptions!$E$16),(Assumptions!$E$17*((1+Assumptions!$E$18)^(U$2-Assumptions!$E$16))),0)</f>
        <v/>
      </c>
      <c r="V8" s="14">
        <f>IF((V$2&gt;=Assumptions!$E$16),(Assumptions!$E$17*((1+Assumptions!$E$18)^(V$2-Assumptions!$E$16))),0)</f>
        <v/>
      </c>
      <c r="W8" s="14">
        <f>IF((W$2&gt;=Assumptions!$E$16),(Assumptions!$E$17*((1+Assumptions!$E$18)^(W$2-Assumptions!$E$16))),0)</f>
        <v/>
      </c>
      <c r="X8" s="14">
        <f>IF((X$2&gt;=Assumptions!$E$16),(Assumptions!$E$17*((1+Assumptions!$E$18)^(X$2-Assumptions!$E$16))),0)</f>
        <v/>
      </c>
      <c r="Y8" s="14">
        <f>IF((Y$2&gt;=Assumptions!$E$16),(Assumptions!$E$17*((1+Assumptions!$E$18)^(Y$2-Assumptions!$E$16))),0)</f>
        <v/>
      </c>
      <c r="Z8" s="14">
        <f>IF((Z$2&gt;=Assumptions!$E$16),(Assumptions!$E$17*((1+Assumptions!$E$18)^(Z$2-Assumptions!$E$16))),0)</f>
        <v/>
      </c>
      <c r="AA8" s="14">
        <f>IF((AA$2&gt;=Assumptions!$E$16),(Assumptions!$E$17*((1+Assumptions!$E$18)^(AA$2-Assumptions!$E$16))),0)</f>
        <v/>
      </c>
      <c r="AB8" s="14">
        <f>IF((AB$2&gt;=Assumptions!$E$16),(Assumptions!$E$17*((1+Assumptions!$E$18)^(AB$2-Assumptions!$E$16))),0)</f>
        <v/>
      </c>
      <c r="AC8" s="14">
        <f>IF((AC$2&gt;=Assumptions!$E$16),(Assumptions!$E$17*((1+Assumptions!$E$18)^(AC$2-Assumptions!$E$16))),0)</f>
        <v/>
      </c>
      <c r="AD8" s="14">
        <f>IF((AD$2&gt;=Assumptions!$E$16),(Assumptions!$E$17*((1+Assumptions!$E$18)^(AD$2-Assumptions!$E$16))),0)</f>
        <v/>
      </c>
      <c r="AE8" s="14">
        <f>IF((AE$2&gt;=Assumptions!$E$16),(Assumptions!$E$17*((1+Assumptions!$E$18)^(AE$2-Assumptions!$E$16))),0)</f>
        <v/>
      </c>
      <c r="AF8" s="14">
        <f>IF((AF$2&gt;=Assumptions!$E$16),(Assumptions!$E$17*((1+Assumptions!$E$18)^(AF$2-Assumptions!$E$16))),0)</f>
        <v/>
      </c>
      <c r="AG8" s="14">
        <f>IF((AG$2&gt;=Assumptions!$E$16),(Assumptions!$E$17*((1+Assumptions!$E$18)^(AG$2-Assumptions!$E$16))),0)</f>
        <v/>
      </c>
      <c r="AH8" s="14">
        <f>IF((AH$2&gt;=Assumptions!$E$16),(Assumptions!$E$17*((1+Assumptions!$E$18)^(AH$2-Assumptions!$E$16))),0)</f>
        <v/>
      </c>
      <c r="AI8" s="14">
        <f>IF((AI$2&gt;=Assumptions!$E$16),(Assumptions!$E$17*((1+Assumptions!$E$18)^(AI$2-Assumptions!$E$16))),0)</f>
        <v/>
      </c>
      <c r="AJ8" s="14">
        <f>IF((AJ$2&gt;=Assumptions!$E$16),(Assumptions!$E$17*((1+Assumptions!$E$18)^(AJ$2-Assumptions!$E$16))),0)</f>
        <v/>
      </c>
      <c r="AK8" s="14">
        <f>IF((AK$2&gt;=Assumptions!$E$16),(Assumptions!$E$17*((1+Assumptions!$E$18)^(AK$2-Assumptions!$E$16))),0)</f>
        <v/>
      </c>
      <c r="AL8" s="14">
        <f>IF((AL$2&gt;=Assumptions!$E$16),(Assumptions!$E$17*((1+Assumptions!$E$18)^(AL$2-Assumptions!$E$16))),0)</f>
        <v/>
      </c>
    </row>
    <row r="9">
      <c r="A9" s="6" t="inlineStr">
        <is>
          <t>Installs: creators</t>
        </is>
      </c>
      <c r="B9" s="2" t="inlineStr">
        <is>
          <t>inst_creators</t>
        </is>
      </c>
      <c r="C9" s="17">
        <f>IF(Assumptions!$E$19=0,0,C8/Assumptions!$E$19)</f>
        <v/>
      </c>
      <c r="D9" s="17">
        <f>IF(Assumptions!$E$19=0,0,D8/Assumptions!$E$19)</f>
        <v/>
      </c>
      <c r="E9" s="17">
        <f>IF(Assumptions!$E$19=0,0,E8/Assumptions!$E$19)</f>
        <v/>
      </c>
      <c r="F9" s="17">
        <f>IF(Assumptions!$E$19=0,0,F8/Assumptions!$E$19)</f>
        <v/>
      </c>
      <c r="G9" s="17">
        <f>IF(Assumptions!$E$19=0,0,G8/Assumptions!$E$19)</f>
        <v/>
      </c>
      <c r="H9" s="17">
        <f>IF(Assumptions!$E$19=0,0,H8/Assumptions!$E$19)</f>
        <v/>
      </c>
      <c r="I9" s="17">
        <f>IF(Assumptions!$E$19=0,0,I8/Assumptions!$E$19)</f>
        <v/>
      </c>
      <c r="J9" s="17">
        <f>IF(Assumptions!$E$19=0,0,J8/Assumptions!$E$19)</f>
        <v/>
      </c>
      <c r="K9" s="17">
        <f>IF(Assumptions!$E$19=0,0,K8/Assumptions!$E$19)</f>
        <v/>
      </c>
      <c r="L9" s="17">
        <f>IF(Assumptions!$E$19=0,0,L8/Assumptions!$E$19)</f>
        <v/>
      </c>
      <c r="M9" s="17">
        <f>IF(Assumptions!$E$19=0,0,M8/Assumptions!$E$19)</f>
        <v/>
      </c>
      <c r="N9" s="17">
        <f>IF(Assumptions!$E$19=0,0,N8/Assumptions!$E$19)</f>
        <v/>
      </c>
      <c r="O9" s="17">
        <f>IF(Assumptions!$E$19=0,0,O8/Assumptions!$E$19)</f>
        <v/>
      </c>
      <c r="P9" s="17">
        <f>IF(Assumptions!$E$19=0,0,P8/Assumptions!$E$19)</f>
        <v/>
      </c>
      <c r="Q9" s="17">
        <f>IF(Assumptions!$E$19=0,0,Q8/Assumptions!$E$19)</f>
        <v/>
      </c>
      <c r="R9" s="17">
        <f>IF(Assumptions!$E$19=0,0,R8/Assumptions!$E$19)</f>
        <v/>
      </c>
      <c r="S9" s="17">
        <f>IF(Assumptions!$E$19=0,0,S8/Assumptions!$E$19)</f>
        <v/>
      </c>
      <c r="T9" s="17">
        <f>IF(Assumptions!$E$19=0,0,T8/Assumptions!$E$19)</f>
        <v/>
      </c>
      <c r="U9" s="17">
        <f>IF(Assumptions!$E$19=0,0,U8/Assumptions!$E$19)</f>
        <v/>
      </c>
      <c r="V9" s="17">
        <f>IF(Assumptions!$E$19=0,0,V8/Assumptions!$E$19)</f>
        <v/>
      </c>
      <c r="W9" s="17">
        <f>IF(Assumptions!$E$19=0,0,W8/Assumptions!$E$19)</f>
        <v/>
      </c>
      <c r="X9" s="17">
        <f>IF(Assumptions!$E$19=0,0,X8/Assumptions!$E$19)</f>
        <v/>
      </c>
      <c r="Y9" s="17">
        <f>IF(Assumptions!$E$19=0,0,Y8/Assumptions!$E$19)</f>
        <v/>
      </c>
      <c r="Z9" s="17">
        <f>IF(Assumptions!$E$19=0,0,Z8/Assumptions!$E$19)</f>
        <v/>
      </c>
      <c r="AA9" s="17">
        <f>IF(Assumptions!$E$19=0,0,AA8/Assumptions!$E$19)</f>
        <v/>
      </c>
      <c r="AB9" s="17">
        <f>IF(Assumptions!$E$19=0,0,AB8/Assumptions!$E$19)</f>
        <v/>
      </c>
      <c r="AC9" s="17">
        <f>IF(Assumptions!$E$19=0,0,AC8/Assumptions!$E$19)</f>
        <v/>
      </c>
      <c r="AD9" s="17">
        <f>IF(Assumptions!$E$19=0,0,AD8/Assumptions!$E$19)</f>
        <v/>
      </c>
      <c r="AE9" s="17">
        <f>IF(Assumptions!$E$19=0,0,AE8/Assumptions!$E$19)</f>
        <v/>
      </c>
      <c r="AF9" s="17">
        <f>IF(Assumptions!$E$19=0,0,AF8/Assumptions!$E$19)</f>
        <v/>
      </c>
      <c r="AG9" s="17">
        <f>IF(Assumptions!$E$19=0,0,AG8/Assumptions!$E$19)</f>
        <v/>
      </c>
      <c r="AH9" s="17">
        <f>IF(Assumptions!$E$19=0,0,AH8/Assumptions!$E$19)</f>
        <v/>
      </c>
      <c r="AI9" s="17">
        <f>IF(Assumptions!$E$19=0,0,AI8/Assumptions!$E$19)</f>
        <v/>
      </c>
      <c r="AJ9" s="17">
        <f>IF(Assumptions!$E$19=0,0,AJ8/Assumptions!$E$19)</f>
        <v/>
      </c>
      <c r="AK9" s="17">
        <f>IF(Assumptions!$E$19=0,0,AK8/Assumptions!$E$19)</f>
        <v/>
      </c>
      <c r="AL9" s="17">
        <f>IF(Assumptions!$E$19=0,0,AL8/Assumptions!$E$19)</f>
        <v/>
      </c>
    </row>
    <row r="10">
      <c r="A10" s="6" t="inlineStr">
        <is>
          <t>Apple Search Ads spend</t>
        </is>
      </c>
      <c r="B10" s="2" t="inlineStr">
        <is>
          <t>spend_asa</t>
        </is>
      </c>
      <c r="C10" s="14">
        <f>IF((C$2&gt;=Assumptions!$E$20),(Assumptions!$E$21*((1+Assumptions!$E$22)^(C$2-Assumptions!$E$20))),0)</f>
        <v/>
      </c>
      <c r="D10" s="14">
        <f>IF((D$2&gt;=Assumptions!$E$20),(Assumptions!$E$21*((1+Assumptions!$E$22)^(D$2-Assumptions!$E$20))),0)</f>
        <v/>
      </c>
      <c r="E10" s="14">
        <f>IF((E$2&gt;=Assumptions!$E$20),(Assumptions!$E$21*((1+Assumptions!$E$22)^(E$2-Assumptions!$E$20))),0)</f>
        <v/>
      </c>
      <c r="F10" s="14">
        <f>IF((F$2&gt;=Assumptions!$E$20),(Assumptions!$E$21*((1+Assumptions!$E$22)^(F$2-Assumptions!$E$20))),0)</f>
        <v/>
      </c>
      <c r="G10" s="14">
        <f>IF((G$2&gt;=Assumptions!$E$20),(Assumptions!$E$21*((1+Assumptions!$E$22)^(G$2-Assumptions!$E$20))),0)</f>
        <v/>
      </c>
      <c r="H10" s="14">
        <f>IF((H$2&gt;=Assumptions!$E$20),(Assumptions!$E$21*((1+Assumptions!$E$22)^(H$2-Assumptions!$E$20))),0)</f>
        <v/>
      </c>
      <c r="I10" s="14">
        <f>IF((I$2&gt;=Assumptions!$E$20),(Assumptions!$E$21*((1+Assumptions!$E$22)^(I$2-Assumptions!$E$20))),0)</f>
        <v/>
      </c>
      <c r="J10" s="14">
        <f>IF((J$2&gt;=Assumptions!$E$20),(Assumptions!$E$21*((1+Assumptions!$E$22)^(J$2-Assumptions!$E$20))),0)</f>
        <v/>
      </c>
      <c r="K10" s="14">
        <f>IF((K$2&gt;=Assumptions!$E$20),(Assumptions!$E$21*((1+Assumptions!$E$22)^(K$2-Assumptions!$E$20))),0)</f>
        <v/>
      </c>
      <c r="L10" s="14">
        <f>IF((L$2&gt;=Assumptions!$E$20),(Assumptions!$E$21*((1+Assumptions!$E$22)^(L$2-Assumptions!$E$20))),0)</f>
        <v/>
      </c>
      <c r="M10" s="14">
        <f>IF((M$2&gt;=Assumptions!$E$20),(Assumptions!$E$21*((1+Assumptions!$E$22)^(M$2-Assumptions!$E$20))),0)</f>
        <v/>
      </c>
      <c r="N10" s="14">
        <f>IF((N$2&gt;=Assumptions!$E$20),(Assumptions!$E$21*((1+Assumptions!$E$22)^(N$2-Assumptions!$E$20))),0)</f>
        <v/>
      </c>
      <c r="O10" s="14">
        <f>IF((O$2&gt;=Assumptions!$E$20),(Assumptions!$E$21*((1+Assumptions!$E$22)^(O$2-Assumptions!$E$20))),0)</f>
        <v/>
      </c>
      <c r="P10" s="14">
        <f>IF((P$2&gt;=Assumptions!$E$20),(Assumptions!$E$21*((1+Assumptions!$E$22)^(P$2-Assumptions!$E$20))),0)</f>
        <v/>
      </c>
      <c r="Q10" s="14">
        <f>IF((Q$2&gt;=Assumptions!$E$20),(Assumptions!$E$21*((1+Assumptions!$E$22)^(Q$2-Assumptions!$E$20))),0)</f>
        <v/>
      </c>
      <c r="R10" s="14">
        <f>IF((R$2&gt;=Assumptions!$E$20),(Assumptions!$E$21*((1+Assumptions!$E$22)^(R$2-Assumptions!$E$20))),0)</f>
        <v/>
      </c>
      <c r="S10" s="14">
        <f>IF((S$2&gt;=Assumptions!$E$20),(Assumptions!$E$21*((1+Assumptions!$E$22)^(S$2-Assumptions!$E$20))),0)</f>
        <v/>
      </c>
      <c r="T10" s="14">
        <f>IF((T$2&gt;=Assumptions!$E$20),(Assumptions!$E$21*((1+Assumptions!$E$22)^(T$2-Assumptions!$E$20))),0)</f>
        <v/>
      </c>
      <c r="U10" s="14">
        <f>IF((U$2&gt;=Assumptions!$E$20),(Assumptions!$E$21*((1+Assumptions!$E$22)^(U$2-Assumptions!$E$20))),0)</f>
        <v/>
      </c>
      <c r="V10" s="14">
        <f>IF((V$2&gt;=Assumptions!$E$20),(Assumptions!$E$21*((1+Assumptions!$E$22)^(V$2-Assumptions!$E$20))),0)</f>
        <v/>
      </c>
      <c r="W10" s="14">
        <f>IF((W$2&gt;=Assumptions!$E$20),(Assumptions!$E$21*((1+Assumptions!$E$22)^(W$2-Assumptions!$E$20))),0)</f>
        <v/>
      </c>
      <c r="X10" s="14">
        <f>IF((X$2&gt;=Assumptions!$E$20),(Assumptions!$E$21*((1+Assumptions!$E$22)^(X$2-Assumptions!$E$20))),0)</f>
        <v/>
      </c>
      <c r="Y10" s="14">
        <f>IF((Y$2&gt;=Assumptions!$E$20),(Assumptions!$E$21*((1+Assumptions!$E$22)^(Y$2-Assumptions!$E$20))),0)</f>
        <v/>
      </c>
      <c r="Z10" s="14">
        <f>IF((Z$2&gt;=Assumptions!$E$20),(Assumptions!$E$21*((1+Assumptions!$E$22)^(Z$2-Assumptions!$E$20))),0)</f>
        <v/>
      </c>
      <c r="AA10" s="14">
        <f>IF((AA$2&gt;=Assumptions!$E$20),(Assumptions!$E$21*((1+Assumptions!$E$22)^(AA$2-Assumptions!$E$20))),0)</f>
        <v/>
      </c>
      <c r="AB10" s="14">
        <f>IF((AB$2&gt;=Assumptions!$E$20),(Assumptions!$E$21*((1+Assumptions!$E$22)^(AB$2-Assumptions!$E$20))),0)</f>
        <v/>
      </c>
      <c r="AC10" s="14">
        <f>IF((AC$2&gt;=Assumptions!$E$20),(Assumptions!$E$21*((1+Assumptions!$E$22)^(AC$2-Assumptions!$E$20))),0)</f>
        <v/>
      </c>
      <c r="AD10" s="14">
        <f>IF((AD$2&gt;=Assumptions!$E$20),(Assumptions!$E$21*((1+Assumptions!$E$22)^(AD$2-Assumptions!$E$20))),0)</f>
        <v/>
      </c>
      <c r="AE10" s="14">
        <f>IF((AE$2&gt;=Assumptions!$E$20),(Assumptions!$E$21*((1+Assumptions!$E$22)^(AE$2-Assumptions!$E$20))),0)</f>
        <v/>
      </c>
      <c r="AF10" s="14">
        <f>IF((AF$2&gt;=Assumptions!$E$20),(Assumptions!$E$21*((1+Assumptions!$E$22)^(AF$2-Assumptions!$E$20))),0)</f>
        <v/>
      </c>
      <c r="AG10" s="14">
        <f>IF((AG$2&gt;=Assumptions!$E$20),(Assumptions!$E$21*((1+Assumptions!$E$22)^(AG$2-Assumptions!$E$20))),0)</f>
        <v/>
      </c>
      <c r="AH10" s="14">
        <f>IF((AH$2&gt;=Assumptions!$E$20),(Assumptions!$E$21*((1+Assumptions!$E$22)^(AH$2-Assumptions!$E$20))),0)</f>
        <v/>
      </c>
      <c r="AI10" s="14">
        <f>IF((AI$2&gt;=Assumptions!$E$20),(Assumptions!$E$21*((1+Assumptions!$E$22)^(AI$2-Assumptions!$E$20))),0)</f>
        <v/>
      </c>
      <c r="AJ10" s="14">
        <f>IF((AJ$2&gt;=Assumptions!$E$20),(Assumptions!$E$21*((1+Assumptions!$E$22)^(AJ$2-Assumptions!$E$20))),0)</f>
        <v/>
      </c>
      <c r="AK10" s="14">
        <f>IF((AK$2&gt;=Assumptions!$E$20),(Assumptions!$E$21*((1+Assumptions!$E$22)^(AK$2-Assumptions!$E$20))),0)</f>
        <v/>
      </c>
      <c r="AL10" s="14">
        <f>IF((AL$2&gt;=Assumptions!$E$20),(Assumptions!$E$21*((1+Assumptions!$E$22)^(AL$2-Assumptions!$E$20))),0)</f>
        <v/>
      </c>
    </row>
    <row r="11">
      <c r="A11" s="6" t="inlineStr">
        <is>
          <t>Installs: paid Apple Search Ads</t>
        </is>
      </c>
      <c r="B11" s="2" t="inlineStr">
        <is>
          <t>inst_asa</t>
        </is>
      </c>
      <c r="C11" s="17">
        <f>IF(Assumptions!$E$23=0,0,C10/Assumptions!$E$23)</f>
        <v/>
      </c>
      <c r="D11" s="17">
        <f>IF(Assumptions!$E$23=0,0,D10/Assumptions!$E$23)</f>
        <v/>
      </c>
      <c r="E11" s="17">
        <f>IF(Assumptions!$E$23=0,0,E10/Assumptions!$E$23)</f>
        <v/>
      </c>
      <c r="F11" s="17">
        <f>IF(Assumptions!$E$23=0,0,F10/Assumptions!$E$23)</f>
        <v/>
      </c>
      <c r="G11" s="17">
        <f>IF(Assumptions!$E$23=0,0,G10/Assumptions!$E$23)</f>
        <v/>
      </c>
      <c r="H11" s="17">
        <f>IF(Assumptions!$E$23=0,0,H10/Assumptions!$E$23)</f>
        <v/>
      </c>
      <c r="I11" s="17">
        <f>IF(Assumptions!$E$23=0,0,I10/Assumptions!$E$23)</f>
        <v/>
      </c>
      <c r="J11" s="17">
        <f>IF(Assumptions!$E$23=0,0,J10/Assumptions!$E$23)</f>
        <v/>
      </c>
      <c r="K11" s="17">
        <f>IF(Assumptions!$E$23=0,0,K10/Assumptions!$E$23)</f>
        <v/>
      </c>
      <c r="L11" s="17">
        <f>IF(Assumptions!$E$23=0,0,L10/Assumptions!$E$23)</f>
        <v/>
      </c>
      <c r="M11" s="17">
        <f>IF(Assumptions!$E$23=0,0,M10/Assumptions!$E$23)</f>
        <v/>
      </c>
      <c r="N11" s="17">
        <f>IF(Assumptions!$E$23=0,0,N10/Assumptions!$E$23)</f>
        <v/>
      </c>
      <c r="O11" s="17">
        <f>IF(Assumptions!$E$23=0,0,O10/Assumptions!$E$23)</f>
        <v/>
      </c>
      <c r="P11" s="17">
        <f>IF(Assumptions!$E$23=0,0,P10/Assumptions!$E$23)</f>
        <v/>
      </c>
      <c r="Q11" s="17">
        <f>IF(Assumptions!$E$23=0,0,Q10/Assumptions!$E$23)</f>
        <v/>
      </c>
      <c r="R11" s="17">
        <f>IF(Assumptions!$E$23=0,0,R10/Assumptions!$E$23)</f>
        <v/>
      </c>
      <c r="S11" s="17">
        <f>IF(Assumptions!$E$23=0,0,S10/Assumptions!$E$23)</f>
        <v/>
      </c>
      <c r="T11" s="17">
        <f>IF(Assumptions!$E$23=0,0,T10/Assumptions!$E$23)</f>
        <v/>
      </c>
      <c r="U11" s="17">
        <f>IF(Assumptions!$E$23=0,0,U10/Assumptions!$E$23)</f>
        <v/>
      </c>
      <c r="V11" s="17">
        <f>IF(Assumptions!$E$23=0,0,V10/Assumptions!$E$23)</f>
        <v/>
      </c>
      <c r="W11" s="17">
        <f>IF(Assumptions!$E$23=0,0,W10/Assumptions!$E$23)</f>
        <v/>
      </c>
      <c r="X11" s="17">
        <f>IF(Assumptions!$E$23=0,0,X10/Assumptions!$E$23)</f>
        <v/>
      </c>
      <c r="Y11" s="17">
        <f>IF(Assumptions!$E$23=0,0,Y10/Assumptions!$E$23)</f>
        <v/>
      </c>
      <c r="Z11" s="17">
        <f>IF(Assumptions!$E$23=0,0,Z10/Assumptions!$E$23)</f>
        <v/>
      </c>
      <c r="AA11" s="17">
        <f>IF(Assumptions!$E$23=0,0,AA10/Assumptions!$E$23)</f>
        <v/>
      </c>
      <c r="AB11" s="17">
        <f>IF(Assumptions!$E$23=0,0,AB10/Assumptions!$E$23)</f>
        <v/>
      </c>
      <c r="AC11" s="17">
        <f>IF(Assumptions!$E$23=0,0,AC10/Assumptions!$E$23)</f>
        <v/>
      </c>
      <c r="AD11" s="17">
        <f>IF(Assumptions!$E$23=0,0,AD10/Assumptions!$E$23)</f>
        <v/>
      </c>
      <c r="AE11" s="17">
        <f>IF(Assumptions!$E$23=0,0,AE10/Assumptions!$E$23)</f>
        <v/>
      </c>
      <c r="AF11" s="17">
        <f>IF(Assumptions!$E$23=0,0,AF10/Assumptions!$E$23)</f>
        <v/>
      </c>
      <c r="AG11" s="17">
        <f>IF(Assumptions!$E$23=0,0,AG10/Assumptions!$E$23)</f>
        <v/>
      </c>
      <c r="AH11" s="17">
        <f>IF(Assumptions!$E$23=0,0,AH10/Assumptions!$E$23)</f>
        <v/>
      </c>
      <c r="AI11" s="17">
        <f>IF(Assumptions!$E$23=0,0,AI10/Assumptions!$E$23)</f>
        <v/>
      </c>
      <c r="AJ11" s="17">
        <f>IF(Assumptions!$E$23=0,0,AJ10/Assumptions!$E$23)</f>
        <v/>
      </c>
      <c r="AK11" s="17">
        <f>IF(Assumptions!$E$23=0,0,AK10/Assumptions!$E$23)</f>
        <v/>
      </c>
      <c r="AL11" s="17">
        <f>IF(Assumptions!$E$23=0,0,AL10/Assumptions!$E$23)</f>
        <v/>
      </c>
    </row>
    <row r="12">
      <c r="A12" s="21" t="inlineStr">
        <is>
          <t>Total installs</t>
        </is>
      </c>
      <c r="B12" s="2" t="inlineStr">
        <is>
          <t>inst_total</t>
        </is>
      </c>
      <c r="C12" s="22">
        <f>(((C6+C7)+C9)+C11)</f>
        <v/>
      </c>
      <c r="D12" s="22">
        <f>(((D6+D7)+D9)+D11)</f>
        <v/>
      </c>
      <c r="E12" s="22">
        <f>(((E6+E7)+E9)+E11)</f>
        <v/>
      </c>
      <c r="F12" s="22">
        <f>(((F6+F7)+F9)+F11)</f>
        <v/>
      </c>
      <c r="G12" s="22">
        <f>(((G6+G7)+G9)+G11)</f>
        <v/>
      </c>
      <c r="H12" s="22">
        <f>(((H6+H7)+H9)+H11)</f>
        <v/>
      </c>
      <c r="I12" s="22">
        <f>(((I6+I7)+I9)+I11)</f>
        <v/>
      </c>
      <c r="J12" s="22">
        <f>(((J6+J7)+J9)+J11)</f>
        <v/>
      </c>
      <c r="K12" s="22">
        <f>(((K6+K7)+K9)+K11)</f>
        <v/>
      </c>
      <c r="L12" s="22">
        <f>(((L6+L7)+L9)+L11)</f>
        <v/>
      </c>
      <c r="M12" s="22">
        <f>(((M6+M7)+M9)+M11)</f>
        <v/>
      </c>
      <c r="N12" s="22">
        <f>(((N6+N7)+N9)+N11)</f>
        <v/>
      </c>
      <c r="O12" s="22">
        <f>(((O6+O7)+O9)+O11)</f>
        <v/>
      </c>
      <c r="P12" s="22">
        <f>(((P6+P7)+P9)+P11)</f>
        <v/>
      </c>
      <c r="Q12" s="22">
        <f>(((Q6+Q7)+Q9)+Q11)</f>
        <v/>
      </c>
      <c r="R12" s="22">
        <f>(((R6+R7)+R9)+R11)</f>
        <v/>
      </c>
      <c r="S12" s="22">
        <f>(((S6+S7)+S9)+S11)</f>
        <v/>
      </c>
      <c r="T12" s="22">
        <f>(((T6+T7)+T9)+T11)</f>
        <v/>
      </c>
      <c r="U12" s="22">
        <f>(((U6+U7)+U9)+U11)</f>
        <v/>
      </c>
      <c r="V12" s="22">
        <f>(((V6+V7)+V9)+V11)</f>
        <v/>
      </c>
      <c r="W12" s="22">
        <f>(((W6+W7)+W9)+W11)</f>
        <v/>
      </c>
      <c r="X12" s="22">
        <f>(((X6+X7)+X9)+X11)</f>
        <v/>
      </c>
      <c r="Y12" s="22">
        <f>(((Y6+Y7)+Y9)+Y11)</f>
        <v/>
      </c>
      <c r="Z12" s="22">
        <f>(((Z6+Z7)+Z9)+Z11)</f>
        <v/>
      </c>
      <c r="AA12" s="22">
        <f>(((AA6+AA7)+AA9)+AA11)</f>
        <v/>
      </c>
      <c r="AB12" s="22">
        <f>(((AB6+AB7)+AB9)+AB11)</f>
        <v/>
      </c>
      <c r="AC12" s="22">
        <f>(((AC6+AC7)+AC9)+AC11)</f>
        <v/>
      </c>
      <c r="AD12" s="22">
        <f>(((AD6+AD7)+AD9)+AD11)</f>
        <v/>
      </c>
      <c r="AE12" s="22">
        <f>(((AE6+AE7)+AE9)+AE11)</f>
        <v/>
      </c>
      <c r="AF12" s="22">
        <f>(((AF6+AF7)+AF9)+AF11)</f>
        <v/>
      </c>
      <c r="AG12" s="22">
        <f>(((AG6+AG7)+AG9)+AG11)</f>
        <v/>
      </c>
      <c r="AH12" s="22">
        <f>(((AH6+AH7)+AH9)+AH11)</f>
        <v/>
      </c>
      <c r="AI12" s="22">
        <f>(((AI6+AI7)+AI9)+AI11)</f>
        <v/>
      </c>
      <c r="AJ12" s="22">
        <f>(((AJ6+AJ7)+AJ9)+AJ11)</f>
        <v/>
      </c>
      <c r="AK12" s="22">
        <f>(((AK6+AK7)+AK9)+AK11)</f>
        <v/>
      </c>
      <c r="AL12" s="22">
        <f>(((AL6+AL7)+AL9)+AL11)</f>
        <v/>
      </c>
    </row>
    <row r="14">
      <c r="A14" s="4" t="inlineStr">
        <is>
          <t>FUNNEL (free -&gt; trial -&gt; paid)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</row>
    <row r="15">
      <c r="A15" s="6" t="inlineStr">
        <is>
          <t>Activated users</t>
        </is>
      </c>
      <c r="B15" s="2" t="inlineStr">
        <is>
          <t>activated</t>
        </is>
      </c>
      <c r="C15" s="17">
        <f>(C12*Assumptions!$E$25)</f>
        <v/>
      </c>
      <c r="D15" s="17">
        <f>(D12*Assumptions!$E$25)</f>
        <v/>
      </c>
      <c r="E15" s="17">
        <f>(E12*Assumptions!$E$25)</f>
        <v/>
      </c>
      <c r="F15" s="17">
        <f>(F12*Assumptions!$E$25)</f>
        <v/>
      </c>
      <c r="G15" s="17">
        <f>(G12*Assumptions!$E$25)</f>
        <v/>
      </c>
      <c r="H15" s="17">
        <f>(H12*Assumptions!$E$25)</f>
        <v/>
      </c>
      <c r="I15" s="17">
        <f>(I12*Assumptions!$E$25)</f>
        <v/>
      </c>
      <c r="J15" s="17">
        <f>(J12*Assumptions!$E$25)</f>
        <v/>
      </c>
      <c r="K15" s="17">
        <f>(K12*Assumptions!$E$25)</f>
        <v/>
      </c>
      <c r="L15" s="17">
        <f>(L12*Assumptions!$E$25)</f>
        <v/>
      </c>
      <c r="M15" s="17">
        <f>(M12*Assumptions!$E$25)</f>
        <v/>
      </c>
      <c r="N15" s="17">
        <f>(N12*Assumptions!$E$25)</f>
        <v/>
      </c>
      <c r="O15" s="17">
        <f>(O12*Assumptions!$E$25)</f>
        <v/>
      </c>
      <c r="P15" s="17">
        <f>(P12*Assumptions!$E$25)</f>
        <v/>
      </c>
      <c r="Q15" s="17">
        <f>(Q12*Assumptions!$E$25)</f>
        <v/>
      </c>
      <c r="R15" s="17">
        <f>(R12*Assumptions!$E$25)</f>
        <v/>
      </c>
      <c r="S15" s="17">
        <f>(S12*Assumptions!$E$25)</f>
        <v/>
      </c>
      <c r="T15" s="17">
        <f>(T12*Assumptions!$E$25)</f>
        <v/>
      </c>
      <c r="U15" s="17">
        <f>(U12*Assumptions!$E$25)</f>
        <v/>
      </c>
      <c r="V15" s="17">
        <f>(V12*Assumptions!$E$25)</f>
        <v/>
      </c>
      <c r="W15" s="17">
        <f>(W12*Assumptions!$E$25)</f>
        <v/>
      </c>
      <c r="X15" s="17">
        <f>(X12*Assumptions!$E$25)</f>
        <v/>
      </c>
      <c r="Y15" s="17">
        <f>(Y12*Assumptions!$E$25)</f>
        <v/>
      </c>
      <c r="Z15" s="17">
        <f>(Z12*Assumptions!$E$25)</f>
        <v/>
      </c>
      <c r="AA15" s="17">
        <f>(AA12*Assumptions!$E$25)</f>
        <v/>
      </c>
      <c r="AB15" s="17">
        <f>(AB12*Assumptions!$E$25)</f>
        <v/>
      </c>
      <c r="AC15" s="17">
        <f>(AC12*Assumptions!$E$25)</f>
        <v/>
      </c>
      <c r="AD15" s="17">
        <f>(AD12*Assumptions!$E$25)</f>
        <v/>
      </c>
      <c r="AE15" s="17">
        <f>(AE12*Assumptions!$E$25)</f>
        <v/>
      </c>
      <c r="AF15" s="17">
        <f>(AF12*Assumptions!$E$25)</f>
        <v/>
      </c>
      <c r="AG15" s="17">
        <f>(AG12*Assumptions!$E$25)</f>
        <v/>
      </c>
      <c r="AH15" s="17">
        <f>(AH12*Assumptions!$E$25)</f>
        <v/>
      </c>
      <c r="AI15" s="17">
        <f>(AI12*Assumptions!$E$25)</f>
        <v/>
      </c>
      <c r="AJ15" s="17">
        <f>(AJ12*Assumptions!$E$25)</f>
        <v/>
      </c>
      <c r="AK15" s="17">
        <f>(AK12*Assumptions!$E$25)</f>
        <v/>
      </c>
      <c r="AL15" s="17">
        <f>(AL12*Assumptions!$E$25)</f>
        <v/>
      </c>
    </row>
    <row r="16">
      <c r="A16" s="6" t="inlineStr">
        <is>
          <t>Trial / paywall starts</t>
        </is>
      </c>
      <c r="B16" s="2" t="inlineStr">
        <is>
          <t>trial_starts</t>
        </is>
      </c>
      <c r="C16" s="17">
        <f>(C15*Assumptions!$E$29)</f>
        <v/>
      </c>
      <c r="D16" s="17">
        <f>(D15*Assumptions!$E$29)</f>
        <v/>
      </c>
      <c r="E16" s="17">
        <f>(E15*Assumptions!$E$29)</f>
        <v/>
      </c>
      <c r="F16" s="17">
        <f>(F15*Assumptions!$E$29)</f>
        <v/>
      </c>
      <c r="G16" s="17">
        <f>(G15*Assumptions!$E$29)</f>
        <v/>
      </c>
      <c r="H16" s="17">
        <f>(H15*Assumptions!$E$29)</f>
        <v/>
      </c>
      <c r="I16" s="17">
        <f>(I15*Assumptions!$E$29)</f>
        <v/>
      </c>
      <c r="J16" s="17">
        <f>(J15*Assumptions!$E$29)</f>
        <v/>
      </c>
      <c r="K16" s="17">
        <f>(K15*Assumptions!$E$29)</f>
        <v/>
      </c>
      <c r="L16" s="17">
        <f>(L15*Assumptions!$E$29)</f>
        <v/>
      </c>
      <c r="M16" s="17">
        <f>(M15*Assumptions!$E$29)</f>
        <v/>
      </c>
      <c r="N16" s="17">
        <f>(N15*Assumptions!$E$29)</f>
        <v/>
      </c>
      <c r="O16" s="17">
        <f>(O15*Assumptions!$E$29)</f>
        <v/>
      </c>
      <c r="P16" s="17">
        <f>(P15*Assumptions!$E$29)</f>
        <v/>
      </c>
      <c r="Q16" s="17">
        <f>(Q15*Assumptions!$E$29)</f>
        <v/>
      </c>
      <c r="R16" s="17">
        <f>(R15*Assumptions!$E$29)</f>
        <v/>
      </c>
      <c r="S16" s="17">
        <f>(S15*Assumptions!$E$29)</f>
        <v/>
      </c>
      <c r="T16" s="17">
        <f>(T15*Assumptions!$E$29)</f>
        <v/>
      </c>
      <c r="U16" s="17">
        <f>(U15*Assumptions!$E$29)</f>
        <v/>
      </c>
      <c r="V16" s="17">
        <f>(V15*Assumptions!$E$29)</f>
        <v/>
      </c>
      <c r="W16" s="17">
        <f>(W15*Assumptions!$E$29)</f>
        <v/>
      </c>
      <c r="X16" s="17">
        <f>(X15*Assumptions!$E$29)</f>
        <v/>
      </c>
      <c r="Y16" s="17">
        <f>(Y15*Assumptions!$E$29)</f>
        <v/>
      </c>
      <c r="Z16" s="17">
        <f>(Z15*Assumptions!$E$29)</f>
        <v/>
      </c>
      <c r="AA16" s="17">
        <f>(AA15*Assumptions!$E$29)</f>
        <v/>
      </c>
      <c r="AB16" s="17">
        <f>(AB15*Assumptions!$E$29)</f>
        <v/>
      </c>
      <c r="AC16" s="17">
        <f>(AC15*Assumptions!$E$29)</f>
        <v/>
      </c>
      <c r="AD16" s="17">
        <f>(AD15*Assumptions!$E$29)</f>
        <v/>
      </c>
      <c r="AE16" s="17">
        <f>(AE15*Assumptions!$E$29)</f>
        <v/>
      </c>
      <c r="AF16" s="17">
        <f>(AF15*Assumptions!$E$29)</f>
        <v/>
      </c>
      <c r="AG16" s="17">
        <f>(AG15*Assumptions!$E$29)</f>
        <v/>
      </c>
      <c r="AH16" s="17">
        <f>(AH15*Assumptions!$E$29)</f>
        <v/>
      </c>
      <c r="AI16" s="17">
        <f>(AI15*Assumptions!$E$29)</f>
        <v/>
      </c>
      <c r="AJ16" s="17">
        <f>(AJ15*Assumptions!$E$29)</f>
        <v/>
      </c>
      <c r="AK16" s="17">
        <f>(AK15*Assumptions!$E$29)</f>
        <v/>
      </c>
      <c r="AL16" s="17">
        <f>(AL15*Assumptions!$E$29)</f>
        <v/>
      </c>
    </row>
    <row r="17">
      <c r="A17" s="21" t="inlineStr">
        <is>
          <t>New paid subscribers</t>
        </is>
      </c>
      <c r="B17" s="2" t="inlineStr">
        <is>
          <t>new_paid</t>
        </is>
      </c>
      <c r="C17" s="22">
        <f>(C16*Assumptions!$E$30)</f>
        <v/>
      </c>
      <c r="D17" s="22">
        <f>(D16*Assumptions!$E$30)</f>
        <v/>
      </c>
      <c r="E17" s="22">
        <f>(E16*Assumptions!$E$30)</f>
        <v/>
      </c>
      <c r="F17" s="22">
        <f>(F16*Assumptions!$E$30)</f>
        <v/>
      </c>
      <c r="G17" s="22">
        <f>(G16*Assumptions!$E$30)</f>
        <v/>
      </c>
      <c r="H17" s="22">
        <f>(H16*Assumptions!$E$30)</f>
        <v/>
      </c>
      <c r="I17" s="22">
        <f>(I16*Assumptions!$E$30)</f>
        <v/>
      </c>
      <c r="J17" s="22">
        <f>(J16*Assumptions!$E$30)</f>
        <v/>
      </c>
      <c r="K17" s="22">
        <f>(K16*Assumptions!$E$30)</f>
        <v/>
      </c>
      <c r="L17" s="22">
        <f>(L16*Assumptions!$E$30)</f>
        <v/>
      </c>
      <c r="M17" s="22">
        <f>(M16*Assumptions!$E$30)</f>
        <v/>
      </c>
      <c r="N17" s="22">
        <f>(N16*Assumptions!$E$30)</f>
        <v/>
      </c>
      <c r="O17" s="22">
        <f>(O16*Assumptions!$E$30)</f>
        <v/>
      </c>
      <c r="P17" s="22">
        <f>(P16*Assumptions!$E$30)</f>
        <v/>
      </c>
      <c r="Q17" s="22">
        <f>(Q16*Assumptions!$E$30)</f>
        <v/>
      </c>
      <c r="R17" s="22">
        <f>(R16*Assumptions!$E$30)</f>
        <v/>
      </c>
      <c r="S17" s="22">
        <f>(S16*Assumptions!$E$30)</f>
        <v/>
      </c>
      <c r="T17" s="22">
        <f>(T16*Assumptions!$E$30)</f>
        <v/>
      </c>
      <c r="U17" s="22">
        <f>(U16*Assumptions!$E$30)</f>
        <v/>
      </c>
      <c r="V17" s="22">
        <f>(V16*Assumptions!$E$30)</f>
        <v/>
      </c>
      <c r="W17" s="22">
        <f>(W16*Assumptions!$E$30)</f>
        <v/>
      </c>
      <c r="X17" s="22">
        <f>(X16*Assumptions!$E$30)</f>
        <v/>
      </c>
      <c r="Y17" s="22">
        <f>(Y16*Assumptions!$E$30)</f>
        <v/>
      </c>
      <c r="Z17" s="22">
        <f>(Z16*Assumptions!$E$30)</f>
        <v/>
      </c>
      <c r="AA17" s="22">
        <f>(AA16*Assumptions!$E$30)</f>
        <v/>
      </c>
      <c r="AB17" s="22">
        <f>(AB16*Assumptions!$E$30)</f>
        <v/>
      </c>
      <c r="AC17" s="22">
        <f>(AC16*Assumptions!$E$30)</f>
        <v/>
      </c>
      <c r="AD17" s="22">
        <f>(AD16*Assumptions!$E$30)</f>
        <v/>
      </c>
      <c r="AE17" s="22">
        <f>(AE16*Assumptions!$E$30)</f>
        <v/>
      </c>
      <c r="AF17" s="22">
        <f>(AF16*Assumptions!$E$30)</f>
        <v/>
      </c>
      <c r="AG17" s="22">
        <f>(AG16*Assumptions!$E$30)</f>
        <v/>
      </c>
      <c r="AH17" s="22">
        <f>(AH16*Assumptions!$E$30)</f>
        <v/>
      </c>
      <c r="AI17" s="22">
        <f>(AI16*Assumptions!$E$30)</f>
        <v/>
      </c>
      <c r="AJ17" s="22">
        <f>(AJ16*Assumptions!$E$30)</f>
        <v/>
      </c>
      <c r="AK17" s="22">
        <f>(AK16*Assumptions!$E$30)</f>
        <v/>
      </c>
      <c r="AL17" s="22">
        <f>(AL16*Assumptions!$E$30)</f>
        <v/>
      </c>
    </row>
    <row r="18">
      <c r="A18" s="6" t="inlineStr">
        <is>
          <t xml:space="preserve">  of which monthly plan</t>
        </is>
      </c>
      <c r="B18" s="2" t="inlineStr">
        <is>
          <t>new_monthly</t>
        </is>
      </c>
      <c r="C18" s="17">
        <f>(C17*Assumptions!$E$31)</f>
        <v/>
      </c>
      <c r="D18" s="17">
        <f>(D17*Assumptions!$E$31)</f>
        <v/>
      </c>
      <c r="E18" s="17">
        <f>(E17*Assumptions!$E$31)</f>
        <v/>
      </c>
      <c r="F18" s="17">
        <f>(F17*Assumptions!$E$31)</f>
        <v/>
      </c>
      <c r="G18" s="17">
        <f>(G17*Assumptions!$E$31)</f>
        <v/>
      </c>
      <c r="H18" s="17">
        <f>(H17*Assumptions!$E$31)</f>
        <v/>
      </c>
      <c r="I18" s="17">
        <f>(I17*Assumptions!$E$31)</f>
        <v/>
      </c>
      <c r="J18" s="17">
        <f>(J17*Assumptions!$E$31)</f>
        <v/>
      </c>
      <c r="K18" s="17">
        <f>(K17*Assumptions!$E$31)</f>
        <v/>
      </c>
      <c r="L18" s="17">
        <f>(L17*Assumptions!$E$31)</f>
        <v/>
      </c>
      <c r="M18" s="17">
        <f>(M17*Assumptions!$E$31)</f>
        <v/>
      </c>
      <c r="N18" s="17">
        <f>(N17*Assumptions!$E$31)</f>
        <v/>
      </c>
      <c r="O18" s="17">
        <f>(O17*Assumptions!$E$31)</f>
        <v/>
      </c>
      <c r="P18" s="17">
        <f>(P17*Assumptions!$E$31)</f>
        <v/>
      </c>
      <c r="Q18" s="17">
        <f>(Q17*Assumptions!$E$31)</f>
        <v/>
      </c>
      <c r="R18" s="17">
        <f>(R17*Assumptions!$E$31)</f>
        <v/>
      </c>
      <c r="S18" s="17">
        <f>(S17*Assumptions!$E$31)</f>
        <v/>
      </c>
      <c r="T18" s="17">
        <f>(T17*Assumptions!$E$31)</f>
        <v/>
      </c>
      <c r="U18" s="17">
        <f>(U17*Assumptions!$E$31)</f>
        <v/>
      </c>
      <c r="V18" s="17">
        <f>(V17*Assumptions!$E$31)</f>
        <v/>
      </c>
      <c r="W18" s="17">
        <f>(W17*Assumptions!$E$31)</f>
        <v/>
      </c>
      <c r="X18" s="17">
        <f>(X17*Assumptions!$E$31)</f>
        <v/>
      </c>
      <c r="Y18" s="17">
        <f>(Y17*Assumptions!$E$31)</f>
        <v/>
      </c>
      <c r="Z18" s="17">
        <f>(Z17*Assumptions!$E$31)</f>
        <v/>
      </c>
      <c r="AA18" s="17">
        <f>(AA17*Assumptions!$E$31)</f>
        <v/>
      </c>
      <c r="AB18" s="17">
        <f>(AB17*Assumptions!$E$31)</f>
        <v/>
      </c>
      <c r="AC18" s="17">
        <f>(AC17*Assumptions!$E$31)</f>
        <v/>
      </c>
      <c r="AD18" s="17">
        <f>(AD17*Assumptions!$E$31)</f>
        <v/>
      </c>
      <c r="AE18" s="17">
        <f>(AE17*Assumptions!$E$31)</f>
        <v/>
      </c>
      <c r="AF18" s="17">
        <f>(AF17*Assumptions!$E$31)</f>
        <v/>
      </c>
      <c r="AG18" s="17">
        <f>(AG17*Assumptions!$E$31)</f>
        <v/>
      </c>
      <c r="AH18" s="17">
        <f>(AH17*Assumptions!$E$31)</f>
        <v/>
      </c>
      <c r="AI18" s="17">
        <f>(AI17*Assumptions!$E$31)</f>
        <v/>
      </c>
      <c r="AJ18" s="17">
        <f>(AJ17*Assumptions!$E$31)</f>
        <v/>
      </c>
      <c r="AK18" s="17">
        <f>(AK17*Assumptions!$E$31)</f>
        <v/>
      </c>
      <c r="AL18" s="17">
        <f>(AL17*Assumptions!$E$31)</f>
        <v/>
      </c>
    </row>
    <row r="19">
      <c r="A19" s="6" t="inlineStr">
        <is>
          <t xml:space="preserve">  of which annual plan</t>
        </is>
      </c>
      <c r="B19" s="2" t="inlineStr">
        <is>
          <t>new_annual</t>
        </is>
      </c>
      <c r="C19" s="17">
        <f>(C17*Assumptions!$E$32)</f>
        <v/>
      </c>
      <c r="D19" s="17">
        <f>(D17*Assumptions!$E$32)</f>
        <v/>
      </c>
      <c r="E19" s="17">
        <f>(E17*Assumptions!$E$32)</f>
        <v/>
      </c>
      <c r="F19" s="17">
        <f>(F17*Assumptions!$E$32)</f>
        <v/>
      </c>
      <c r="G19" s="17">
        <f>(G17*Assumptions!$E$32)</f>
        <v/>
      </c>
      <c r="H19" s="17">
        <f>(H17*Assumptions!$E$32)</f>
        <v/>
      </c>
      <c r="I19" s="17">
        <f>(I17*Assumptions!$E$32)</f>
        <v/>
      </c>
      <c r="J19" s="17">
        <f>(J17*Assumptions!$E$32)</f>
        <v/>
      </c>
      <c r="K19" s="17">
        <f>(K17*Assumptions!$E$32)</f>
        <v/>
      </c>
      <c r="L19" s="17">
        <f>(L17*Assumptions!$E$32)</f>
        <v/>
      </c>
      <c r="M19" s="17">
        <f>(M17*Assumptions!$E$32)</f>
        <v/>
      </c>
      <c r="N19" s="17">
        <f>(N17*Assumptions!$E$32)</f>
        <v/>
      </c>
      <c r="O19" s="17">
        <f>(O17*Assumptions!$E$32)</f>
        <v/>
      </c>
      <c r="P19" s="17">
        <f>(P17*Assumptions!$E$32)</f>
        <v/>
      </c>
      <c r="Q19" s="17">
        <f>(Q17*Assumptions!$E$32)</f>
        <v/>
      </c>
      <c r="R19" s="17">
        <f>(R17*Assumptions!$E$32)</f>
        <v/>
      </c>
      <c r="S19" s="17">
        <f>(S17*Assumptions!$E$32)</f>
        <v/>
      </c>
      <c r="T19" s="17">
        <f>(T17*Assumptions!$E$32)</f>
        <v/>
      </c>
      <c r="U19" s="17">
        <f>(U17*Assumptions!$E$32)</f>
        <v/>
      </c>
      <c r="V19" s="17">
        <f>(V17*Assumptions!$E$32)</f>
        <v/>
      </c>
      <c r="W19" s="17">
        <f>(W17*Assumptions!$E$32)</f>
        <v/>
      </c>
      <c r="X19" s="17">
        <f>(X17*Assumptions!$E$32)</f>
        <v/>
      </c>
      <c r="Y19" s="17">
        <f>(Y17*Assumptions!$E$32)</f>
        <v/>
      </c>
      <c r="Z19" s="17">
        <f>(Z17*Assumptions!$E$32)</f>
        <v/>
      </c>
      <c r="AA19" s="17">
        <f>(AA17*Assumptions!$E$32)</f>
        <v/>
      </c>
      <c r="AB19" s="17">
        <f>(AB17*Assumptions!$E$32)</f>
        <v/>
      </c>
      <c r="AC19" s="17">
        <f>(AC17*Assumptions!$E$32)</f>
        <v/>
      </c>
      <c r="AD19" s="17">
        <f>(AD17*Assumptions!$E$32)</f>
        <v/>
      </c>
      <c r="AE19" s="17">
        <f>(AE17*Assumptions!$E$32)</f>
        <v/>
      </c>
      <c r="AF19" s="17">
        <f>(AF17*Assumptions!$E$32)</f>
        <v/>
      </c>
      <c r="AG19" s="17">
        <f>(AG17*Assumptions!$E$32)</f>
        <v/>
      </c>
      <c r="AH19" s="17">
        <f>(AH17*Assumptions!$E$32)</f>
        <v/>
      </c>
      <c r="AI19" s="17">
        <f>(AI17*Assumptions!$E$32)</f>
        <v/>
      </c>
      <c r="AJ19" s="17">
        <f>(AJ17*Assumptions!$E$32)</f>
        <v/>
      </c>
      <c r="AK19" s="17">
        <f>(AK17*Assumptions!$E$32)</f>
        <v/>
      </c>
      <c r="AL19" s="17">
        <f>(AL17*Assumptions!$E$32)</f>
        <v/>
      </c>
    </row>
    <row r="20">
      <c r="A20" s="6" t="inlineStr">
        <is>
          <t xml:space="preserve">  of which student plan</t>
        </is>
      </c>
      <c r="B20" s="2" t="inlineStr">
        <is>
          <t>new_student</t>
        </is>
      </c>
      <c r="C20" s="17">
        <f>(C17*Assumptions!$E$109)</f>
        <v/>
      </c>
      <c r="D20" s="17">
        <f>(D17*Assumptions!$E$109)</f>
        <v/>
      </c>
      <c r="E20" s="17">
        <f>(E17*Assumptions!$E$109)</f>
        <v/>
      </c>
      <c r="F20" s="17">
        <f>(F17*Assumptions!$E$109)</f>
        <v/>
      </c>
      <c r="G20" s="17">
        <f>(G17*Assumptions!$E$109)</f>
        <v/>
      </c>
      <c r="H20" s="17">
        <f>(H17*Assumptions!$E$109)</f>
        <v/>
      </c>
      <c r="I20" s="17">
        <f>(I17*Assumptions!$E$109)</f>
        <v/>
      </c>
      <c r="J20" s="17">
        <f>(J17*Assumptions!$E$109)</f>
        <v/>
      </c>
      <c r="K20" s="17">
        <f>(K17*Assumptions!$E$109)</f>
        <v/>
      </c>
      <c r="L20" s="17">
        <f>(L17*Assumptions!$E$109)</f>
        <v/>
      </c>
      <c r="M20" s="17">
        <f>(M17*Assumptions!$E$109)</f>
        <v/>
      </c>
      <c r="N20" s="17">
        <f>(N17*Assumptions!$E$109)</f>
        <v/>
      </c>
      <c r="O20" s="17">
        <f>(O17*Assumptions!$E$109)</f>
        <v/>
      </c>
      <c r="P20" s="17">
        <f>(P17*Assumptions!$E$109)</f>
        <v/>
      </c>
      <c r="Q20" s="17">
        <f>(Q17*Assumptions!$E$109)</f>
        <v/>
      </c>
      <c r="R20" s="17">
        <f>(R17*Assumptions!$E$109)</f>
        <v/>
      </c>
      <c r="S20" s="17">
        <f>(S17*Assumptions!$E$109)</f>
        <v/>
      </c>
      <c r="T20" s="17">
        <f>(T17*Assumptions!$E$109)</f>
        <v/>
      </c>
      <c r="U20" s="17">
        <f>(U17*Assumptions!$E$109)</f>
        <v/>
      </c>
      <c r="V20" s="17">
        <f>(V17*Assumptions!$E$109)</f>
        <v/>
      </c>
      <c r="W20" s="17">
        <f>(W17*Assumptions!$E$109)</f>
        <v/>
      </c>
      <c r="X20" s="17">
        <f>(X17*Assumptions!$E$109)</f>
        <v/>
      </c>
      <c r="Y20" s="17">
        <f>(Y17*Assumptions!$E$109)</f>
        <v/>
      </c>
      <c r="Z20" s="17">
        <f>(Z17*Assumptions!$E$109)</f>
        <v/>
      </c>
      <c r="AA20" s="17">
        <f>(AA17*Assumptions!$E$109)</f>
        <v/>
      </c>
      <c r="AB20" s="17">
        <f>(AB17*Assumptions!$E$109)</f>
        <v/>
      </c>
      <c r="AC20" s="17">
        <f>(AC17*Assumptions!$E$109)</f>
        <v/>
      </c>
      <c r="AD20" s="17">
        <f>(AD17*Assumptions!$E$109)</f>
        <v/>
      </c>
      <c r="AE20" s="17">
        <f>(AE17*Assumptions!$E$109)</f>
        <v/>
      </c>
      <c r="AF20" s="17">
        <f>(AF17*Assumptions!$E$109)</f>
        <v/>
      </c>
      <c r="AG20" s="17">
        <f>(AG17*Assumptions!$E$109)</f>
        <v/>
      </c>
      <c r="AH20" s="17">
        <f>(AH17*Assumptions!$E$109)</f>
        <v/>
      </c>
      <c r="AI20" s="17">
        <f>(AI17*Assumptions!$E$109)</f>
        <v/>
      </c>
      <c r="AJ20" s="17">
        <f>(AJ17*Assumptions!$E$109)</f>
        <v/>
      </c>
      <c r="AK20" s="17">
        <f>(AK17*Assumptions!$E$109)</f>
        <v/>
      </c>
      <c r="AL20" s="17">
        <f>(AL17*Assumptions!$E$109)</f>
        <v/>
      </c>
    </row>
    <row r="21">
      <c r="A21" s="6" t="inlineStr">
        <is>
          <t>Recruiting Pass purchases (one-time)</t>
        </is>
      </c>
      <c r="B21" s="2" t="inlineStr">
        <is>
          <t>pass_sales</t>
        </is>
      </c>
      <c r="C21" s="17">
        <f>(C15*Assumptions!$E$33)</f>
        <v/>
      </c>
      <c r="D21" s="17">
        <f>(D15*Assumptions!$E$33)</f>
        <v/>
      </c>
      <c r="E21" s="17">
        <f>(E15*Assumptions!$E$33)</f>
        <v/>
      </c>
      <c r="F21" s="17">
        <f>(F15*Assumptions!$E$33)</f>
        <v/>
      </c>
      <c r="G21" s="17">
        <f>(G15*Assumptions!$E$33)</f>
        <v/>
      </c>
      <c r="H21" s="17">
        <f>(H15*Assumptions!$E$33)</f>
        <v/>
      </c>
      <c r="I21" s="17">
        <f>(I15*Assumptions!$E$33)</f>
        <v/>
      </c>
      <c r="J21" s="17">
        <f>(J15*Assumptions!$E$33)</f>
        <v/>
      </c>
      <c r="K21" s="17">
        <f>(K15*Assumptions!$E$33)</f>
        <v/>
      </c>
      <c r="L21" s="17">
        <f>(L15*Assumptions!$E$33)</f>
        <v/>
      </c>
      <c r="M21" s="17">
        <f>(M15*Assumptions!$E$33)</f>
        <v/>
      </c>
      <c r="N21" s="17">
        <f>(N15*Assumptions!$E$33)</f>
        <v/>
      </c>
      <c r="O21" s="17">
        <f>(O15*Assumptions!$E$33)</f>
        <v/>
      </c>
      <c r="P21" s="17">
        <f>(P15*Assumptions!$E$33)</f>
        <v/>
      </c>
      <c r="Q21" s="17">
        <f>(Q15*Assumptions!$E$33)</f>
        <v/>
      </c>
      <c r="R21" s="17">
        <f>(R15*Assumptions!$E$33)</f>
        <v/>
      </c>
      <c r="S21" s="17">
        <f>(S15*Assumptions!$E$33)</f>
        <v/>
      </c>
      <c r="T21" s="17">
        <f>(T15*Assumptions!$E$33)</f>
        <v/>
      </c>
      <c r="U21" s="17">
        <f>(U15*Assumptions!$E$33)</f>
        <v/>
      </c>
      <c r="V21" s="17">
        <f>(V15*Assumptions!$E$33)</f>
        <v/>
      </c>
      <c r="W21" s="17">
        <f>(W15*Assumptions!$E$33)</f>
        <v/>
      </c>
      <c r="X21" s="17">
        <f>(X15*Assumptions!$E$33)</f>
        <v/>
      </c>
      <c r="Y21" s="17">
        <f>(Y15*Assumptions!$E$33)</f>
        <v/>
      </c>
      <c r="Z21" s="17">
        <f>(Z15*Assumptions!$E$33)</f>
        <v/>
      </c>
      <c r="AA21" s="17">
        <f>(AA15*Assumptions!$E$33)</f>
        <v/>
      </c>
      <c r="AB21" s="17">
        <f>(AB15*Assumptions!$E$33)</f>
        <v/>
      </c>
      <c r="AC21" s="17">
        <f>(AC15*Assumptions!$E$33)</f>
        <v/>
      </c>
      <c r="AD21" s="17">
        <f>(AD15*Assumptions!$E$33)</f>
        <v/>
      </c>
      <c r="AE21" s="17">
        <f>(AE15*Assumptions!$E$33)</f>
        <v/>
      </c>
      <c r="AF21" s="17">
        <f>(AF15*Assumptions!$E$33)</f>
        <v/>
      </c>
      <c r="AG21" s="17">
        <f>(AG15*Assumptions!$E$33)</f>
        <v/>
      </c>
      <c r="AH21" s="17">
        <f>(AH15*Assumptions!$E$33)</f>
        <v/>
      </c>
      <c r="AI21" s="17">
        <f>(AI15*Assumptions!$E$33)</f>
        <v/>
      </c>
      <c r="AJ21" s="17">
        <f>(AJ15*Assumptions!$E$33)</f>
        <v/>
      </c>
      <c r="AK21" s="17">
        <f>(AK15*Assumptions!$E$33)</f>
        <v/>
      </c>
      <c r="AL21" s="17">
        <f>(AL15*Assumptions!$E$33)</f>
        <v/>
      </c>
    </row>
    <row r="23">
      <c r="A23" s="4" t="inlineStr">
        <is>
          <t>SUBSCRIBERS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</row>
    <row r="24">
      <c r="A24" s="6" t="inlineStr">
        <is>
          <t>Monthly-plan subscribers (end of month)</t>
        </is>
      </c>
      <c r="B24" s="2" t="inlineStr">
        <is>
          <t>subs_monthly</t>
        </is>
      </c>
      <c r="C24" s="17">
        <f>((0*(1-Assumptions!$E$110))+C18)</f>
        <v/>
      </c>
      <c r="D24" s="17">
        <f>((C24*(1-Assumptions!$E$110))+D18)</f>
        <v/>
      </c>
      <c r="E24" s="17">
        <f>((D24*(1-Assumptions!$E$110))+E18)</f>
        <v/>
      </c>
      <c r="F24" s="17">
        <f>((E24*(1-Assumptions!$E$110))+F18)</f>
        <v/>
      </c>
      <c r="G24" s="17">
        <f>((F24*(1-Assumptions!$E$110))+G18)</f>
        <v/>
      </c>
      <c r="H24" s="17">
        <f>((G24*(1-Assumptions!$E$110))+H18)</f>
        <v/>
      </c>
      <c r="I24" s="17">
        <f>((H24*(1-Assumptions!$E$110))+I18)</f>
        <v/>
      </c>
      <c r="J24" s="17">
        <f>((I24*(1-Assumptions!$E$110))+J18)</f>
        <v/>
      </c>
      <c r="K24" s="17">
        <f>((J24*(1-Assumptions!$E$110))+K18)</f>
        <v/>
      </c>
      <c r="L24" s="17">
        <f>((K24*(1-Assumptions!$E$110))+L18)</f>
        <v/>
      </c>
      <c r="M24" s="17">
        <f>((L24*(1-Assumptions!$E$110))+M18)</f>
        <v/>
      </c>
      <c r="N24" s="17">
        <f>((M24*(1-Assumptions!$E$110))+N18)</f>
        <v/>
      </c>
      <c r="O24" s="17">
        <f>((N24*(1-Assumptions!$E$110))+O18)</f>
        <v/>
      </c>
      <c r="P24" s="17">
        <f>((O24*(1-Assumptions!$E$110))+P18)</f>
        <v/>
      </c>
      <c r="Q24" s="17">
        <f>((P24*(1-Assumptions!$E$110))+Q18)</f>
        <v/>
      </c>
      <c r="R24" s="17">
        <f>((Q24*(1-Assumptions!$E$110))+R18)</f>
        <v/>
      </c>
      <c r="S24" s="17">
        <f>((R24*(1-Assumptions!$E$110))+S18)</f>
        <v/>
      </c>
      <c r="T24" s="17">
        <f>((S24*(1-Assumptions!$E$110))+T18)</f>
        <v/>
      </c>
      <c r="U24" s="17">
        <f>((T24*(1-Assumptions!$E$110))+U18)</f>
        <v/>
      </c>
      <c r="V24" s="17">
        <f>((U24*(1-Assumptions!$E$110))+V18)</f>
        <v/>
      </c>
      <c r="W24" s="17">
        <f>((V24*(1-Assumptions!$E$110))+W18)</f>
        <v/>
      </c>
      <c r="X24" s="17">
        <f>((W24*(1-Assumptions!$E$110))+X18)</f>
        <v/>
      </c>
      <c r="Y24" s="17">
        <f>((X24*(1-Assumptions!$E$110))+Y18)</f>
        <v/>
      </c>
      <c r="Z24" s="17">
        <f>((Y24*(1-Assumptions!$E$110))+Z18)</f>
        <v/>
      </c>
      <c r="AA24" s="17">
        <f>((Z24*(1-Assumptions!$E$110))+AA18)</f>
        <v/>
      </c>
      <c r="AB24" s="17">
        <f>((AA24*(1-Assumptions!$E$110))+AB18)</f>
        <v/>
      </c>
      <c r="AC24" s="17">
        <f>((AB24*(1-Assumptions!$E$110))+AC18)</f>
        <v/>
      </c>
      <c r="AD24" s="17">
        <f>((AC24*(1-Assumptions!$E$110))+AD18)</f>
        <v/>
      </c>
      <c r="AE24" s="17">
        <f>((AD24*(1-Assumptions!$E$110))+AE18)</f>
        <v/>
      </c>
      <c r="AF24" s="17">
        <f>((AE24*(1-Assumptions!$E$110))+AF18)</f>
        <v/>
      </c>
      <c r="AG24" s="17">
        <f>((AF24*(1-Assumptions!$E$110))+AG18)</f>
        <v/>
      </c>
      <c r="AH24" s="17">
        <f>((AG24*(1-Assumptions!$E$110))+AH18)</f>
        <v/>
      </c>
      <c r="AI24" s="17">
        <f>((AH24*(1-Assumptions!$E$110))+AI18)</f>
        <v/>
      </c>
      <c r="AJ24" s="17">
        <f>((AI24*(1-Assumptions!$E$110))+AJ18)</f>
        <v/>
      </c>
      <c r="AK24" s="17">
        <f>((AJ24*(1-Assumptions!$E$110))+AK18)</f>
        <v/>
      </c>
      <c r="AL24" s="17">
        <f>((AK24*(1-Assumptions!$E$110))+AL18)</f>
        <v/>
      </c>
    </row>
    <row r="25">
      <c r="A25" s="6" t="inlineStr">
        <is>
          <t>Annual plans billed (new + renewals)</t>
        </is>
      </c>
      <c r="B25" s="2" t="inlineStr">
        <is>
          <t>bill_annual</t>
        </is>
      </c>
      <c r="C25" s="17">
        <f>(C19+0)</f>
        <v/>
      </c>
      <c r="D25" s="17">
        <f>(D19+0)</f>
        <v/>
      </c>
      <c r="E25" s="17">
        <f>(E19+0)</f>
        <v/>
      </c>
      <c r="F25" s="17">
        <f>(F19+0)</f>
        <v/>
      </c>
      <c r="G25" s="17">
        <f>(G19+0)</f>
        <v/>
      </c>
      <c r="H25" s="17">
        <f>(H19+0)</f>
        <v/>
      </c>
      <c r="I25" s="17">
        <f>(I19+0)</f>
        <v/>
      </c>
      <c r="J25" s="17">
        <f>(J19+0)</f>
        <v/>
      </c>
      <c r="K25" s="17">
        <f>(K19+0)</f>
        <v/>
      </c>
      <c r="L25" s="17">
        <f>(L19+0)</f>
        <v/>
      </c>
      <c r="M25" s="17">
        <f>(M19+0)</f>
        <v/>
      </c>
      <c r="N25" s="17">
        <f>(N19+0)</f>
        <v/>
      </c>
      <c r="O25" s="17">
        <f>(O19+(Assumptions!$E$43*C25))</f>
        <v/>
      </c>
      <c r="P25" s="17">
        <f>(P19+(Assumptions!$E$43*D25))</f>
        <v/>
      </c>
      <c r="Q25" s="17">
        <f>(Q19+(Assumptions!$E$43*E25))</f>
        <v/>
      </c>
      <c r="R25" s="17">
        <f>(R19+(Assumptions!$E$43*F25))</f>
        <v/>
      </c>
      <c r="S25" s="17">
        <f>(S19+(Assumptions!$E$43*G25))</f>
        <v/>
      </c>
      <c r="T25" s="17">
        <f>(T19+(Assumptions!$E$43*H25))</f>
        <v/>
      </c>
      <c r="U25" s="17">
        <f>(U19+(Assumptions!$E$43*I25))</f>
        <v/>
      </c>
      <c r="V25" s="17">
        <f>(V19+(Assumptions!$E$43*J25))</f>
        <v/>
      </c>
      <c r="W25" s="17">
        <f>(W19+(Assumptions!$E$43*K25))</f>
        <v/>
      </c>
      <c r="X25" s="17">
        <f>(X19+(Assumptions!$E$43*L25))</f>
        <v/>
      </c>
      <c r="Y25" s="17">
        <f>(Y19+(Assumptions!$E$43*M25))</f>
        <v/>
      </c>
      <c r="Z25" s="17">
        <f>(Z19+(Assumptions!$E$43*N25))</f>
        <v/>
      </c>
      <c r="AA25" s="17">
        <f>(AA19+(Assumptions!$E$43*O25))</f>
        <v/>
      </c>
      <c r="AB25" s="17">
        <f>(AB19+(Assumptions!$E$43*P25))</f>
        <v/>
      </c>
      <c r="AC25" s="17">
        <f>(AC19+(Assumptions!$E$43*Q25))</f>
        <v/>
      </c>
      <c r="AD25" s="17">
        <f>(AD19+(Assumptions!$E$43*R25))</f>
        <v/>
      </c>
      <c r="AE25" s="17">
        <f>(AE19+(Assumptions!$E$43*S25))</f>
        <v/>
      </c>
      <c r="AF25" s="17">
        <f>(AF19+(Assumptions!$E$43*T25))</f>
        <v/>
      </c>
      <c r="AG25" s="17">
        <f>(AG19+(Assumptions!$E$43*U25))</f>
        <v/>
      </c>
      <c r="AH25" s="17">
        <f>(AH19+(Assumptions!$E$43*V25))</f>
        <v/>
      </c>
      <c r="AI25" s="17">
        <f>(AI19+(Assumptions!$E$43*W25))</f>
        <v/>
      </c>
      <c r="AJ25" s="17">
        <f>(AJ19+(Assumptions!$E$43*X25))</f>
        <v/>
      </c>
      <c r="AK25" s="17">
        <f>(AK19+(Assumptions!$E$43*Y25))</f>
        <v/>
      </c>
      <c r="AL25" s="17">
        <f>(AL19+(Assumptions!$E$43*Z25))</f>
        <v/>
      </c>
    </row>
    <row r="26">
      <c r="A26" s="6" t="inlineStr">
        <is>
          <t>Annual-plan subscribers (billed in last 12 months)</t>
        </is>
      </c>
      <c r="B26" s="2" t="inlineStr">
        <is>
          <t>subs_annual</t>
        </is>
      </c>
      <c r="C26" s="17">
        <f>SUM(C25:C25)</f>
        <v/>
      </c>
      <c r="D26" s="17">
        <f>SUM(C25:D25)</f>
        <v/>
      </c>
      <c r="E26" s="17">
        <f>SUM(C25:E25)</f>
        <v/>
      </c>
      <c r="F26" s="17">
        <f>SUM(C25:F25)</f>
        <v/>
      </c>
      <c r="G26" s="17">
        <f>SUM(C25:G25)</f>
        <v/>
      </c>
      <c r="H26" s="17">
        <f>SUM(C25:H25)</f>
        <v/>
      </c>
      <c r="I26" s="17">
        <f>SUM(C25:I25)</f>
        <v/>
      </c>
      <c r="J26" s="17">
        <f>SUM(C25:J25)</f>
        <v/>
      </c>
      <c r="K26" s="17">
        <f>SUM(C25:K25)</f>
        <v/>
      </c>
      <c r="L26" s="17">
        <f>SUM(C25:L25)</f>
        <v/>
      </c>
      <c r="M26" s="17">
        <f>SUM(C25:M25)</f>
        <v/>
      </c>
      <c r="N26" s="17">
        <f>SUM(C25:N25)</f>
        <v/>
      </c>
      <c r="O26" s="17">
        <f>SUM(D25:O25)</f>
        <v/>
      </c>
      <c r="P26" s="17">
        <f>SUM(E25:P25)</f>
        <v/>
      </c>
      <c r="Q26" s="17">
        <f>SUM(F25:Q25)</f>
        <v/>
      </c>
      <c r="R26" s="17">
        <f>SUM(G25:R25)</f>
        <v/>
      </c>
      <c r="S26" s="17">
        <f>SUM(H25:S25)</f>
        <v/>
      </c>
      <c r="T26" s="17">
        <f>SUM(I25:T25)</f>
        <v/>
      </c>
      <c r="U26" s="17">
        <f>SUM(J25:U25)</f>
        <v/>
      </c>
      <c r="V26" s="17">
        <f>SUM(K25:V25)</f>
        <v/>
      </c>
      <c r="W26" s="17">
        <f>SUM(L25:W25)</f>
        <v/>
      </c>
      <c r="X26" s="17">
        <f>SUM(M25:X25)</f>
        <v/>
      </c>
      <c r="Y26" s="17">
        <f>SUM(N25:Y25)</f>
        <v/>
      </c>
      <c r="Z26" s="17">
        <f>SUM(O25:Z25)</f>
        <v/>
      </c>
      <c r="AA26" s="17">
        <f>SUM(P25:AA25)</f>
        <v/>
      </c>
      <c r="AB26" s="17">
        <f>SUM(Q25:AB25)</f>
        <v/>
      </c>
      <c r="AC26" s="17">
        <f>SUM(R25:AC25)</f>
        <v/>
      </c>
      <c r="AD26" s="17">
        <f>SUM(S25:AD25)</f>
        <v/>
      </c>
      <c r="AE26" s="17">
        <f>SUM(T25:AE25)</f>
        <v/>
      </c>
      <c r="AF26" s="17">
        <f>SUM(U25:AF25)</f>
        <v/>
      </c>
      <c r="AG26" s="17">
        <f>SUM(V25:AG25)</f>
        <v/>
      </c>
      <c r="AH26" s="17">
        <f>SUM(W25:AH25)</f>
        <v/>
      </c>
      <c r="AI26" s="17">
        <f>SUM(X25:AI25)</f>
        <v/>
      </c>
      <c r="AJ26" s="17">
        <f>SUM(Y25:AJ25)</f>
        <v/>
      </c>
      <c r="AK26" s="17">
        <f>SUM(Z25:AK25)</f>
        <v/>
      </c>
      <c r="AL26" s="17">
        <f>SUM(AA25:AL25)</f>
        <v/>
      </c>
    </row>
    <row r="27">
      <c r="A27" s="6" t="inlineStr">
        <is>
          <t>Student plans billed (new + renewals)</t>
        </is>
      </c>
      <c r="B27" s="2" t="inlineStr">
        <is>
          <t>bill_student</t>
        </is>
      </c>
      <c r="C27" s="17">
        <f>(C20+0)</f>
        <v/>
      </c>
      <c r="D27" s="17">
        <f>(D20+0)</f>
        <v/>
      </c>
      <c r="E27" s="17">
        <f>(E20+0)</f>
        <v/>
      </c>
      <c r="F27" s="17">
        <f>(F20+0)</f>
        <v/>
      </c>
      <c r="G27" s="17">
        <f>(G20+0)</f>
        <v/>
      </c>
      <c r="H27" s="17">
        <f>(H20+0)</f>
        <v/>
      </c>
      <c r="I27" s="17">
        <f>(I20+0)</f>
        <v/>
      </c>
      <c r="J27" s="17">
        <f>(J20+0)</f>
        <v/>
      </c>
      <c r="K27" s="17">
        <f>(K20+0)</f>
        <v/>
      </c>
      <c r="L27" s="17">
        <f>(L20+0)</f>
        <v/>
      </c>
      <c r="M27" s="17">
        <f>(M20+0)</f>
        <v/>
      </c>
      <c r="N27" s="17">
        <f>(N20+0)</f>
        <v/>
      </c>
      <c r="O27" s="17">
        <f>(O20+(Assumptions!$E$44*C27))</f>
        <v/>
      </c>
      <c r="P27" s="17">
        <f>(P20+(Assumptions!$E$44*D27))</f>
        <v/>
      </c>
      <c r="Q27" s="17">
        <f>(Q20+(Assumptions!$E$44*E27))</f>
        <v/>
      </c>
      <c r="R27" s="17">
        <f>(R20+(Assumptions!$E$44*F27))</f>
        <v/>
      </c>
      <c r="S27" s="17">
        <f>(S20+(Assumptions!$E$44*G27))</f>
        <v/>
      </c>
      <c r="T27" s="17">
        <f>(T20+(Assumptions!$E$44*H27))</f>
        <v/>
      </c>
      <c r="U27" s="17">
        <f>(U20+(Assumptions!$E$44*I27))</f>
        <v/>
      </c>
      <c r="V27" s="17">
        <f>(V20+(Assumptions!$E$44*J27))</f>
        <v/>
      </c>
      <c r="W27" s="17">
        <f>(W20+(Assumptions!$E$44*K27))</f>
        <v/>
      </c>
      <c r="X27" s="17">
        <f>(X20+(Assumptions!$E$44*L27))</f>
        <v/>
      </c>
      <c r="Y27" s="17">
        <f>(Y20+(Assumptions!$E$44*M27))</f>
        <v/>
      </c>
      <c r="Z27" s="17">
        <f>(Z20+(Assumptions!$E$44*N27))</f>
        <v/>
      </c>
      <c r="AA27" s="17">
        <f>(AA20+(Assumptions!$E$44*O27))</f>
        <v/>
      </c>
      <c r="AB27" s="17">
        <f>(AB20+(Assumptions!$E$44*P27))</f>
        <v/>
      </c>
      <c r="AC27" s="17">
        <f>(AC20+(Assumptions!$E$44*Q27))</f>
        <v/>
      </c>
      <c r="AD27" s="17">
        <f>(AD20+(Assumptions!$E$44*R27))</f>
        <v/>
      </c>
      <c r="AE27" s="17">
        <f>(AE20+(Assumptions!$E$44*S27))</f>
        <v/>
      </c>
      <c r="AF27" s="17">
        <f>(AF20+(Assumptions!$E$44*T27))</f>
        <v/>
      </c>
      <c r="AG27" s="17">
        <f>(AG20+(Assumptions!$E$44*U27))</f>
        <v/>
      </c>
      <c r="AH27" s="17">
        <f>(AH20+(Assumptions!$E$44*V27))</f>
        <v/>
      </c>
      <c r="AI27" s="17">
        <f>(AI20+(Assumptions!$E$44*W27))</f>
        <v/>
      </c>
      <c r="AJ27" s="17">
        <f>(AJ20+(Assumptions!$E$44*X27))</f>
        <v/>
      </c>
      <c r="AK27" s="17">
        <f>(AK20+(Assumptions!$E$44*Y27))</f>
        <v/>
      </c>
      <c r="AL27" s="17">
        <f>(AL20+(Assumptions!$E$44*Z27))</f>
        <v/>
      </c>
    </row>
    <row r="28">
      <c r="A28" s="6" t="inlineStr">
        <is>
          <t>Student-plan subscribers</t>
        </is>
      </c>
      <c r="B28" s="2" t="inlineStr">
        <is>
          <t>subs_student</t>
        </is>
      </c>
      <c r="C28" s="17">
        <f>SUM(C27:C27)</f>
        <v/>
      </c>
      <c r="D28" s="17">
        <f>SUM(C27:D27)</f>
        <v/>
      </c>
      <c r="E28" s="17">
        <f>SUM(C27:E27)</f>
        <v/>
      </c>
      <c r="F28" s="17">
        <f>SUM(C27:F27)</f>
        <v/>
      </c>
      <c r="G28" s="17">
        <f>SUM(C27:G27)</f>
        <v/>
      </c>
      <c r="H28" s="17">
        <f>SUM(C27:H27)</f>
        <v/>
      </c>
      <c r="I28" s="17">
        <f>SUM(C27:I27)</f>
        <v/>
      </c>
      <c r="J28" s="17">
        <f>SUM(C27:J27)</f>
        <v/>
      </c>
      <c r="K28" s="17">
        <f>SUM(C27:K27)</f>
        <v/>
      </c>
      <c r="L28" s="17">
        <f>SUM(C27:L27)</f>
        <v/>
      </c>
      <c r="M28" s="17">
        <f>SUM(C27:M27)</f>
        <v/>
      </c>
      <c r="N28" s="17">
        <f>SUM(C27:N27)</f>
        <v/>
      </c>
      <c r="O28" s="17">
        <f>SUM(D27:O27)</f>
        <v/>
      </c>
      <c r="P28" s="17">
        <f>SUM(E27:P27)</f>
        <v/>
      </c>
      <c r="Q28" s="17">
        <f>SUM(F27:Q27)</f>
        <v/>
      </c>
      <c r="R28" s="17">
        <f>SUM(G27:R27)</f>
        <v/>
      </c>
      <c r="S28" s="17">
        <f>SUM(H27:S27)</f>
        <v/>
      </c>
      <c r="T28" s="17">
        <f>SUM(I27:T27)</f>
        <v/>
      </c>
      <c r="U28" s="17">
        <f>SUM(J27:U27)</f>
        <v/>
      </c>
      <c r="V28" s="17">
        <f>SUM(K27:V27)</f>
        <v/>
      </c>
      <c r="W28" s="17">
        <f>SUM(L27:W27)</f>
        <v/>
      </c>
      <c r="X28" s="17">
        <f>SUM(M27:X27)</f>
        <v/>
      </c>
      <c r="Y28" s="17">
        <f>SUM(N27:Y27)</f>
        <v/>
      </c>
      <c r="Z28" s="17">
        <f>SUM(O27:Z27)</f>
        <v/>
      </c>
      <c r="AA28" s="17">
        <f>SUM(P27:AA27)</f>
        <v/>
      </c>
      <c r="AB28" s="17">
        <f>SUM(Q27:AB27)</f>
        <v/>
      </c>
      <c r="AC28" s="17">
        <f>SUM(R27:AC27)</f>
        <v/>
      </c>
      <c r="AD28" s="17">
        <f>SUM(S27:AD27)</f>
        <v/>
      </c>
      <c r="AE28" s="17">
        <f>SUM(T27:AE27)</f>
        <v/>
      </c>
      <c r="AF28" s="17">
        <f>SUM(U27:AF27)</f>
        <v/>
      </c>
      <c r="AG28" s="17">
        <f>SUM(V27:AG27)</f>
        <v/>
      </c>
      <c r="AH28" s="17">
        <f>SUM(W27:AH27)</f>
        <v/>
      </c>
      <c r="AI28" s="17">
        <f>SUM(X27:AI27)</f>
        <v/>
      </c>
      <c r="AJ28" s="17">
        <f>SUM(Y27:AJ27)</f>
        <v/>
      </c>
      <c r="AK28" s="17">
        <f>SUM(Z27:AK27)</f>
        <v/>
      </c>
      <c r="AL28" s="17">
        <f>SUM(AA27:AL27)</f>
        <v/>
      </c>
    </row>
    <row r="29">
      <c r="A29" s="21" t="inlineStr">
        <is>
          <t>Paid subscribers (end of month)</t>
        </is>
      </c>
      <c r="B29" s="2" t="inlineStr">
        <is>
          <t>subs_paid</t>
        </is>
      </c>
      <c r="C29" s="22">
        <f>((C24+C26)+C28)</f>
        <v/>
      </c>
      <c r="D29" s="22">
        <f>((D24+D26)+D28)</f>
        <v/>
      </c>
      <c r="E29" s="22">
        <f>((E24+E26)+E28)</f>
        <v/>
      </c>
      <c r="F29" s="22">
        <f>((F24+F26)+F28)</f>
        <v/>
      </c>
      <c r="G29" s="22">
        <f>((G24+G26)+G28)</f>
        <v/>
      </c>
      <c r="H29" s="22">
        <f>((H24+H26)+H28)</f>
        <v/>
      </c>
      <c r="I29" s="22">
        <f>((I24+I26)+I28)</f>
        <v/>
      </c>
      <c r="J29" s="22">
        <f>((J24+J26)+J28)</f>
        <v/>
      </c>
      <c r="K29" s="22">
        <f>((K24+K26)+K28)</f>
        <v/>
      </c>
      <c r="L29" s="22">
        <f>((L24+L26)+L28)</f>
        <v/>
      </c>
      <c r="M29" s="22">
        <f>((M24+M26)+M28)</f>
        <v/>
      </c>
      <c r="N29" s="22">
        <f>((N24+N26)+N28)</f>
        <v/>
      </c>
      <c r="O29" s="22">
        <f>((O24+O26)+O28)</f>
        <v/>
      </c>
      <c r="P29" s="22">
        <f>((P24+P26)+P28)</f>
        <v/>
      </c>
      <c r="Q29" s="22">
        <f>((Q24+Q26)+Q28)</f>
        <v/>
      </c>
      <c r="R29" s="22">
        <f>((R24+R26)+R28)</f>
        <v/>
      </c>
      <c r="S29" s="22">
        <f>((S24+S26)+S28)</f>
        <v/>
      </c>
      <c r="T29" s="22">
        <f>((T24+T26)+T28)</f>
        <v/>
      </c>
      <c r="U29" s="22">
        <f>((U24+U26)+U28)</f>
        <v/>
      </c>
      <c r="V29" s="22">
        <f>((V24+V26)+V28)</f>
        <v/>
      </c>
      <c r="W29" s="22">
        <f>((W24+W26)+W28)</f>
        <v/>
      </c>
      <c r="X29" s="22">
        <f>((X24+X26)+X28)</f>
        <v/>
      </c>
      <c r="Y29" s="22">
        <f>((Y24+Y26)+Y28)</f>
        <v/>
      </c>
      <c r="Z29" s="22">
        <f>((Z24+Z26)+Z28)</f>
        <v/>
      </c>
      <c r="AA29" s="22">
        <f>((AA24+AA26)+AA28)</f>
        <v/>
      </c>
      <c r="AB29" s="22">
        <f>((AB24+AB26)+AB28)</f>
        <v/>
      </c>
      <c r="AC29" s="22">
        <f>((AC24+AC26)+AC28)</f>
        <v/>
      </c>
      <c r="AD29" s="22">
        <f>((AD24+AD26)+AD28)</f>
        <v/>
      </c>
      <c r="AE29" s="22">
        <f>((AE24+AE26)+AE28)</f>
        <v/>
      </c>
      <c r="AF29" s="22">
        <f>((AF24+AF26)+AF28)</f>
        <v/>
      </c>
      <c r="AG29" s="22">
        <f>((AG24+AG26)+AG28)</f>
        <v/>
      </c>
      <c r="AH29" s="22">
        <f>((AH24+AH26)+AH28)</f>
        <v/>
      </c>
      <c r="AI29" s="22">
        <f>((AI24+AI26)+AI28)</f>
        <v/>
      </c>
      <c r="AJ29" s="22">
        <f>((AJ24+AJ26)+AJ28)</f>
        <v/>
      </c>
      <c r="AK29" s="22">
        <f>((AK24+AK26)+AK28)</f>
        <v/>
      </c>
      <c r="AL29" s="22">
        <f>((AL24+AL26)+AL28)</f>
        <v/>
      </c>
    </row>
    <row r="30">
      <c r="A30" s="6" t="inlineStr">
        <is>
          <t>Gross in-app billings, cash basis (= RevenueCat MTR)</t>
        </is>
      </c>
      <c r="B30" s="2" t="inlineStr">
        <is>
          <t>bill_gross</t>
        </is>
      </c>
      <c r="C30" s="14">
        <f>((((C24*Assumptions!$E$35)+(C25*Assumptions!$E$36))+(C27*Assumptions!$E$37))+(C21*Assumptions!$E$38))</f>
        <v/>
      </c>
      <c r="D30" s="14">
        <f>((((D24*Assumptions!$E$35)+(D25*Assumptions!$E$36))+(D27*Assumptions!$E$37))+(D21*Assumptions!$E$38))</f>
        <v/>
      </c>
      <c r="E30" s="14">
        <f>((((E24*Assumptions!$E$35)+(E25*Assumptions!$E$36))+(E27*Assumptions!$E$37))+(E21*Assumptions!$E$38))</f>
        <v/>
      </c>
      <c r="F30" s="14">
        <f>((((F24*Assumptions!$E$35)+(F25*Assumptions!$E$36))+(F27*Assumptions!$E$37))+(F21*Assumptions!$E$38))</f>
        <v/>
      </c>
      <c r="G30" s="14">
        <f>((((G24*Assumptions!$E$35)+(G25*Assumptions!$E$36))+(G27*Assumptions!$E$37))+(G21*Assumptions!$E$38))</f>
        <v/>
      </c>
      <c r="H30" s="14">
        <f>((((H24*Assumptions!$E$35)+(H25*Assumptions!$E$36))+(H27*Assumptions!$E$37))+(H21*Assumptions!$E$38))</f>
        <v/>
      </c>
      <c r="I30" s="14">
        <f>((((I24*Assumptions!$E$35)+(I25*Assumptions!$E$36))+(I27*Assumptions!$E$37))+(I21*Assumptions!$E$38))</f>
        <v/>
      </c>
      <c r="J30" s="14">
        <f>((((J24*Assumptions!$E$35)+(J25*Assumptions!$E$36))+(J27*Assumptions!$E$37))+(J21*Assumptions!$E$38))</f>
        <v/>
      </c>
      <c r="K30" s="14">
        <f>((((K24*Assumptions!$E$35)+(K25*Assumptions!$E$36))+(K27*Assumptions!$E$37))+(K21*Assumptions!$E$38))</f>
        <v/>
      </c>
      <c r="L30" s="14">
        <f>((((L24*Assumptions!$E$35)+(L25*Assumptions!$E$36))+(L27*Assumptions!$E$37))+(L21*Assumptions!$E$38))</f>
        <v/>
      </c>
      <c r="M30" s="14">
        <f>((((M24*Assumptions!$E$35)+(M25*Assumptions!$E$36))+(M27*Assumptions!$E$37))+(M21*Assumptions!$E$38))</f>
        <v/>
      </c>
      <c r="N30" s="14">
        <f>((((N24*Assumptions!$E$35)+(N25*Assumptions!$E$36))+(N27*Assumptions!$E$37))+(N21*Assumptions!$E$38))</f>
        <v/>
      </c>
      <c r="O30" s="14">
        <f>((((O24*Assumptions!$E$35)+(O25*Assumptions!$E$36))+(O27*Assumptions!$E$37))+(O21*Assumptions!$E$38))</f>
        <v/>
      </c>
      <c r="P30" s="14">
        <f>((((P24*Assumptions!$E$35)+(P25*Assumptions!$E$36))+(P27*Assumptions!$E$37))+(P21*Assumptions!$E$38))</f>
        <v/>
      </c>
      <c r="Q30" s="14">
        <f>((((Q24*Assumptions!$E$35)+(Q25*Assumptions!$E$36))+(Q27*Assumptions!$E$37))+(Q21*Assumptions!$E$38))</f>
        <v/>
      </c>
      <c r="R30" s="14">
        <f>((((R24*Assumptions!$E$35)+(R25*Assumptions!$E$36))+(R27*Assumptions!$E$37))+(R21*Assumptions!$E$38))</f>
        <v/>
      </c>
      <c r="S30" s="14">
        <f>((((S24*Assumptions!$E$35)+(S25*Assumptions!$E$36))+(S27*Assumptions!$E$37))+(S21*Assumptions!$E$38))</f>
        <v/>
      </c>
      <c r="T30" s="14">
        <f>((((T24*Assumptions!$E$35)+(T25*Assumptions!$E$36))+(T27*Assumptions!$E$37))+(T21*Assumptions!$E$38))</f>
        <v/>
      </c>
      <c r="U30" s="14">
        <f>((((U24*Assumptions!$E$35)+(U25*Assumptions!$E$36))+(U27*Assumptions!$E$37))+(U21*Assumptions!$E$38))</f>
        <v/>
      </c>
      <c r="V30" s="14">
        <f>((((V24*Assumptions!$E$35)+(V25*Assumptions!$E$36))+(V27*Assumptions!$E$37))+(V21*Assumptions!$E$38))</f>
        <v/>
      </c>
      <c r="W30" s="14">
        <f>((((W24*Assumptions!$E$35)+(W25*Assumptions!$E$36))+(W27*Assumptions!$E$37))+(W21*Assumptions!$E$38))</f>
        <v/>
      </c>
      <c r="X30" s="14">
        <f>((((X24*Assumptions!$E$35)+(X25*Assumptions!$E$36))+(X27*Assumptions!$E$37))+(X21*Assumptions!$E$38))</f>
        <v/>
      </c>
      <c r="Y30" s="14">
        <f>((((Y24*Assumptions!$E$35)+(Y25*Assumptions!$E$36))+(Y27*Assumptions!$E$37))+(Y21*Assumptions!$E$38))</f>
        <v/>
      </c>
      <c r="Z30" s="14">
        <f>((((Z24*Assumptions!$E$35)+(Z25*Assumptions!$E$36))+(Z27*Assumptions!$E$37))+(Z21*Assumptions!$E$38))</f>
        <v/>
      </c>
      <c r="AA30" s="14">
        <f>((((AA24*Assumptions!$E$35)+(AA25*Assumptions!$E$36))+(AA27*Assumptions!$E$37))+(AA21*Assumptions!$E$38))</f>
        <v/>
      </c>
      <c r="AB30" s="14">
        <f>((((AB24*Assumptions!$E$35)+(AB25*Assumptions!$E$36))+(AB27*Assumptions!$E$37))+(AB21*Assumptions!$E$38))</f>
        <v/>
      </c>
      <c r="AC30" s="14">
        <f>((((AC24*Assumptions!$E$35)+(AC25*Assumptions!$E$36))+(AC27*Assumptions!$E$37))+(AC21*Assumptions!$E$38))</f>
        <v/>
      </c>
      <c r="AD30" s="14">
        <f>((((AD24*Assumptions!$E$35)+(AD25*Assumptions!$E$36))+(AD27*Assumptions!$E$37))+(AD21*Assumptions!$E$38))</f>
        <v/>
      </c>
      <c r="AE30" s="14">
        <f>((((AE24*Assumptions!$E$35)+(AE25*Assumptions!$E$36))+(AE27*Assumptions!$E$37))+(AE21*Assumptions!$E$38))</f>
        <v/>
      </c>
      <c r="AF30" s="14">
        <f>((((AF24*Assumptions!$E$35)+(AF25*Assumptions!$E$36))+(AF27*Assumptions!$E$37))+(AF21*Assumptions!$E$38))</f>
        <v/>
      </c>
      <c r="AG30" s="14">
        <f>((((AG24*Assumptions!$E$35)+(AG25*Assumptions!$E$36))+(AG27*Assumptions!$E$37))+(AG21*Assumptions!$E$38))</f>
        <v/>
      </c>
      <c r="AH30" s="14">
        <f>((((AH24*Assumptions!$E$35)+(AH25*Assumptions!$E$36))+(AH27*Assumptions!$E$37))+(AH21*Assumptions!$E$38))</f>
        <v/>
      </c>
      <c r="AI30" s="14">
        <f>((((AI24*Assumptions!$E$35)+(AI25*Assumptions!$E$36))+(AI27*Assumptions!$E$37))+(AI21*Assumptions!$E$38))</f>
        <v/>
      </c>
      <c r="AJ30" s="14">
        <f>((((AJ24*Assumptions!$E$35)+(AJ25*Assumptions!$E$36))+(AJ27*Assumptions!$E$37))+(AJ21*Assumptions!$E$38))</f>
        <v/>
      </c>
      <c r="AK30" s="14">
        <f>((((AK24*Assumptions!$E$35)+(AK25*Assumptions!$E$36))+(AK27*Assumptions!$E$37))+(AK21*Assumptions!$E$38))</f>
        <v/>
      </c>
      <c r="AL30" s="14">
        <f>((((AL24*Assumptions!$E$35)+(AL25*Assumptions!$E$36))+(AL27*Assumptions!$E$37))+(AL21*Assumptions!$E$38))</f>
        <v/>
      </c>
    </row>
    <row r="32">
      <c r="A32" s="4" t="inlineStr">
        <is>
          <t>ACTIVE USERS</t>
        </is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</row>
    <row r="33">
      <c r="A33" s="6" t="inlineStr">
        <is>
          <t>New free users this month</t>
        </is>
      </c>
      <c r="B33" s="2" t="inlineStr">
        <is>
          <t>free_new</t>
        </is>
      </c>
      <c r="C33" s="17">
        <f>(C12-C17)</f>
        <v/>
      </c>
      <c r="D33" s="17">
        <f>(D12-D17)</f>
        <v/>
      </c>
      <c r="E33" s="17">
        <f>(E12-E17)</f>
        <v/>
      </c>
      <c r="F33" s="17">
        <f>(F12-F17)</f>
        <v/>
      </c>
      <c r="G33" s="17">
        <f>(G12-G17)</f>
        <v/>
      </c>
      <c r="H33" s="17">
        <f>(H12-H17)</f>
        <v/>
      </c>
      <c r="I33" s="17">
        <f>(I12-I17)</f>
        <v/>
      </c>
      <c r="J33" s="17">
        <f>(J12-J17)</f>
        <v/>
      </c>
      <c r="K33" s="17">
        <f>(K12-K17)</f>
        <v/>
      </c>
      <c r="L33" s="17">
        <f>(L12-L17)</f>
        <v/>
      </c>
      <c r="M33" s="17">
        <f>(M12-M17)</f>
        <v/>
      </c>
      <c r="N33" s="17">
        <f>(N12-N17)</f>
        <v/>
      </c>
      <c r="O33" s="17">
        <f>(O12-O17)</f>
        <v/>
      </c>
      <c r="P33" s="17">
        <f>(P12-P17)</f>
        <v/>
      </c>
      <c r="Q33" s="17">
        <f>(Q12-Q17)</f>
        <v/>
      </c>
      <c r="R33" s="17">
        <f>(R12-R17)</f>
        <v/>
      </c>
      <c r="S33" s="17">
        <f>(S12-S17)</f>
        <v/>
      </c>
      <c r="T33" s="17">
        <f>(T12-T17)</f>
        <v/>
      </c>
      <c r="U33" s="17">
        <f>(U12-U17)</f>
        <v/>
      </c>
      <c r="V33" s="17">
        <f>(V12-V17)</f>
        <v/>
      </c>
      <c r="W33" s="17">
        <f>(W12-W17)</f>
        <v/>
      </c>
      <c r="X33" s="17">
        <f>(X12-X17)</f>
        <v/>
      </c>
      <c r="Y33" s="17">
        <f>(Y12-Y17)</f>
        <v/>
      </c>
      <c r="Z33" s="17">
        <f>(Z12-Z17)</f>
        <v/>
      </c>
      <c r="AA33" s="17">
        <f>(AA12-AA17)</f>
        <v/>
      </c>
      <c r="AB33" s="17">
        <f>(AB12-AB17)</f>
        <v/>
      </c>
      <c r="AC33" s="17">
        <f>(AC12-AC17)</f>
        <v/>
      </c>
      <c r="AD33" s="17">
        <f>(AD12-AD17)</f>
        <v/>
      </c>
      <c r="AE33" s="17">
        <f>(AE12-AE17)</f>
        <v/>
      </c>
      <c r="AF33" s="17">
        <f>(AF12-AF17)</f>
        <v/>
      </c>
      <c r="AG33" s="17">
        <f>(AG12-AG17)</f>
        <v/>
      </c>
      <c r="AH33" s="17">
        <f>(AH12-AH17)</f>
        <v/>
      </c>
      <c r="AI33" s="17">
        <f>(AI12-AI17)</f>
        <v/>
      </c>
      <c r="AJ33" s="17">
        <f>(AJ12-AJ17)</f>
        <v/>
      </c>
      <c r="AK33" s="17">
        <f>(AK12-AK17)</f>
        <v/>
      </c>
      <c r="AL33" s="17">
        <f>(AL12-AL17)</f>
        <v/>
      </c>
    </row>
    <row r="34">
      <c r="A34" s="6" t="inlineStr">
        <is>
          <t>Retained free users from earlier months</t>
        </is>
      </c>
      <c r="B34" s="2" t="inlineStr">
        <is>
          <t>free_pool</t>
        </is>
      </c>
      <c r="C34" s="17">
        <f>((0*(1-Assumptions!$E$27))+(0*Assumptions!$E$26))</f>
        <v/>
      </c>
      <c r="D34" s="17">
        <f>((C34*(1-Assumptions!$E$27))+(C33*Assumptions!$E$26))</f>
        <v/>
      </c>
      <c r="E34" s="17">
        <f>((D34*(1-Assumptions!$E$27))+(D33*Assumptions!$E$26))</f>
        <v/>
      </c>
      <c r="F34" s="17">
        <f>((E34*(1-Assumptions!$E$27))+(E33*Assumptions!$E$26))</f>
        <v/>
      </c>
      <c r="G34" s="17">
        <f>((F34*(1-Assumptions!$E$27))+(F33*Assumptions!$E$26))</f>
        <v/>
      </c>
      <c r="H34" s="17">
        <f>((G34*(1-Assumptions!$E$27))+(G33*Assumptions!$E$26))</f>
        <v/>
      </c>
      <c r="I34" s="17">
        <f>((H34*(1-Assumptions!$E$27))+(H33*Assumptions!$E$26))</f>
        <v/>
      </c>
      <c r="J34" s="17">
        <f>((I34*(1-Assumptions!$E$27))+(I33*Assumptions!$E$26))</f>
        <v/>
      </c>
      <c r="K34" s="17">
        <f>((J34*(1-Assumptions!$E$27))+(J33*Assumptions!$E$26))</f>
        <v/>
      </c>
      <c r="L34" s="17">
        <f>((K34*(1-Assumptions!$E$27))+(K33*Assumptions!$E$26))</f>
        <v/>
      </c>
      <c r="M34" s="17">
        <f>((L34*(1-Assumptions!$E$27))+(L33*Assumptions!$E$26))</f>
        <v/>
      </c>
      <c r="N34" s="17">
        <f>((M34*(1-Assumptions!$E$27))+(M33*Assumptions!$E$26))</f>
        <v/>
      </c>
      <c r="O34" s="17">
        <f>((N34*(1-Assumptions!$E$27))+(N33*Assumptions!$E$26))</f>
        <v/>
      </c>
      <c r="P34" s="17">
        <f>((O34*(1-Assumptions!$E$27))+(O33*Assumptions!$E$26))</f>
        <v/>
      </c>
      <c r="Q34" s="17">
        <f>((P34*(1-Assumptions!$E$27))+(P33*Assumptions!$E$26))</f>
        <v/>
      </c>
      <c r="R34" s="17">
        <f>((Q34*(1-Assumptions!$E$27))+(Q33*Assumptions!$E$26))</f>
        <v/>
      </c>
      <c r="S34" s="17">
        <f>((R34*(1-Assumptions!$E$27))+(R33*Assumptions!$E$26))</f>
        <v/>
      </c>
      <c r="T34" s="17">
        <f>((S34*(1-Assumptions!$E$27))+(S33*Assumptions!$E$26))</f>
        <v/>
      </c>
      <c r="U34" s="17">
        <f>((T34*(1-Assumptions!$E$27))+(T33*Assumptions!$E$26))</f>
        <v/>
      </c>
      <c r="V34" s="17">
        <f>((U34*(1-Assumptions!$E$27))+(U33*Assumptions!$E$26))</f>
        <v/>
      </c>
      <c r="W34" s="17">
        <f>((V34*(1-Assumptions!$E$27))+(V33*Assumptions!$E$26))</f>
        <v/>
      </c>
      <c r="X34" s="17">
        <f>((W34*(1-Assumptions!$E$27))+(W33*Assumptions!$E$26))</f>
        <v/>
      </c>
      <c r="Y34" s="17">
        <f>((X34*(1-Assumptions!$E$27))+(X33*Assumptions!$E$26))</f>
        <v/>
      </c>
      <c r="Z34" s="17">
        <f>((Y34*(1-Assumptions!$E$27))+(Y33*Assumptions!$E$26))</f>
        <v/>
      </c>
      <c r="AA34" s="17">
        <f>((Z34*(1-Assumptions!$E$27))+(Z33*Assumptions!$E$26))</f>
        <v/>
      </c>
      <c r="AB34" s="17">
        <f>((AA34*(1-Assumptions!$E$27))+(AA33*Assumptions!$E$26))</f>
        <v/>
      </c>
      <c r="AC34" s="17">
        <f>((AB34*(1-Assumptions!$E$27))+(AB33*Assumptions!$E$26))</f>
        <v/>
      </c>
      <c r="AD34" s="17">
        <f>((AC34*(1-Assumptions!$E$27))+(AC33*Assumptions!$E$26))</f>
        <v/>
      </c>
      <c r="AE34" s="17">
        <f>((AD34*(1-Assumptions!$E$27))+(AD33*Assumptions!$E$26))</f>
        <v/>
      </c>
      <c r="AF34" s="17">
        <f>((AE34*(1-Assumptions!$E$27))+(AE33*Assumptions!$E$26))</f>
        <v/>
      </c>
      <c r="AG34" s="17">
        <f>((AF34*(1-Assumptions!$E$27))+(AF33*Assumptions!$E$26))</f>
        <v/>
      </c>
      <c r="AH34" s="17">
        <f>((AG34*(1-Assumptions!$E$27))+(AG33*Assumptions!$E$26))</f>
        <v/>
      </c>
      <c r="AI34" s="17">
        <f>((AH34*(1-Assumptions!$E$27))+(AH33*Assumptions!$E$26))</f>
        <v/>
      </c>
      <c r="AJ34" s="17">
        <f>((AI34*(1-Assumptions!$E$27))+(AI33*Assumptions!$E$26))</f>
        <v/>
      </c>
      <c r="AK34" s="17">
        <f>((AJ34*(1-Assumptions!$E$27))+(AJ33*Assumptions!$E$26))</f>
        <v/>
      </c>
      <c r="AL34" s="17">
        <f>((AK34*(1-Assumptions!$E$27))+(AK33*Assumptions!$E$26))</f>
        <v/>
      </c>
    </row>
    <row r="35">
      <c r="A35" s="6" t="inlineStr">
        <is>
          <t>Free MAU</t>
        </is>
      </c>
      <c r="B35" s="2" t="inlineStr">
        <is>
          <t>mau_free</t>
        </is>
      </c>
      <c r="C35" s="17">
        <f>(C33+C34)</f>
        <v/>
      </c>
      <c r="D35" s="17">
        <f>(D33+D34)</f>
        <v/>
      </c>
      <c r="E35" s="17">
        <f>(E33+E34)</f>
        <v/>
      </c>
      <c r="F35" s="17">
        <f>(F33+F34)</f>
        <v/>
      </c>
      <c r="G35" s="17">
        <f>(G33+G34)</f>
        <v/>
      </c>
      <c r="H35" s="17">
        <f>(H33+H34)</f>
        <v/>
      </c>
      <c r="I35" s="17">
        <f>(I33+I34)</f>
        <v/>
      </c>
      <c r="J35" s="17">
        <f>(J33+J34)</f>
        <v/>
      </c>
      <c r="K35" s="17">
        <f>(K33+K34)</f>
        <v/>
      </c>
      <c r="L35" s="17">
        <f>(L33+L34)</f>
        <v/>
      </c>
      <c r="M35" s="17">
        <f>(M33+M34)</f>
        <v/>
      </c>
      <c r="N35" s="17">
        <f>(N33+N34)</f>
        <v/>
      </c>
      <c r="O35" s="17">
        <f>(O33+O34)</f>
        <v/>
      </c>
      <c r="P35" s="17">
        <f>(P33+P34)</f>
        <v/>
      </c>
      <c r="Q35" s="17">
        <f>(Q33+Q34)</f>
        <v/>
      </c>
      <c r="R35" s="17">
        <f>(R33+R34)</f>
        <v/>
      </c>
      <c r="S35" s="17">
        <f>(S33+S34)</f>
        <v/>
      </c>
      <c r="T35" s="17">
        <f>(T33+T34)</f>
        <v/>
      </c>
      <c r="U35" s="17">
        <f>(U33+U34)</f>
        <v/>
      </c>
      <c r="V35" s="17">
        <f>(V33+V34)</f>
        <v/>
      </c>
      <c r="W35" s="17">
        <f>(W33+W34)</f>
        <v/>
      </c>
      <c r="X35" s="17">
        <f>(X33+X34)</f>
        <v/>
      </c>
      <c r="Y35" s="17">
        <f>(Y33+Y34)</f>
        <v/>
      </c>
      <c r="Z35" s="17">
        <f>(Z33+Z34)</f>
        <v/>
      </c>
      <c r="AA35" s="17">
        <f>(AA33+AA34)</f>
        <v/>
      </c>
      <c r="AB35" s="17">
        <f>(AB33+AB34)</f>
        <v/>
      </c>
      <c r="AC35" s="17">
        <f>(AC33+AC34)</f>
        <v/>
      </c>
      <c r="AD35" s="17">
        <f>(AD33+AD34)</f>
        <v/>
      </c>
      <c r="AE35" s="17">
        <f>(AE33+AE34)</f>
        <v/>
      </c>
      <c r="AF35" s="17">
        <f>(AF33+AF34)</f>
        <v/>
      </c>
      <c r="AG35" s="17">
        <f>(AG33+AG34)</f>
        <v/>
      </c>
      <c r="AH35" s="17">
        <f>(AH33+AH34)</f>
        <v/>
      </c>
      <c r="AI35" s="17">
        <f>(AI33+AI34)</f>
        <v/>
      </c>
      <c r="AJ35" s="17">
        <f>(AJ33+AJ34)</f>
        <v/>
      </c>
      <c r="AK35" s="17">
        <f>(AK33+AK34)</f>
        <v/>
      </c>
      <c r="AL35" s="17">
        <f>(AL33+AL34)</f>
        <v/>
      </c>
    </row>
    <row r="36">
      <c r="A36" s="21" t="inlineStr">
        <is>
          <t>Total MAU (free + paid)</t>
        </is>
      </c>
      <c r="B36" s="2" t="inlineStr">
        <is>
          <t>mau_total</t>
        </is>
      </c>
      <c r="C36" s="22">
        <f>(C35+C29)</f>
        <v/>
      </c>
      <c r="D36" s="22">
        <f>(D35+D29)</f>
        <v/>
      </c>
      <c r="E36" s="22">
        <f>(E35+E29)</f>
        <v/>
      </c>
      <c r="F36" s="22">
        <f>(F35+F29)</f>
        <v/>
      </c>
      <c r="G36" s="22">
        <f>(G35+G29)</f>
        <v/>
      </c>
      <c r="H36" s="22">
        <f>(H35+H29)</f>
        <v/>
      </c>
      <c r="I36" s="22">
        <f>(I35+I29)</f>
        <v/>
      </c>
      <c r="J36" s="22">
        <f>(J35+J29)</f>
        <v/>
      </c>
      <c r="K36" s="22">
        <f>(K35+K29)</f>
        <v/>
      </c>
      <c r="L36" s="22">
        <f>(L35+L29)</f>
        <v/>
      </c>
      <c r="M36" s="22">
        <f>(M35+M29)</f>
        <v/>
      </c>
      <c r="N36" s="22">
        <f>(N35+N29)</f>
        <v/>
      </c>
      <c r="O36" s="22">
        <f>(O35+O29)</f>
        <v/>
      </c>
      <c r="P36" s="22">
        <f>(P35+P29)</f>
        <v/>
      </c>
      <c r="Q36" s="22">
        <f>(Q35+Q29)</f>
        <v/>
      </c>
      <c r="R36" s="22">
        <f>(R35+R29)</f>
        <v/>
      </c>
      <c r="S36" s="22">
        <f>(S35+S29)</f>
        <v/>
      </c>
      <c r="T36" s="22">
        <f>(T35+T29)</f>
        <v/>
      </c>
      <c r="U36" s="22">
        <f>(U35+U29)</f>
        <v/>
      </c>
      <c r="V36" s="22">
        <f>(V35+V29)</f>
        <v/>
      </c>
      <c r="W36" s="22">
        <f>(W35+W29)</f>
        <v/>
      </c>
      <c r="X36" s="22">
        <f>(X35+X29)</f>
        <v/>
      </c>
      <c r="Y36" s="22">
        <f>(Y35+Y29)</f>
        <v/>
      </c>
      <c r="Z36" s="22">
        <f>(Z35+Z29)</f>
        <v/>
      </c>
      <c r="AA36" s="22">
        <f>(AA35+AA29)</f>
        <v/>
      </c>
      <c r="AB36" s="22">
        <f>(AB35+AB29)</f>
        <v/>
      </c>
      <c r="AC36" s="22">
        <f>(AC35+AC29)</f>
        <v/>
      </c>
      <c r="AD36" s="22">
        <f>(AD35+AD29)</f>
        <v/>
      </c>
      <c r="AE36" s="22">
        <f>(AE35+AE29)</f>
        <v/>
      </c>
      <c r="AF36" s="22">
        <f>(AF35+AF29)</f>
        <v/>
      </c>
      <c r="AG36" s="22">
        <f>(AG35+AG29)</f>
        <v/>
      </c>
      <c r="AH36" s="22">
        <f>(AH35+AH29)</f>
        <v/>
      </c>
      <c r="AI36" s="22">
        <f>(AI35+AI29)</f>
        <v/>
      </c>
      <c r="AJ36" s="22">
        <f>(AJ35+AJ29)</f>
        <v/>
      </c>
      <c r="AK36" s="22">
        <f>(AK35+AK29)</f>
        <v/>
      </c>
      <c r="AL36" s="22">
        <f>(AL35+AL29)</f>
        <v/>
      </c>
    </row>
    <row r="37">
      <c r="A37" s="6" t="inlineStr">
        <is>
          <t>Paid subscribers / MAU</t>
        </is>
      </c>
      <c r="B37" s="2" t="inlineStr">
        <is>
          <t>paid_share</t>
        </is>
      </c>
      <c r="C37" s="16">
        <f>IF(C36=0,0,C29/C36)</f>
        <v/>
      </c>
      <c r="D37" s="16">
        <f>IF(D36=0,0,D29/D36)</f>
        <v/>
      </c>
      <c r="E37" s="16">
        <f>IF(E36=0,0,E29/E36)</f>
        <v/>
      </c>
      <c r="F37" s="16">
        <f>IF(F36=0,0,F29/F36)</f>
        <v/>
      </c>
      <c r="G37" s="16">
        <f>IF(G36=0,0,G29/G36)</f>
        <v/>
      </c>
      <c r="H37" s="16">
        <f>IF(H36=0,0,H29/H36)</f>
        <v/>
      </c>
      <c r="I37" s="16">
        <f>IF(I36=0,0,I29/I36)</f>
        <v/>
      </c>
      <c r="J37" s="16">
        <f>IF(J36=0,0,J29/J36)</f>
        <v/>
      </c>
      <c r="K37" s="16">
        <f>IF(K36=0,0,K29/K36)</f>
        <v/>
      </c>
      <c r="L37" s="16">
        <f>IF(L36=0,0,L29/L36)</f>
        <v/>
      </c>
      <c r="M37" s="16">
        <f>IF(M36=0,0,M29/M36)</f>
        <v/>
      </c>
      <c r="N37" s="16">
        <f>IF(N36=0,0,N29/N36)</f>
        <v/>
      </c>
      <c r="O37" s="16">
        <f>IF(O36=0,0,O29/O36)</f>
        <v/>
      </c>
      <c r="P37" s="16">
        <f>IF(P36=0,0,P29/P36)</f>
        <v/>
      </c>
      <c r="Q37" s="16">
        <f>IF(Q36=0,0,Q29/Q36)</f>
        <v/>
      </c>
      <c r="R37" s="16">
        <f>IF(R36=0,0,R29/R36)</f>
        <v/>
      </c>
      <c r="S37" s="16">
        <f>IF(S36=0,0,S29/S36)</f>
        <v/>
      </c>
      <c r="T37" s="16">
        <f>IF(T36=0,0,T29/T36)</f>
        <v/>
      </c>
      <c r="U37" s="16">
        <f>IF(U36=0,0,U29/U36)</f>
        <v/>
      </c>
      <c r="V37" s="16">
        <f>IF(V36=0,0,V29/V36)</f>
        <v/>
      </c>
      <c r="W37" s="16">
        <f>IF(W36=0,0,W29/W36)</f>
        <v/>
      </c>
      <c r="X37" s="16">
        <f>IF(X36=0,0,X29/X36)</f>
        <v/>
      </c>
      <c r="Y37" s="16">
        <f>IF(Y36=0,0,Y29/Y36)</f>
        <v/>
      </c>
      <c r="Z37" s="16">
        <f>IF(Z36=0,0,Z29/Z36)</f>
        <v/>
      </c>
      <c r="AA37" s="16">
        <f>IF(AA36=0,0,AA29/AA36)</f>
        <v/>
      </c>
      <c r="AB37" s="16">
        <f>IF(AB36=0,0,AB29/AB36)</f>
        <v/>
      </c>
      <c r="AC37" s="16">
        <f>IF(AC36=0,0,AC29/AC36)</f>
        <v/>
      </c>
      <c r="AD37" s="16">
        <f>IF(AD36=0,0,AD29/AD36)</f>
        <v/>
      </c>
      <c r="AE37" s="16">
        <f>IF(AE36=0,0,AE29/AE36)</f>
        <v/>
      </c>
      <c r="AF37" s="16">
        <f>IF(AF36=0,0,AF29/AF36)</f>
        <v/>
      </c>
      <c r="AG37" s="16">
        <f>IF(AG36=0,0,AG29/AG36)</f>
        <v/>
      </c>
      <c r="AH37" s="16">
        <f>IF(AH36=0,0,AH29/AH36)</f>
        <v/>
      </c>
      <c r="AI37" s="16">
        <f>IF(AI36=0,0,AI29/AI36)</f>
        <v/>
      </c>
      <c r="AJ37" s="16">
        <f>IF(AJ36=0,0,AJ29/AJ36)</f>
        <v/>
      </c>
      <c r="AK37" s="16">
        <f>IF(AK36=0,0,AK29/AK36)</f>
        <v/>
      </c>
      <c r="AL37" s="16">
        <f>IF(AL36=0,0,AL29/AL36)</f>
        <v/>
      </c>
    </row>
    <row r="39">
      <c r="A39" s="4" t="inlineStr">
        <is>
          <t>ADS, AFFILIATE, B2B AND LINKING VOLUMES</t>
        </is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</row>
    <row r="40">
      <c r="A40" s="6" t="inlineStr">
        <is>
          <t>Free MAU seeing ads</t>
        </is>
      </c>
      <c r="B40" s="2" t="inlineStr">
        <is>
          <t>ad_mau</t>
        </is>
      </c>
      <c r="C40" s="17">
        <f>IF(AND((Assumptions!$E$5=1),(C$2&gt;=Assumptions!$E$46)),(C35*Assumptions!$E$47),0)</f>
        <v/>
      </c>
      <c r="D40" s="17">
        <f>IF(AND((Assumptions!$E$5=1),(D$2&gt;=Assumptions!$E$46)),(D35*Assumptions!$E$47),0)</f>
        <v/>
      </c>
      <c r="E40" s="17">
        <f>IF(AND((Assumptions!$E$5=1),(E$2&gt;=Assumptions!$E$46)),(E35*Assumptions!$E$47),0)</f>
        <v/>
      </c>
      <c r="F40" s="17">
        <f>IF(AND((Assumptions!$E$5=1),(F$2&gt;=Assumptions!$E$46)),(F35*Assumptions!$E$47),0)</f>
        <v/>
      </c>
      <c r="G40" s="17">
        <f>IF(AND((Assumptions!$E$5=1),(G$2&gt;=Assumptions!$E$46)),(G35*Assumptions!$E$47),0)</f>
        <v/>
      </c>
      <c r="H40" s="17">
        <f>IF(AND((Assumptions!$E$5=1),(H$2&gt;=Assumptions!$E$46)),(H35*Assumptions!$E$47),0)</f>
        <v/>
      </c>
      <c r="I40" s="17">
        <f>IF(AND((Assumptions!$E$5=1),(I$2&gt;=Assumptions!$E$46)),(I35*Assumptions!$E$47),0)</f>
        <v/>
      </c>
      <c r="J40" s="17">
        <f>IF(AND((Assumptions!$E$5=1),(J$2&gt;=Assumptions!$E$46)),(J35*Assumptions!$E$47),0)</f>
        <v/>
      </c>
      <c r="K40" s="17">
        <f>IF(AND((Assumptions!$E$5=1),(K$2&gt;=Assumptions!$E$46)),(K35*Assumptions!$E$47),0)</f>
        <v/>
      </c>
      <c r="L40" s="17">
        <f>IF(AND((Assumptions!$E$5=1),(L$2&gt;=Assumptions!$E$46)),(L35*Assumptions!$E$47),0)</f>
        <v/>
      </c>
      <c r="M40" s="17">
        <f>IF(AND((Assumptions!$E$5=1),(M$2&gt;=Assumptions!$E$46)),(M35*Assumptions!$E$47),0)</f>
        <v/>
      </c>
      <c r="N40" s="17">
        <f>IF(AND((Assumptions!$E$5=1),(N$2&gt;=Assumptions!$E$46)),(N35*Assumptions!$E$47),0)</f>
        <v/>
      </c>
      <c r="O40" s="17">
        <f>IF(AND((Assumptions!$E$5=1),(O$2&gt;=Assumptions!$E$46)),(O35*Assumptions!$E$47),0)</f>
        <v/>
      </c>
      <c r="P40" s="17">
        <f>IF(AND((Assumptions!$E$5=1),(P$2&gt;=Assumptions!$E$46)),(P35*Assumptions!$E$47),0)</f>
        <v/>
      </c>
      <c r="Q40" s="17">
        <f>IF(AND((Assumptions!$E$5=1),(Q$2&gt;=Assumptions!$E$46)),(Q35*Assumptions!$E$47),0)</f>
        <v/>
      </c>
      <c r="R40" s="17">
        <f>IF(AND((Assumptions!$E$5=1),(R$2&gt;=Assumptions!$E$46)),(R35*Assumptions!$E$47),0)</f>
        <v/>
      </c>
      <c r="S40" s="17">
        <f>IF(AND((Assumptions!$E$5=1),(S$2&gt;=Assumptions!$E$46)),(S35*Assumptions!$E$47),0)</f>
        <v/>
      </c>
      <c r="T40" s="17">
        <f>IF(AND((Assumptions!$E$5=1),(T$2&gt;=Assumptions!$E$46)),(T35*Assumptions!$E$47),0)</f>
        <v/>
      </c>
      <c r="U40" s="17">
        <f>IF(AND((Assumptions!$E$5=1),(U$2&gt;=Assumptions!$E$46)),(U35*Assumptions!$E$47),0)</f>
        <v/>
      </c>
      <c r="V40" s="17">
        <f>IF(AND((Assumptions!$E$5=1),(V$2&gt;=Assumptions!$E$46)),(V35*Assumptions!$E$47),0)</f>
        <v/>
      </c>
      <c r="W40" s="17">
        <f>IF(AND((Assumptions!$E$5=1),(W$2&gt;=Assumptions!$E$46)),(W35*Assumptions!$E$47),0)</f>
        <v/>
      </c>
      <c r="X40" s="17">
        <f>IF(AND((Assumptions!$E$5=1),(X$2&gt;=Assumptions!$E$46)),(X35*Assumptions!$E$47),0)</f>
        <v/>
      </c>
      <c r="Y40" s="17">
        <f>IF(AND((Assumptions!$E$5=1),(Y$2&gt;=Assumptions!$E$46)),(Y35*Assumptions!$E$47),0)</f>
        <v/>
      </c>
      <c r="Z40" s="17">
        <f>IF(AND((Assumptions!$E$5=1),(Z$2&gt;=Assumptions!$E$46)),(Z35*Assumptions!$E$47),0)</f>
        <v/>
      </c>
      <c r="AA40" s="17">
        <f>IF(AND((Assumptions!$E$5=1),(AA$2&gt;=Assumptions!$E$46)),(AA35*Assumptions!$E$47),0)</f>
        <v/>
      </c>
      <c r="AB40" s="17">
        <f>IF(AND((Assumptions!$E$5=1),(AB$2&gt;=Assumptions!$E$46)),(AB35*Assumptions!$E$47),0)</f>
        <v/>
      </c>
      <c r="AC40" s="17">
        <f>IF(AND((Assumptions!$E$5=1),(AC$2&gt;=Assumptions!$E$46)),(AC35*Assumptions!$E$47),0)</f>
        <v/>
      </c>
      <c r="AD40" s="17">
        <f>IF(AND((Assumptions!$E$5=1),(AD$2&gt;=Assumptions!$E$46)),(AD35*Assumptions!$E$47),0)</f>
        <v/>
      </c>
      <c r="AE40" s="17">
        <f>IF(AND((Assumptions!$E$5=1),(AE$2&gt;=Assumptions!$E$46)),(AE35*Assumptions!$E$47),0)</f>
        <v/>
      </c>
      <c r="AF40" s="17">
        <f>IF(AND((Assumptions!$E$5=1),(AF$2&gt;=Assumptions!$E$46)),(AF35*Assumptions!$E$47),0)</f>
        <v/>
      </c>
      <c r="AG40" s="17">
        <f>IF(AND((Assumptions!$E$5=1),(AG$2&gt;=Assumptions!$E$46)),(AG35*Assumptions!$E$47),0)</f>
        <v/>
      </c>
      <c r="AH40" s="17">
        <f>IF(AND((Assumptions!$E$5=1),(AH$2&gt;=Assumptions!$E$46)),(AH35*Assumptions!$E$47),0)</f>
        <v/>
      </c>
      <c r="AI40" s="17">
        <f>IF(AND((Assumptions!$E$5=1),(AI$2&gt;=Assumptions!$E$46)),(AI35*Assumptions!$E$47),0)</f>
        <v/>
      </c>
      <c r="AJ40" s="17">
        <f>IF(AND((Assumptions!$E$5=1),(AJ$2&gt;=Assumptions!$E$46)),(AJ35*Assumptions!$E$47),0)</f>
        <v/>
      </c>
      <c r="AK40" s="17">
        <f>IF(AND((Assumptions!$E$5=1),(AK$2&gt;=Assumptions!$E$46)),(AK35*Assumptions!$E$47),0)</f>
        <v/>
      </c>
      <c r="AL40" s="17">
        <f>IF(AND((Assumptions!$E$5=1),(AL$2&gt;=Assumptions!$E$46)),(AL35*Assumptions!$E$47),0)</f>
        <v/>
      </c>
    </row>
    <row r="41">
      <c r="A41" s="6" t="inlineStr">
        <is>
          <t>Ad impressions: article / lesson end</t>
        </is>
      </c>
      <c r="B41" s="2" t="inlineStr">
        <is>
          <t>imps_article</t>
        </is>
      </c>
      <c r="C41" s="17">
        <f>(C40*Assumptions!$E$48)</f>
        <v/>
      </c>
      <c r="D41" s="17">
        <f>(D40*Assumptions!$E$48)</f>
        <v/>
      </c>
      <c r="E41" s="17">
        <f>(E40*Assumptions!$E$48)</f>
        <v/>
      </c>
      <c r="F41" s="17">
        <f>(F40*Assumptions!$E$48)</f>
        <v/>
      </c>
      <c r="G41" s="17">
        <f>(G40*Assumptions!$E$48)</f>
        <v/>
      </c>
      <c r="H41" s="17">
        <f>(H40*Assumptions!$E$48)</f>
        <v/>
      </c>
      <c r="I41" s="17">
        <f>(I40*Assumptions!$E$48)</f>
        <v/>
      </c>
      <c r="J41" s="17">
        <f>(J40*Assumptions!$E$48)</f>
        <v/>
      </c>
      <c r="K41" s="17">
        <f>(K40*Assumptions!$E$48)</f>
        <v/>
      </c>
      <c r="L41" s="17">
        <f>(L40*Assumptions!$E$48)</f>
        <v/>
      </c>
      <c r="M41" s="17">
        <f>(M40*Assumptions!$E$48)</f>
        <v/>
      </c>
      <c r="N41" s="17">
        <f>(N40*Assumptions!$E$48)</f>
        <v/>
      </c>
      <c r="O41" s="17">
        <f>(O40*Assumptions!$E$48)</f>
        <v/>
      </c>
      <c r="P41" s="17">
        <f>(P40*Assumptions!$E$48)</f>
        <v/>
      </c>
      <c r="Q41" s="17">
        <f>(Q40*Assumptions!$E$48)</f>
        <v/>
      </c>
      <c r="R41" s="17">
        <f>(R40*Assumptions!$E$48)</f>
        <v/>
      </c>
      <c r="S41" s="17">
        <f>(S40*Assumptions!$E$48)</f>
        <v/>
      </c>
      <c r="T41" s="17">
        <f>(T40*Assumptions!$E$48)</f>
        <v/>
      </c>
      <c r="U41" s="17">
        <f>(U40*Assumptions!$E$48)</f>
        <v/>
      </c>
      <c r="V41" s="17">
        <f>(V40*Assumptions!$E$48)</f>
        <v/>
      </c>
      <c r="W41" s="17">
        <f>(W40*Assumptions!$E$48)</f>
        <v/>
      </c>
      <c r="X41" s="17">
        <f>(X40*Assumptions!$E$48)</f>
        <v/>
      </c>
      <c r="Y41" s="17">
        <f>(Y40*Assumptions!$E$48)</f>
        <v/>
      </c>
      <c r="Z41" s="17">
        <f>(Z40*Assumptions!$E$48)</f>
        <v/>
      </c>
      <c r="AA41" s="17">
        <f>(AA40*Assumptions!$E$48)</f>
        <v/>
      </c>
      <c r="AB41" s="17">
        <f>(AB40*Assumptions!$E$48)</f>
        <v/>
      </c>
      <c r="AC41" s="17">
        <f>(AC40*Assumptions!$E$48)</f>
        <v/>
      </c>
      <c r="AD41" s="17">
        <f>(AD40*Assumptions!$E$48)</f>
        <v/>
      </c>
      <c r="AE41" s="17">
        <f>(AE40*Assumptions!$E$48)</f>
        <v/>
      </c>
      <c r="AF41" s="17">
        <f>(AF40*Assumptions!$E$48)</f>
        <v/>
      </c>
      <c r="AG41" s="17">
        <f>(AG40*Assumptions!$E$48)</f>
        <v/>
      </c>
      <c r="AH41" s="17">
        <f>(AH40*Assumptions!$E$48)</f>
        <v/>
      </c>
      <c r="AI41" s="17">
        <f>(AI40*Assumptions!$E$48)</f>
        <v/>
      </c>
      <c r="AJ41" s="17">
        <f>(AJ40*Assumptions!$E$48)</f>
        <v/>
      </c>
      <c r="AK41" s="17">
        <f>(AK40*Assumptions!$E$48)</f>
        <v/>
      </c>
      <c r="AL41" s="17">
        <f>(AL40*Assumptions!$E$48)</f>
        <v/>
      </c>
    </row>
    <row r="42">
      <c r="A42" s="6" t="inlineStr">
        <is>
          <t>Ad impressions: screener native</t>
        </is>
      </c>
      <c r="B42" s="2" t="inlineStr">
        <is>
          <t>imps_screener</t>
        </is>
      </c>
      <c r="C42" s="17">
        <f>(C40*Assumptions!$E$49)</f>
        <v/>
      </c>
      <c r="D42" s="17">
        <f>(D40*Assumptions!$E$49)</f>
        <v/>
      </c>
      <c r="E42" s="17">
        <f>(E40*Assumptions!$E$49)</f>
        <v/>
      </c>
      <c r="F42" s="17">
        <f>(F40*Assumptions!$E$49)</f>
        <v/>
      </c>
      <c r="G42" s="17">
        <f>(G40*Assumptions!$E$49)</f>
        <v/>
      </c>
      <c r="H42" s="17">
        <f>(H40*Assumptions!$E$49)</f>
        <v/>
      </c>
      <c r="I42" s="17">
        <f>(I40*Assumptions!$E$49)</f>
        <v/>
      </c>
      <c r="J42" s="17">
        <f>(J40*Assumptions!$E$49)</f>
        <v/>
      </c>
      <c r="K42" s="17">
        <f>(K40*Assumptions!$E$49)</f>
        <v/>
      </c>
      <c r="L42" s="17">
        <f>(L40*Assumptions!$E$49)</f>
        <v/>
      </c>
      <c r="M42" s="17">
        <f>(M40*Assumptions!$E$49)</f>
        <v/>
      </c>
      <c r="N42" s="17">
        <f>(N40*Assumptions!$E$49)</f>
        <v/>
      </c>
      <c r="O42" s="17">
        <f>(O40*Assumptions!$E$49)</f>
        <v/>
      </c>
      <c r="P42" s="17">
        <f>(P40*Assumptions!$E$49)</f>
        <v/>
      </c>
      <c r="Q42" s="17">
        <f>(Q40*Assumptions!$E$49)</f>
        <v/>
      </c>
      <c r="R42" s="17">
        <f>(R40*Assumptions!$E$49)</f>
        <v/>
      </c>
      <c r="S42" s="17">
        <f>(S40*Assumptions!$E$49)</f>
        <v/>
      </c>
      <c r="T42" s="17">
        <f>(T40*Assumptions!$E$49)</f>
        <v/>
      </c>
      <c r="U42" s="17">
        <f>(U40*Assumptions!$E$49)</f>
        <v/>
      </c>
      <c r="V42" s="17">
        <f>(V40*Assumptions!$E$49)</f>
        <v/>
      </c>
      <c r="W42" s="17">
        <f>(W40*Assumptions!$E$49)</f>
        <v/>
      </c>
      <c r="X42" s="17">
        <f>(X40*Assumptions!$E$49)</f>
        <v/>
      </c>
      <c r="Y42" s="17">
        <f>(Y40*Assumptions!$E$49)</f>
        <v/>
      </c>
      <c r="Z42" s="17">
        <f>(Z40*Assumptions!$E$49)</f>
        <v/>
      </c>
      <c r="AA42" s="17">
        <f>(AA40*Assumptions!$E$49)</f>
        <v/>
      </c>
      <c r="AB42" s="17">
        <f>(AB40*Assumptions!$E$49)</f>
        <v/>
      </c>
      <c r="AC42" s="17">
        <f>(AC40*Assumptions!$E$49)</f>
        <v/>
      </c>
      <c r="AD42" s="17">
        <f>(AD40*Assumptions!$E$49)</f>
        <v/>
      </c>
      <c r="AE42" s="17">
        <f>(AE40*Assumptions!$E$49)</f>
        <v/>
      </c>
      <c r="AF42" s="17">
        <f>(AF40*Assumptions!$E$49)</f>
        <v/>
      </c>
      <c r="AG42" s="17">
        <f>(AG40*Assumptions!$E$49)</f>
        <v/>
      </c>
      <c r="AH42" s="17">
        <f>(AH40*Assumptions!$E$49)</f>
        <v/>
      </c>
      <c r="AI42" s="17">
        <f>(AI40*Assumptions!$E$49)</f>
        <v/>
      </c>
      <c r="AJ42" s="17">
        <f>(AJ40*Assumptions!$E$49)</f>
        <v/>
      </c>
      <c r="AK42" s="17">
        <f>(AK40*Assumptions!$E$49)</f>
        <v/>
      </c>
      <c r="AL42" s="17">
        <f>(AL40*Assumptions!$E$49)</f>
        <v/>
      </c>
    </row>
    <row r="43">
      <c r="A43" s="6" t="inlineStr">
        <is>
          <t>Ad impressions: opt-in rewarded</t>
        </is>
      </c>
      <c r="B43" s="2" t="inlineStr">
        <is>
          <t>imps_rewarded</t>
        </is>
      </c>
      <c r="C43" s="17">
        <f>(C40*Assumptions!$E$50)</f>
        <v/>
      </c>
      <c r="D43" s="17">
        <f>(D40*Assumptions!$E$50)</f>
        <v/>
      </c>
      <c r="E43" s="17">
        <f>(E40*Assumptions!$E$50)</f>
        <v/>
      </c>
      <c r="F43" s="17">
        <f>(F40*Assumptions!$E$50)</f>
        <v/>
      </c>
      <c r="G43" s="17">
        <f>(G40*Assumptions!$E$50)</f>
        <v/>
      </c>
      <c r="H43" s="17">
        <f>(H40*Assumptions!$E$50)</f>
        <v/>
      </c>
      <c r="I43" s="17">
        <f>(I40*Assumptions!$E$50)</f>
        <v/>
      </c>
      <c r="J43" s="17">
        <f>(J40*Assumptions!$E$50)</f>
        <v/>
      </c>
      <c r="K43" s="17">
        <f>(K40*Assumptions!$E$50)</f>
        <v/>
      </c>
      <c r="L43" s="17">
        <f>(L40*Assumptions!$E$50)</f>
        <v/>
      </c>
      <c r="M43" s="17">
        <f>(M40*Assumptions!$E$50)</f>
        <v/>
      </c>
      <c r="N43" s="17">
        <f>(N40*Assumptions!$E$50)</f>
        <v/>
      </c>
      <c r="O43" s="17">
        <f>(O40*Assumptions!$E$50)</f>
        <v/>
      </c>
      <c r="P43" s="17">
        <f>(P40*Assumptions!$E$50)</f>
        <v/>
      </c>
      <c r="Q43" s="17">
        <f>(Q40*Assumptions!$E$50)</f>
        <v/>
      </c>
      <c r="R43" s="17">
        <f>(R40*Assumptions!$E$50)</f>
        <v/>
      </c>
      <c r="S43" s="17">
        <f>(S40*Assumptions!$E$50)</f>
        <v/>
      </c>
      <c r="T43" s="17">
        <f>(T40*Assumptions!$E$50)</f>
        <v/>
      </c>
      <c r="U43" s="17">
        <f>(U40*Assumptions!$E$50)</f>
        <v/>
      </c>
      <c r="V43" s="17">
        <f>(V40*Assumptions!$E$50)</f>
        <v/>
      </c>
      <c r="W43" s="17">
        <f>(W40*Assumptions!$E$50)</f>
        <v/>
      </c>
      <c r="X43" s="17">
        <f>(X40*Assumptions!$E$50)</f>
        <v/>
      </c>
      <c r="Y43" s="17">
        <f>(Y40*Assumptions!$E$50)</f>
        <v/>
      </c>
      <c r="Z43" s="17">
        <f>(Z40*Assumptions!$E$50)</f>
        <v/>
      </c>
      <c r="AA43" s="17">
        <f>(AA40*Assumptions!$E$50)</f>
        <v/>
      </c>
      <c r="AB43" s="17">
        <f>(AB40*Assumptions!$E$50)</f>
        <v/>
      </c>
      <c r="AC43" s="17">
        <f>(AC40*Assumptions!$E$50)</f>
        <v/>
      </c>
      <c r="AD43" s="17">
        <f>(AD40*Assumptions!$E$50)</f>
        <v/>
      </c>
      <c r="AE43" s="17">
        <f>(AE40*Assumptions!$E$50)</f>
        <v/>
      </c>
      <c r="AF43" s="17">
        <f>(AF40*Assumptions!$E$50)</f>
        <v/>
      </c>
      <c r="AG43" s="17">
        <f>(AG40*Assumptions!$E$50)</f>
        <v/>
      </c>
      <c r="AH43" s="17">
        <f>(AH40*Assumptions!$E$50)</f>
        <v/>
      </c>
      <c r="AI43" s="17">
        <f>(AI40*Assumptions!$E$50)</f>
        <v/>
      </c>
      <c r="AJ43" s="17">
        <f>(AJ40*Assumptions!$E$50)</f>
        <v/>
      </c>
      <c r="AK43" s="17">
        <f>(AK40*Assumptions!$E$50)</f>
        <v/>
      </c>
      <c r="AL43" s="17">
        <f>(AL40*Assumptions!$E$50)</f>
        <v/>
      </c>
    </row>
    <row r="44">
      <c r="A44" s="6" t="inlineStr">
        <is>
          <t>Affiliate clicks</t>
        </is>
      </c>
      <c r="B44" s="2" t="inlineStr">
        <is>
          <t>aff_clicks</t>
        </is>
      </c>
      <c r="C44" s="17">
        <f>IF(AND((Assumptions!$E$6=1),(C$2&gt;=Assumptions!$E$56)),((C36/1000)*Assumptions!$E$57),0)</f>
        <v/>
      </c>
      <c r="D44" s="17">
        <f>IF(AND((Assumptions!$E$6=1),(D$2&gt;=Assumptions!$E$56)),((D36/1000)*Assumptions!$E$57),0)</f>
        <v/>
      </c>
      <c r="E44" s="17">
        <f>IF(AND((Assumptions!$E$6=1),(E$2&gt;=Assumptions!$E$56)),((E36/1000)*Assumptions!$E$57),0)</f>
        <v/>
      </c>
      <c r="F44" s="17">
        <f>IF(AND((Assumptions!$E$6=1),(F$2&gt;=Assumptions!$E$56)),((F36/1000)*Assumptions!$E$57),0)</f>
        <v/>
      </c>
      <c r="G44" s="17">
        <f>IF(AND((Assumptions!$E$6=1),(G$2&gt;=Assumptions!$E$56)),((G36/1000)*Assumptions!$E$57),0)</f>
        <v/>
      </c>
      <c r="H44" s="17">
        <f>IF(AND((Assumptions!$E$6=1),(H$2&gt;=Assumptions!$E$56)),((H36/1000)*Assumptions!$E$57),0)</f>
        <v/>
      </c>
      <c r="I44" s="17">
        <f>IF(AND((Assumptions!$E$6=1),(I$2&gt;=Assumptions!$E$56)),((I36/1000)*Assumptions!$E$57),0)</f>
        <v/>
      </c>
      <c r="J44" s="17">
        <f>IF(AND((Assumptions!$E$6=1),(J$2&gt;=Assumptions!$E$56)),((J36/1000)*Assumptions!$E$57),0)</f>
        <v/>
      </c>
      <c r="K44" s="17">
        <f>IF(AND((Assumptions!$E$6=1),(K$2&gt;=Assumptions!$E$56)),((K36/1000)*Assumptions!$E$57),0)</f>
        <v/>
      </c>
      <c r="L44" s="17">
        <f>IF(AND((Assumptions!$E$6=1),(L$2&gt;=Assumptions!$E$56)),((L36/1000)*Assumptions!$E$57),0)</f>
        <v/>
      </c>
      <c r="M44" s="17">
        <f>IF(AND((Assumptions!$E$6=1),(M$2&gt;=Assumptions!$E$56)),((M36/1000)*Assumptions!$E$57),0)</f>
        <v/>
      </c>
      <c r="N44" s="17">
        <f>IF(AND((Assumptions!$E$6=1),(N$2&gt;=Assumptions!$E$56)),((N36/1000)*Assumptions!$E$57),0)</f>
        <v/>
      </c>
      <c r="O44" s="17">
        <f>IF(AND((Assumptions!$E$6=1),(O$2&gt;=Assumptions!$E$56)),((O36/1000)*Assumptions!$E$57),0)</f>
        <v/>
      </c>
      <c r="P44" s="17">
        <f>IF(AND((Assumptions!$E$6=1),(P$2&gt;=Assumptions!$E$56)),((P36/1000)*Assumptions!$E$57),0)</f>
        <v/>
      </c>
      <c r="Q44" s="17">
        <f>IF(AND((Assumptions!$E$6=1),(Q$2&gt;=Assumptions!$E$56)),((Q36/1000)*Assumptions!$E$57),0)</f>
        <v/>
      </c>
      <c r="R44" s="17">
        <f>IF(AND((Assumptions!$E$6=1),(R$2&gt;=Assumptions!$E$56)),((R36/1000)*Assumptions!$E$57),0)</f>
        <v/>
      </c>
      <c r="S44" s="17">
        <f>IF(AND((Assumptions!$E$6=1),(S$2&gt;=Assumptions!$E$56)),((S36/1000)*Assumptions!$E$57),0)</f>
        <v/>
      </c>
      <c r="T44" s="17">
        <f>IF(AND((Assumptions!$E$6=1),(T$2&gt;=Assumptions!$E$56)),((T36/1000)*Assumptions!$E$57),0)</f>
        <v/>
      </c>
      <c r="U44" s="17">
        <f>IF(AND((Assumptions!$E$6=1),(U$2&gt;=Assumptions!$E$56)),((U36/1000)*Assumptions!$E$57),0)</f>
        <v/>
      </c>
      <c r="V44" s="17">
        <f>IF(AND((Assumptions!$E$6=1),(V$2&gt;=Assumptions!$E$56)),((V36/1000)*Assumptions!$E$57),0)</f>
        <v/>
      </c>
      <c r="W44" s="17">
        <f>IF(AND((Assumptions!$E$6=1),(W$2&gt;=Assumptions!$E$56)),((W36/1000)*Assumptions!$E$57),0)</f>
        <v/>
      </c>
      <c r="X44" s="17">
        <f>IF(AND((Assumptions!$E$6=1),(X$2&gt;=Assumptions!$E$56)),((X36/1000)*Assumptions!$E$57),0)</f>
        <v/>
      </c>
      <c r="Y44" s="17">
        <f>IF(AND((Assumptions!$E$6=1),(Y$2&gt;=Assumptions!$E$56)),((Y36/1000)*Assumptions!$E$57),0)</f>
        <v/>
      </c>
      <c r="Z44" s="17">
        <f>IF(AND((Assumptions!$E$6=1),(Z$2&gt;=Assumptions!$E$56)),((Z36/1000)*Assumptions!$E$57),0)</f>
        <v/>
      </c>
      <c r="AA44" s="17">
        <f>IF(AND((Assumptions!$E$6=1),(AA$2&gt;=Assumptions!$E$56)),((AA36/1000)*Assumptions!$E$57),0)</f>
        <v/>
      </c>
      <c r="AB44" s="17">
        <f>IF(AND((Assumptions!$E$6=1),(AB$2&gt;=Assumptions!$E$56)),((AB36/1000)*Assumptions!$E$57),0)</f>
        <v/>
      </c>
      <c r="AC44" s="17">
        <f>IF(AND((Assumptions!$E$6=1),(AC$2&gt;=Assumptions!$E$56)),((AC36/1000)*Assumptions!$E$57),0)</f>
        <v/>
      </c>
      <c r="AD44" s="17">
        <f>IF(AND((Assumptions!$E$6=1),(AD$2&gt;=Assumptions!$E$56)),((AD36/1000)*Assumptions!$E$57),0)</f>
        <v/>
      </c>
      <c r="AE44" s="17">
        <f>IF(AND((Assumptions!$E$6=1),(AE$2&gt;=Assumptions!$E$56)),((AE36/1000)*Assumptions!$E$57),0)</f>
        <v/>
      </c>
      <c r="AF44" s="17">
        <f>IF(AND((Assumptions!$E$6=1),(AF$2&gt;=Assumptions!$E$56)),((AF36/1000)*Assumptions!$E$57),0)</f>
        <v/>
      </c>
      <c r="AG44" s="17">
        <f>IF(AND((Assumptions!$E$6=1),(AG$2&gt;=Assumptions!$E$56)),((AG36/1000)*Assumptions!$E$57),0)</f>
        <v/>
      </c>
      <c r="AH44" s="17">
        <f>IF(AND((Assumptions!$E$6=1),(AH$2&gt;=Assumptions!$E$56)),((AH36/1000)*Assumptions!$E$57),0)</f>
        <v/>
      </c>
      <c r="AI44" s="17">
        <f>IF(AND((Assumptions!$E$6=1),(AI$2&gt;=Assumptions!$E$56)),((AI36/1000)*Assumptions!$E$57),0)</f>
        <v/>
      </c>
      <c r="AJ44" s="17">
        <f>IF(AND((Assumptions!$E$6=1),(AJ$2&gt;=Assumptions!$E$56)),((AJ36/1000)*Assumptions!$E$57),0)</f>
        <v/>
      </c>
      <c r="AK44" s="17">
        <f>IF(AND((Assumptions!$E$6=1),(AK$2&gt;=Assumptions!$E$56)),((AK36/1000)*Assumptions!$E$57),0)</f>
        <v/>
      </c>
      <c r="AL44" s="17">
        <f>IF(AND((Assumptions!$E$6=1),(AL$2&gt;=Assumptions!$E$56)),((AL36/1000)*Assumptions!$E$57),0)</f>
        <v/>
      </c>
    </row>
    <row r="45">
      <c r="A45" s="6" t="inlineStr">
        <is>
          <t>Affiliate funded accounts</t>
        </is>
      </c>
      <c r="B45" s="2" t="inlineStr">
        <is>
          <t>aff_funded</t>
        </is>
      </c>
      <c r="C45" s="17">
        <f>(C44*Assumptions!$E$58)</f>
        <v/>
      </c>
      <c r="D45" s="17">
        <f>(D44*Assumptions!$E$58)</f>
        <v/>
      </c>
      <c r="E45" s="17">
        <f>(E44*Assumptions!$E$58)</f>
        <v/>
      </c>
      <c r="F45" s="17">
        <f>(F44*Assumptions!$E$58)</f>
        <v/>
      </c>
      <c r="G45" s="17">
        <f>(G44*Assumptions!$E$58)</f>
        <v/>
      </c>
      <c r="H45" s="17">
        <f>(H44*Assumptions!$E$58)</f>
        <v/>
      </c>
      <c r="I45" s="17">
        <f>(I44*Assumptions!$E$58)</f>
        <v/>
      </c>
      <c r="J45" s="17">
        <f>(J44*Assumptions!$E$58)</f>
        <v/>
      </c>
      <c r="K45" s="17">
        <f>(K44*Assumptions!$E$58)</f>
        <v/>
      </c>
      <c r="L45" s="17">
        <f>(L44*Assumptions!$E$58)</f>
        <v/>
      </c>
      <c r="M45" s="17">
        <f>(M44*Assumptions!$E$58)</f>
        <v/>
      </c>
      <c r="N45" s="17">
        <f>(N44*Assumptions!$E$58)</f>
        <v/>
      </c>
      <c r="O45" s="17">
        <f>(O44*Assumptions!$E$58)</f>
        <v/>
      </c>
      <c r="P45" s="17">
        <f>(P44*Assumptions!$E$58)</f>
        <v/>
      </c>
      <c r="Q45" s="17">
        <f>(Q44*Assumptions!$E$58)</f>
        <v/>
      </c>
      <c r="R45" s="17">
        <f>(R44*Assumptions!$E$58)</f>
        <v/>
      </c>
      <c r="S45" s="17">
        <f>(S44*Assumptions!$E$58)</f>
        <v/>
      </c>
      <c r="T45" s="17">
        <f>(T44*Assumptions!$E$58)</f>
        <v/>
      </c>
      <c r="U45" s="17">
        <f>(U44*Assumptions!$E$58)</f>
        <v/>
      </c>
      <c r="V45" s="17">
        <f>(V44*Assumptions!$E$58)</f>
        <v/>
      </c>
      <c r="W45" s="17">
        <f>(W44*Assumptions!$E$58)</f>
        <v/>
      </c>
      <c r="X45" s="17">
        <f>(X44*Assumptions!$E$58)</f>
        <v/>
      </c>
      <c r="Y45" s="17">
        <f>(Y44*Assumptions!$E$58)</f>
        <v/>
      </c>
      <c r="Z45" s="17">
        <f>(Z44*Assumptions!$E$58)</f>
        <v/>
      </c>
      <c r="AA45" s="17">
        <f>(AA44*Assumptions!$E$58)</f>
        <v/>
      </c>
      <c r="AB45" s="17">
        <f>(AB44*Assumptions!$E$58)</f>
        <v/>
      </c>
      <c r="AC45" s="17">
        <f>(AC44*Assumptions!$E$58)</f>
        <v/>
      </c>
      <c r="AD45" s="17">
        <f>(AD44*Assumptions!$E$58)</f>
        <v/>
      </c>
      <c r="AE45" s="17">
        <f>(AE44*Assumptions!$E$58)</f>
        <v/>
      </c>
      <c r="AF45" s="17">
        <f>(AF44*Assumptions!$E$58)</f>
        <v/>
      </c>
      <c r="AG45" s="17">
        <f>(AG44*Assumptions!$E$58)</f>
        <v/>
      </c>
      <c r="AH45" s="17">
        <f>(AH44*Assumptions!$E$58)</f>
        <v/>
      </c>
      <c r="AI45" s="17">
        <f>(AI44*Assumptions!$E$58)</f>
        <v/>
      </c>
      <c r="AJ45" s="17">
        <f>(AJ44*Assumptions!$E$58)</f>
        <v/>
      </c>
      <c r="AK45" s="17">
        <f>(AK44*Assumptions!$E$58)</f>
        <v/>
      </c>
      <c r="AL45" s="17">
        <f>(AL44*Assumptions!$E$58)</f>
        <v/>
      </c>
    </row>
    <row r="46">
      <c r="A46" s="6" t="inlineStr">
        <is>
          <t>Classroom Pro teachers</t>
        </is>
      </c>
      <c r="B46" s="2" t="inlineStr">
        <is>
          <t>teachers</t>
        </is>
      </c>
      <c r="C46" s="17">
        <f>IF(AND((Assumptions!$E$7=1),(C$2&gt;=Assumptions!$E$61)),(Assumptions!$E$62+(Assumptions!$E$63*(C$2-Assumptions!$E$61))),0)</f>
        <v/>
      </c>
      <c r="D46" s="17">
        <f>IF(AND((Assumptions!$E$7=1),(D$2&gt;=Assumptions!$E$61)),(Assumptions!$E$62+(Assumptions!$E$63*(D$2-Assumptions!$E$61))),0)</f>
        <v/>
      </c>
      <c r="E46" s="17">
        <f>IF(AND((Assumptions!$E$7=1),(E$2&gt;=Assumptions!$E$61)),(Assumptions!$E$62+(Assumptions!$E$63*(E$2-Assumptions!$E$61))),0)</f>
        <v/>
      </c>
      <c r="F46" s="17">
        <f>IF(AND((Assumptions!$E$7=1),(F$2&gt;=Assumptions!$E$61)),(Assumptions!$E$62+(Assumptions!$E$63*(F$2-Assumptions!$E$61))),0)</f>
        <v/>
      </c>
      <c r="G46" s="17">
        <f>IF(AND((Assumptions!$E$7=1),(G$2&gt;=Assumptions!$E$61)),(Assumptions!$E$62+(Assumptions!$E$63*(G$2-Assumptions!$E$61))),0)</f>
        <v/>
      </c>
      <c r="H46" s="17">
        <f>IF(AND((Assumptions!$E$7=1),(H$2&gt;=Assumptions!$E$61)),(Assumptions!$E$62+(Assumptions!$E$63*(H$2-Assumptions!$E$61))),0)</f>
        <v/>
      </c>
      <c r="I46" s="17">
        <f>IF(AND((Assumptions!$E$7=1),(I$2&gt;=Assumptions!$E$61)),(Assumptions!$E$62+(Assumptions!$E$63*(I$2-Assumptions!$E$61))),0)</f>
        <v/>
      </c>
      <c r="J46" s="17">
        <f>IF(AND((Assumptions!$E$7=1),(J$2&gt;=Assumptions!$E$61)),(Assumptions!$E$62+(Assumptions!$E$63*(J$2-Assumptions!$E$61))),0)</f>
        <v/>
      </c>
      <c r="K46" s="17">
        <f>IF(AND((Assumptions!$E$7=1),(K$2&gt;=Assumptions!$E$61)),(Assumptions!$E$62+(Assumptions!$E$63*(K$2-Assumptions!$E$61))),0)</f>
        <v/>
      </c>
      <c r="L46" s="17">
        <f>IF(AND((Assumptions!$E$7=1),(L$2&gt;=Assumptions!$E$61)),(Assumptions!$E$62+(Assumptions!$E$63*(L$2-Assumptions!$E$61))),0)</f>
        <v/>
      </c>
      <c r="M46" s="17">
        <f>IF(AND((Assumptions!$E$7=1),(M$2&gt;=Assumptions!$E$61)),(Assumptions!$E$62+(Assumptions!$E$63*(M$2-Assumptions!$E$61))),0)</f>
        <v/>
      </c>
      <c r="N46" s="17">
        <f>IF(AND((Assumptions!$E$7=1),(N$2&gt;=Assumptions!$E$61)),(Assumptions!$E$62+(Assumptions!$E$63*(N$2-Assumptions!$E$61))),0)</f>
        <v/>
      </c>
      <c r="O46" s="17">
        <f>IF(AND((Assumptions!$E$7=1),(O$2&gt;=Assumptions!$E$61)),(Assumptions!$E$62+(Assumptions!$E$63*(O$2-Assumptions!$E$61))),0)</f>
        <v/>
      </c>
      <c r="P46" s="17">
        <f>IF(AND((Assumptions!$E$7=1),(P$2&gt;=Assumptions!$E$61)),(Assumptions!$E$62+(Assumptions!$E$63*(P$2-Assumptions!$E$61))),0)</f>
        <v/>
      </c>
      <c r="Q46" s="17">
        <f>IF(AND((Assumptions!$E$7=1),(Q$2&gt;=Assumptions!$E$61)),(Assumptions!$E$62+(Assumptions!$E$63*(Q$2-Assumptions!$E$61))),0)</f>
        <v/>
      </c>
      <c r="R46" s="17">
        <f>IF(AND((Assumptions!$E$7=1),(R$2&gt;=Assumptions!$E$61)),(Assumptions!$E$62+(Assumptions!$E$63*(R$2-Assumptions!$E$61))),0)</f>
        <v/>
      </c>
      <c r="S46" s="17">
        <f>IF(AND((Assumptions!$E$7=1),(S$2&gt;=Assumptions!$E$61)),(Assumptions!$E$62+(Assumptions!$E$63*(S$2-Assumptions!$E$61))),0)</f>
        <v/>
      </c>
      <c r="T46" s="17">
        <f>IF(AND((Assumptions!$E$7=1),(T$2&gt;=Assumptions!$E$61)),(Assumptions!$E$62+(Assumptions!$E$63*(T$2-Assumptions!$E$61))),0)</f>
        <v/>
      </c>
      <c r="U46" s="17">
        <f>IF(AND((Assumptions!$E$7=1),(U$2&gt;=Assumptions!$E$61)),(Assumptions!$E$62+(Assumptions!$E$63*(U$2-Assumptions!$E$61))),0)</f>
        <v/>
      </c>
      <c r="V46" s="17">
        <f>IF(AND((Assumptions!$E$7=1),(V$2&gt;=Assumptions!$E$61)),(Assumptions!$E$62+(Assumptions!$E$63*(V$2-Assumptions!$E$61))),0)</f>
        <v/>
      </c>
      <c r="W46" s="17">
        <f>IF(AND((Assumptions!$E$7=1),(W$2&gt;=Assumptions!$E$61)),(Assumptions!$E$62+(Assumptions!$E$63*(W$2-Assumptions!$E$61))),0)</f>
        <v/>
      </c>
      <c r="X46" s="17">
        <f>IF(AND((Assumptions!$E$7=1),(X$2&gt;=Assumptions!$E$61)),(Assumptions!$E$62+(Assumptions!$E$63*(X$2-Assumptions!$E$61))),0)</f>
        <v/>
      </c>
      <c r="Y46" s="17">
        <f>IF(AND((Assumptions!$E$7=1),(Y$2&gt;=Assumptions!$E$61)),(Assumptions!$E$62+(Assumptions!$E$63*(Y$2-Assumptions!$E$61))),0)</f>
        <v/>
      </c>
      <c r="Z46" s="17">
        <f>IF(AND((Assumptions!$E$7=1),(Z$2&gt;=Assumptions!$E$61)),(Assumptions!$E$62+(Assumptions!$E$63*(Z$2-Assumptions!$E$61))),0)</f>
        <v/>
      </c>
      <c r="AA46" s="17">
        <f>IF(AND((Assumptions!$E$7=1),(AA$2&gt;=Assumptions!$E$61)),(Assumptions!$E$62+(Assumptions!$E$63*(AA$2-Assumptions!$E$61))),0)</f>
        <v/>
      </c>
      <c r="AB46" s="17">
        <f>IF(AND((Assumptions!$E$7=1),(AB$2&gt;=Assumptions!$E$61)),(Assumptions!$E$62+(Assumptions!$E$63*(AB$2-Assumptions!$E$61))),0)</f>
        <v/>
      </c>
      <c r="AC46" s="17">
        <f>IF(AND((Assumptions!$E$7=1),(AC$2&gt;=Assumptions!$E$61)),(Assumptions!$E$62+(Assumptions!$E$63*(AC$2-Assumptions!$E$61))),0)</f>
        <v/>
      </c>
      <c r="AD46" s="17">
        <f>IF(AND((Assumptions!$E$7=1),(AD$2&gt;=Assumptions!$E$61)),(Assumptions!$E$62+(Assumptions!$E$63*(AD$2-Assumptions!$E$61))),0)</f>
        <v/>
      </c>
      <c r="AE46" s="17">
        <f>IF(AND((Assumptions!$E$7=1),(AE$2&gt;=Assumptions!$E$61)),(Assumptions!$E$62+(Assumptions!$E$63*(AE$2-Assumptions!$E$61))),0)</f>
        <v/>
      </c>
      <c r="AF46" s="17">
        <f>IF(AND((Assumptions!$E$7=1),(AF$2&gt;=Assumptions!$E$61)),(Assumptions!$E$62+(Assumptions!$E$63*(AF$2-Assumptions!$E$61))),0)</f>
        <v/>
      </c>
      <c r="AG46" s="17">
        <f>IF(AND((Assumptions!$E$7=1),(AG$2&gt;=Assumptions!$E$61)),(Assumptions!$E$62+(Assumptions!$E$63*(AG$2-Assumptions!$E$61))),0)</f>
        <v/>
      </c>
      <c r="AH46" s="17">
        <f>IF(AND((Assumptions!$E$7=1),(AH$2&gt;=Assumptions!$E$61)),(Assumptions!$E$62+(Assumptions!$E$63*(AH$2-Assumptions!$E$61))),0)</f>
        <v/>
      </c>
      <c r="AI46" s="17">
        <f>IF(AND((Assumptions!$E$7=1),(AI$2&gt;=Assumptions!$E$61)),(Assumptions!$E$62+(Assumptions!$E$63*(AI$2-Assumptions!$E$61))),0)</f>
        <v/>
      </c>
      <c r="AJ46" s="17">
        <f>IF(AND((Assumptions!$E$7=1),(AJ$2&gt;=Assumptions!$E$61)),(Assumptions!$E$62+(Assumptions!$E$63*(AJ$2-Assumptions!$E$61))),0)</f>
        <v/>
      </c>
      <c r="AK46" s="17">
        <f>IF(AND((Assumptions!$E$7=1),(AK$2&gt;=Assumptions!$E$61)),(Assumptions!$E$62+(Assumptions!$E$63*(AK$2-Assumptions!$E$61))),0)</f>
        <v/>
      </c>
      <c r="AL46" s="17">
        <f>IF(AND((Assumptions!$E$7=1),(AL$2&gt;=Assumptions!$E$61)),(Assumptions!$E$62+(Assumptions!$E$63*(AL$2-Assumptions!$E$61))),0)</f>
        <v/>
      </c>
    </row>
    <row r="47">
      <c r="A47" s="6" t="inlineStr">
        <is>
          <t>Campus / club licences</t>
        </is>
      </c>
      <c r="B47" s="2" t="inlineStr">
        <is>
          <t>campus</t>
        </is>
      </c>
      <c r="C47" s="17">
        <f>IF(AND((Assumptions!$E$7=1),(C$2&gt;=Assumptions!$E$61)),(Assumptions!$E$65+(Assumptions!$E$66*(C$2-Assumptions!$E$61))),0)</f>
        <v/>
      </c>
      <c r="D47" s="17">
        <f>IF(AND((Assumptions!$E$7=1),(D$2&gt;=Assumptions!$E$61)),(Assumptions!$E$65+(Assumptions!$E$66*(D$2-Assumptions!$E$61))),0)</f>
        <v/>
      </c>
      <c r="E47" s="17">
        <f>IF(AND((Assumptions!$E$7=1),(E$2&gt;=Assumptions!$E$61)),(Assumptions!$E$65+(Assumptions!$E$66*(E$2-Assumptions!$E$61))),0)</f>
        <v/>
      </c>
      <c r="F47" s="17">
        <f>IF(AND((Assumptions!$E$7=1),(F$2&gt;=Assumptions!$E$61)),(Assumptions!$E$65+(Assumptions!$E$66*(F$2-Assumptions!$E$61))),0)</f>
        <v/>
      </c>
      <c r="G47" s="17">
        <f>IF(AND((Assumptions!$E$7=1),(G$2&gt;=Assumptions!$E$61)),(Assumptions!$E$65+(Assumptions!$E$66*(G$2-Assumptions!$E$61))),0)</f>
        <v/>
      </c>
      <c r="H47" s="17">
        <f>IF(AND((Assumptions!$E$7=1),(H$2&gt;=Assumptions!$E$61)),(Assumptions!$E$65+(Assumptions!$E$66*(H$2-Assumptions!$E$61))),0)</f>
        <v/>
      </c>
      <c r="I47" s="17">
        <f>IF(AND((Assumptions!$E$7=1),(I$2&gt;=Assumptions!$E$61)),(Assumptions!$E$65+(Assumptions!$E$66*(I$2-Assumptions!$E$61))),0)</f>
        <v/>
      </c>
      <c r="J47" s="17">
        <f>IF(AND((Assumptions!$E$7=1),(J$2&gt;=Assumptions!$E$61)),(Assumptions!$E$65+(Assumptions!$E$66*(J$2-Assumptions!$E$61))),0)</f>
        <v/>
      </c>
      <c r="K47" s="17">
        <f>IF(AND((Assumptions!$E$7=1),(K$2&gt;=Assumptions!$E$61)),(Assumptions!$E$65+(Assumptions!$E$66*(K$2-Assumptions!$E$61))),0)</f>
        <v/>
      </c>
      <c r="L47" s="17">
        <f>IF(AND((Assumptions!$E$7=1),(L$2&gt;=Assumptions!$E$61)),(Assumptions!$E$65+(Assumptions!$E$66*(L$2-Assumptions!$E$61))),0)</f>
        <v/>
      </c>
      <c r="M47" s="17">
        <f>IF(AND((Assumptions!$E$7=1),(M$2&gt;=Assumptions!$E$61)),(Assumptions!$E$65+(Assumptions!$E$66*(M$2-Assumptions!$E$61))),0)</f>
        <v/>
      </c>
      <c r="N47" s="17">
        <f>IF(AND((Assumptions!$E$7=1),(N$2&gt;=Assumptions!$E$61)),(Assumptions!$E$65+(Assumptions!$E$66*(N$2-Assumptions!$E$61))),0)</f>
        <v/>
      </c>
      <c r="O47" s="17">
        <f>IF(AND((Assumptions!$E$7=1),(O$2&gt;=Assumptions!$E$61)),(Assumptions!$E$65+(Assumptions!$E$66*(O$2-Assumptions!$E$61))),0)</f>
        <v/>
      </c>
      <c r="P47" s="17">
        <f>IF(AND((Assumptions!$E$7=1),(P$2&gt;=Assumptions!$E$61)),(Assumptions!$E$65+(Assumptions!$E$66*(P$2-Assumptions!$E$61))),0)</f>
        <v/>
      </c>
      <c r="Q47" s="17">
        <f>IF(AND((Assumptions!$E$7=1),(Q$2&gt;=Assumptions!$E$61)),(Assumptions!$E$65+(Assumptions!$E$66*(Q$2-Assumptions!$E$61))),0)</f>
        <v/>
      </c>
      <c r="R47" s="17">
        <f>IF(AND((Assumptions!$E$7=1),(R$2&gt;=Assumptions!$E$61)),(Assumptions!$E$65+(Assumptions!$E$66*(R$2-Assumptions!$E$61))),0)</f>
        <v/>
      </c>
      <c r="S47" s="17">
        <f>IF(AND((Assumptions!$E$7=1),(S$2&gt;=Assumptions!$E$61)),(Assumptions!$E$65+(Assumptions!$E$66*(S$2-Assumptions!$E$61))),0)</f>
        <v/>
      </c>
      <c r="T47" s="17">
        <f>IF(AND((Assumptions!$E$7=1),(T$2&gt;=Assumptions!$E$61)),(Assumptions!$E$65+(Assumptions!$E$66*(T$2-Assumptions!$E$61))),0)</f>
        <v/>
      </c>
      <c r="U47" s="17">
        <f>IF(AND((Assumptions!$E$7=1),(U$2&gt;=Assumptions!$E$61)),(Assumptions!$E$65+(Assumptions!$E$66*(U$2-Assumptions!$E$61))),0)</f>
        <v/>
      </c>
      <c r="V47" s="17">
        <f>IF(AND((Assumptions!$E$7=1),(V$2&gt;=Assumptions!$E$61)),(Assumptions!$E$65+(Assumptions!$E$66*(V$2-Assumptions!$E$61))),0)</f>
        <v/>
      </c>
      <c r="W47" s="17">
        <f>IF(AND((Assumptions!$E$7=1),(W$2&gt;=Assumptions!$E$61)),(Assumptions!$E$65+(Assumptions!$E$66*(W$2-Assumptions!$E$61))),0)</f>
        <v/>
      </c>
      <c r="X47" s="17">
        <f>IF(AND((Assumptions!$E$7=1),(X$2&gt;=Assumptions!$E$61)),(Assumptions!$E$65+(Assumptions!$E$66*(X$2-Assumptions!$E$61))),0)</f>
        <v/>
      </c>
      <c r="Y47" s="17">
        <f>IF(AND((Assumptions!$E$7=1),(Y$2&gt;=Assumptions!$E$61)),(Assumptions!$E$65+(Assumptions!$E$66*(Y$2-Assumptions!$E$61))),0)</f>
        <v/>
      </c>
      <c r="Z47" s="17">
        <f>IF(AND((Assumptions!$E$7=1),(Z$2&gt;=Assumptions!$E$61)),(Assumptions!$E$65+(Assumptions!$E$66*(Z$2-Assumptions!$E$61))),0)</f>
        <v/>
      </c>
      <c r="AA47" s="17">
        <f>IF(AND((Assumptions!$E$7=1),(AA$2&gt;=Assumptions!$E$61)),(Assumptions!$E$65+(Assumptions!$E$66*(AA$2-Assumptions!$E$61))),0)</f>
        <v/>
      </c>
      <c r="AB47" s="17">
        <f>IF(AND((Assumptions!$E$7=1),(AB$2&gt;=Assumptions!$E$61)),(Assumptions!$E$65+(Assumptions!$E$66*(AB$2-Assumptions!$E$61))),0)</f>
        <v/>
      </c>
      <c r="AC47" s="17">
        <f>IF(AND((Assumptions!$E$7=1),(AC$2&gt;=Assumptions!$E$61)),(Assumptions!$E$65+(Assumptions!$E$66*(AC$2-Assumptions!$E$61))),0)</f>
        <v/>
      </c>
      <c r="AD47" s="17">
        <f>IF(AND((Assumptions!$E$7=1),(AD$2&gt;=Assumptions!$E$61)),(Assumptions!$E$65+(Assumptions!$E$66*(AD$2-Assumptions!$E$61))),0)</f>
        <v/>
      </c>
      <c r="AE47" s="17">
        <f>IF(AND((Assumptions!$E$7=1),(AE$2&gt;=Assumptions!$E$61)),(Assumptions!$E$65+(Assumptions!$E$66*(AE$2-Assumptions!$E$61))),0)</f>
        <v/>
      </c>
      <c r="AF47" s="17">
        <f>IF(AND((Assumptions!$E$7=1),(AF$2&gt;=Assumptions!$E$61)),(Assumptions!$E$65+(Assumptions!$E$66*(AF$2-Assumptions!$E$61))),0)</f>
        <v/>
      </c>
      <c r="AG47" s="17">
        <f>IF(AND((Assumptions!$E$7=1),(AG$2&gt;=Assumptions!$E$61)),(Assumptions!$E$65+(Assumptions!$E$66*(AG$2-Assumptions!$E$61))),0)</f>
        <v/>
      </c>
      <c r="AH47" s="17">
        <f>IF(AND((Assumptions!$E$7=1),(AH$2&gt;=Assumptions!$E$61)),(Assumptions!$E$65+(Assumptions!$E$66*(AH$2-Assumptions!$E$61))),0)</f>
        <v/>
      </c>
      <c r="AI47" s="17">
        <f>IF(AND((Assumptions!$E$7=1),(AI$2&gt;=Assumptions!$E$61)),(Assumptions!$E$65+(Assumptions!$E$66*(AI$2-Assumptions!$E$61))),0)</f>
        <v/>
      </c>
      <c r="AJ47" s="17">
        <f>IF(AND((Assumptions!$E$7=1),(AJ$2&gt;=Assumptions!$E$61)),(Assumptions!$E$65+(Assumptions!$E$66*(AJ$2-Assumptions!$E$61))),0)</f>
        <v/>
      </c>
      <c r="AK47" s="17">
        <f>IF(AND((Assumptions!$E$7=1),(AK$2&gt;=Assumptions!$E$61)),(Assumptions!$E$65+(Assumptions!$E$66*(AK$2-Assumptions!$E$61))),0)</f>
        <v/>
      </c>
      <c r="AL47" s="17">
        <f>IF(AND((Assumptions!$E$7=1),(AL$2&gt;=Assumptions!$E$61)),(Assumptions!$E$65+(Assumptions!$E$66*(AL$2-Assumptions!$E$61))),0)</f>
        <v/>
      </c>
    </row>
    <row r="48">
      <c r="A48" s="6" t="inlineStr">
        <is>
          <t>Linking live (1 = yes)</t>
        </is>
      </c>
      <c r="B48" s="2" t="inlineStr">
        <is>
          <t>link_on</t>
        </is>
      </c>
      <c r="C48" s="8">
        <f>IF(AND((Assumptions!$E$9=1),(C$2&gt;=Assumptions!$E$73)),1,0)</f>
        <v/>
      </c>
      <c r="D48" s="8">
        <f>IF(AND((Assumptions!$E$9=1),(D$2&gt;=Assumptions!$E$73)),1,0)</f>
        <v/>
      </c>
      <c r="E48" s="8">
        <f>IF(AND((Assumptions!$E$9=1),(E$2&gt;=Assumptions!$E$73)),1,0)</f>
        <v/>
      </c>
      <c r="F48" s="8">
        <f>IF(AND((Assumptions!$E$9=1),(F$2&gt;=Assumptions!$E$73)),1,0)</f>
        <v/>
      </c>
      <c r="G48" s="8">
        <f>IF(AND((Assumptions!$E$9=1),(G$2&gt;=Assumptions!$E$73)),1,0)</f>
        <v/>
      </c>
      <c r="H48" s="8">
        <f>IF(AND((Assumptions!$E$9=1),(H$2&gt;=Assumptions!$E$73)),1,0)</f>
        <v/>
      </c>
      <c r="I48" s="8">
        <f>IF(AND((Assumptions!$E$9=1),(I$2&gt;=Assumptions!$E$73)),1,0)</f>
        <v/>
      </c>
      <c r="J48" s="8">
        <f>IF(AND((Assumptions!$E$9=1),(J$2&gt;=Assumptions!$E$73)),1,0)</f>
        <v/>
      </c>
      <c r="K48" s="8">
        <f>IF(AND((Assumptions!$E$9=1),(K$2&gt;=Assumptions!$E$73)),1,0)</f>
        <v/>
      </c>
      <c r="L48" s="8">
        <f>IF(AND((Assumptions!$E$9=1),(L$2&gt;=Assumptions!$E$73)),1,0)</f>
        <v/>
      </c>
      <c r="M48" s="8">
        <f>IF(AND((Assumptions!$E$9=1),(M$2&gt;=Assumptions!$E$73)),1,0)</f>
        <v/>
      </c>
      <c r="N48" s="8">
        <f>IF(AND((Assumptions!$E$9=1),(N$2&gt;=Assumptions!$E$73)),1,0)</f>
        <v/>
      </c>
      <c r="O48" s="8">
        <f>IF(AND((Assumptions!$E$9=1),(O$2&gt;=Assumptions!$E$73)),1,0)</f>
        <v/>
      </c>
      <c r="P48" s="8">
        <f>IF(AND((Assumptions!$E$9=1),(P$2&gt;=Assumptions!$E$73)),1,0)</f>
        <v/>
      </c>
      <c r="Q48" s="8">
        <f>IF(AND((Assumptions!$E$9=1),(Q$2&gt;=Assumptions!$E$73)),1,0)</f>
        <v/>
      </c>
      <c r="R48" s="8">
        <f>IF(AND((Assumptions!$E$9=1),(R$2&gt;=Assumptions!$E$73)),1,0)</f>
        <v/>
      </c>
      <c r="S48" s="8">
        <f>IF(AND((Assumptions!$E$9=1),(S$2&gt;=Assumptions!$E$73)),1,0)</f>
        <v/>
      </c>
      <c r="T48" s="8">
        <f>IF(AND((Assumptions!$E$9=1),(T$2&gt;=Assumptions!$E$73)),1,0)</f>
        <v/>
      </c>
      <c r="U48" s="8">
        <f>IF(AND((Assumptions!$E$9=1),(U$2&gt;=Assumptions!$E$73)),1,0)</f>
        <v/>
      </c>
      <c r="V48" s="8">
        <f>IF(AND((Assumptions!$E$9=1),(V$2&gt;=Assumptions!$E$73)),1,0)</f>
        <v/>
      </c>
      <c r="W48" s="8">
        <f>IF(AND((Assumptions!$E$9=1),(W$2&gt;=Assumptions!$E$73)),1,0)</f>
        <v/>
      </c>
      <c r="X48" s="8">
        <f>IF(AND((Assumptions!$E$9=1),(X$2&gt;=Assumptions!$E$73)),1,0)</f>
        <v/>
      </c>
      <c r="Y48" s="8">
        <f>IF(AND((Assumptions!$E$9=1),(Y$2&gt;=Assumptions!$E$73)),1,0)</f>
        <v/>
      </c>
      <c r="Z48" s="8">
        <f>IF(AND((Assumptions!$E$9=1),(Z$2&gt;=Assumptions!$E$73)),1,0)</f>
        <v/>
      </c>
      <c r="AA48" s="8">
        <f>IF(AND((Assumptions!$E$9=1),(AA$2&gt;=Assumptions!$E$73)),1,0)</f>
        <v/>
      </c>
      <c r="AB48" s="8">
        <f>IF(AND((Assumptions!$E$9=1),(AB$2&gt;=Assumptions!$E$73)),1,0)</f>
        <v/>
      </c>
      <c r="AC48" s="8">
        <f>IF(AND((Assumptions!$E$9=1),(AC$2&gt;=Assumptions!$E$73)),1,0)</f>
        <v/>
      </c>
      <c r="AD48" s="8">
        <f>IF(AND((Assumptions!$E$9=1),(AD$2&gt;=Assumptions!$E$73)),1,0)</f>
        <v/>
      </c>
      <c r="AE48" s="8">
        <f>IF(AND((Assumptions!$E$9=1),(AE$2&gt;=Assumptions!$E$73)),1,0)</f>
        <v/>
      </c>
      <c r="AF48" s="8">
        <f>IF(AND((Assumptions!$E$9=1),(AF$2&gt;=Assumptions!$E$73)),1,0)</f>
        <v/>
      </c>
      <c r="AG48" s="8">
        <f>IF(AND((Assumptions!$E$9=1),(AG$2&gt;=Assumptions!$E$73)),1,0)</f>
        <v/>
      </c>
      <c r="AH48" s="8">
        <f>IF(AND((Assumptions!$E$9=1),(AH$2&gt;=Assumptions!$E$73)),1,0)</f>
        <v/>
      </c>
      <c r="AI48" s="8">
        <f>IF(AND((Assumptions!$E$9=1),(AI$2&gt;=Assumptions!$E$73)),1,0)</f>
        <v/>
      </c>
      <c r="AJ48" s="8">
        <f>IF(AND((Assumptions!$E$9=1),(AJ$2&gt;=Assumptions!$E$73)),1,0)</f>
        <v/>
      </c>
      <c r="AK48" s="8">
        <f>IF(AND((Assumptions!$E$9=1),(AK$2&gt;=Assumptions!$E$73)),1,0)</f>
        <v/>
      </c>
      <c r="AL48" s="8">
        <f>IF(AND((Assumptions!$E$9=1),(AL$2&gt;=Assumptions!$E$73)),1,0)</f>
        <v/>
      </c>
    </row>
    <row r="49">
      <c r="A49" s="6" t="inlineStr">
        <is>
          <t>Linked Items: free users (capped at 1 bank)</t>
        </is>
      </c>
      <c r="B49" s="2" t="inlineStr">
        <is>
          <t>items_free</t>
        </is>
      </c>
      <c r="C49" s="17">
        <f>((C48*C35)*Assumptions!$E$74)</f>
        <v/>
      </c>
      <c r="D49" s="17">
        <f>((D48*D35)*Assumptions!$E$74)</f>
        <v/>
      </c>
      <c r="E49" s="17">
        <f>((E48*E35)*Assumptions!$E$74)</f>
        <v/>
      </c>
      <c r="F49" s="17">
        <f>((F48*F35)*Assumptions!$E$74)</f>
        <v/>
      </c>
      <c r="G49" s="17">
        <f>((G48*G35)*Assumptions!$E$74)</f>
        <v/>
      </c>
      <c r="H49" s="17">
        <f>((H48*H35)*Assumptions!$E$74)</f>
        <v/>
      </c>
      <c r="I49" s="17">
        <f>((I48*I35)*Assumptions!$E$74)</f>
        <v/>
      </c>
      <c r="J49" s="17">
        <f>((J48*J35)*Assumptions!$E$74)</f>
        <v/>
      </c>
      <c r="K49" s="17">
        <f>((K48*K35)*Assumptions!$E$74)</f>
        <v/>
      </c>
      <c r="L49" s="17">
        <f>((L48*L35)*Assumptions!$E$74)</f>
        <v/>
      </c>
      <c r="M49" s="17">
        <f>((M48*M35)*Assumptions!$E$74)</f>
        <v/>
      </c>
      <c r="N49" s="17">
        <f>((N48*N35)*Assumptions!$E$74)</f>
        <v/>
      </c>
      <c r="O49" s="17">
        <f>((O48*O35)*Assumptions!$E$74)</f>
        <v/>
      </c>
      <c r="P49" s="17">
        <f>((P48*P35)*Assumptions!$E$74)</f>
        <v/>
      </c>
      <c r="Q49" s="17">
        <f>((Q48*Q35)*Assumptions!$E$74)</f>
        <v/>
      </c>
      <c r="R49" s="17">
        <f>((R48*R35)*Assumptions!$E$74)</f>
        <v/>
      </c>
      <c r="S49" s="17">
        <f>((S48*S35)*Assumptions!$E$74)</f>
        <v/>
      </c>
      <c r="T49" s="17">
        <f>((T48*T35)*Assumptions!$E$74)</f>
        <v/>
      </c>
      <c r="U49" s="17">
        <f>((U48*U35)*Assumptions!$E$74)</f>
        <v/>
      </c>
      <c r="V49" s="17">
        <f>((V48*V35)*Assumptions!$E$74)</f>
        <v/>
      </c>
      <c r="W49" s="17">
        <f>((W48*W35)*Assumptions!$E$74)</f>
        <v/>
      </c>
      <c r="X49" s="17">
        <f>((X48*X35)*Assumptions!$E$74)</f>
        <v/>
      </c>
      <c r="Y49" s="17">
        <f>((Y48*Y35)*Assumptions!$E$74)</f>
        <v/>
      </c>
      <c r="Z49" s="17">
        <f>((Z48*Z35)*Assumptions!$E$74)</f>
        <v/>
      </c>
      <c r="AA49" s="17">
        <f>((AA48*AA35)*Assumptions!$E$74)</f>
        <v/>
      </c>
      <c r="AB49" s="17">
        <f>((AB48*AB35)*Assumptions!$E$74)</f>
        <v/>
      </c>
      <c r="AC49" s="17">
        <f>((AC48*AC35)*Assumptions!$E$74)</f>
        <v/>
      </c>
      <c r="AD49" s="17">
        <f>((AD48*AD35)*Assumptions!$E$74)</f>
        <v/>
      </c>
      <c r="AE49" s="17">
        <f>((AE48*AE35)*Assumptions!$E$74)</f>
        <v/>
      </c>
      <c r="AF49" s="17">
        <f>((AF48*AF35)*Assumptions!$E$74)</f>
        <v/>
      </c>
      <c r="AG49" s="17">
        <f>((AG48*AG35)*Assumptions!$E$74)</f>
        <v/>
      </c>
      <c r="AH49" s="17">
        <f>((AH48*AH35)*Assumptions!$E$74)</f>
        <v/>
      </c>
      <c r="AI49" s="17">
        <f>((AI48*AI35)*Assumptions!$E$74)</f>
        <v/>
      </c>
      <c r="AJ49" s="17">
        <f>((AJ48*AJ35)*Assumptions!$E$74)</f>
        <v/>
      </c>
      <c r="AK49" s="17">
        <f>((AK48*AK35)*Assumptions!$E$74)</f>
        <v/>
      </c>
      <c r="AL49" s="17">
        <f>((AL48*AL35)*Assumptions!$E$74)</f>
        <v/>
      </c>
    </row>
    <row r="50">
      <c r="A50" s="6" t="inlineStr">
        <is>
          <t>Linked Items: Pro users</t>
        </is>
      </c>
      <c r="B50" s="2" t="inlineStr">
        <is>
          <t>items_pro</t>
        </is>
      </c>
      <c r="C50" s="17">
        <f>(((C48*C29)*Assumptions!$E$76)*Assumptions!$E$77)</f>
        <v/>
      </c>
      <c r="D50" s="17">
        <f>(((D48*D29)*Assumptions!$E$76)*Assumptions!$E$77)</f>
        <v/>
      </c>
      <c r="E50" s="17">
        <f>(((E48*E29)*Assumptions!$E$76)*Assumptions!$E$77)</f>
        <v/>
      </c>
      <c r="F50" s="17">
        <f>(((F48*F29)*Assumptions!$E$76)*Assumptions!$E$77)</f>
        <v/>
      </c>
      <c r="G50" s="17">
        <f>(((G48*G29)*Assumptions!$E$76)*Assumptions!$E$77)</f>
        <v/>
      </c>
      <c r="H50" s="17">
        <f>(((H48*H29)*Assumptions!$E$76)*Assumptions!$E$77)</f>
        <v/>
      </c>
      <c r="I50" s="17">
        <f>(((I48*I29)*Assumptions!$E$76)*Assumptions!$E$77)</f>
        <v/>
      </c>
      <c r="J50" s="17">
        <f>(((J48*J29)*Assumptions!$E$76)*Assumptions!$E$77)</f>
        <v/>
      </c>
      <c r="K50" s="17">
        <f>(((K48*K29)*Assumptions!$E$76)*Assumptions!$E$77)</f>
        <v/>
      </c>
      <c r="L50" s="17">
        <f>(((L48*L29)*Assumptions!$E$76)*Assumptions!$E$77)</f>
        <v/>
      </c>
      <c r="M50" s="17">
        <f>(((M48*M29)*Assumptions!$E$76)*Assumptions!$E$77)</f>
        <v/>
      </c>
      <c r="N50" s="17">
        <f>(((N48*N29)*Assumptions!$E$76)*Assumptions!$E$77)</f>
        <v/>
      </c>
      <c r="O50" s="17">
        <f>(((O48*O29)*Assumptions!$E$76)*Assumptions!$E$77)</f>
        <v/>
      </c>
      <c r="P50" s="17">
        <f>(((P48*P29)*Assumptions!$E$76)*Assumptions!$E$77)</f>
        <v/>
      </c>
      <c r="Q50" s="17">
        <f>(((Q48*Q29)*Assumptions!$E$76)*Assumptions!$E$77)</f>
        <v/>
      </c>
      <c r="R50" s="17">
        <f>(((R48*R29)*Assumptions!$E$76)*Assumptions!$E$77)</f>
        <v/>
      </c>
      <c r="S50" s="17">
        <f>(((S48*S29)*Assumptions!$E$76)*Assumptions!$E$77)</f>
        <v/>
      </c>
      <c r="T50" s="17">
        <f>(((T48*T29)*Assumptions!$E$76)*Assumptions!$E$77)</f>
        <v/>
      </c>
      <c r="U50" s="17">
        <f>(((U48*U29)*Assumptions!$E$76)*Assumptions!$E$77)</f>
        <v/>
      </c>
      <c r="V50" s="17">
        <f>(((V48*V29)*Assumptions!$E$76)*Assumptions!$E$77)</f>
        <v/>
      </c>
      <c r="W50" s="17">
        <f>(((W48*W29)*Assumptions!$E$76)*Assumptions!$E$77)</f>
        <v/>
      </c>
      <c r="X50" s="17">
        <f>(((X48*X29)*Assumptions!$E$76)*Assumptions!$E$77)</f>
        <v/>
      </c>
      <c r="Y50" s="17">
        <f>(((Y48*Y29)*Assumptions!$E$76)*Assumptions!$E$77)</f>
        <v/>
      </c>
      <c r="Z50" s="17">
        <f>(((Z48*Z29)*Assumptions!$E$76)*Assumptions!$E$77)</f>
        <v/>
      </c>
      <c r="AA50" s="17">
        <f>(((AA48*AA29)*Assumptions!$E$76)*Assumptions!$E$77)</f>
        <v/>
      </c>
      <c r="AB50" s="17">
        <f>(((AB48*AB29)*Assumptions!$E$76)*Assumptions!$E$77)</f>
        <v/>
      </c>
      <c r="AC50" s="17">
        <f>(((AC48*AC29)*Assumptions!$E$76)*Assumptions!$E$77)</f>
        <v/>
      </c>
      <c r="AD50" s="17">
        <f>(((AD48*AD29)*Assumptions!$E$76)*Assumptions!$E$77)</f>
        <v/>
      </c>
      <c r="AE50" s="17">
        <f>(((AE48*AE29)*Assumptions!$E$76)*Assumptions!$E$77)</f>
        <v/>
      </c>
      <c r="AF50" s="17">
        <f>(((AF48*AF29)*Assumptions!$E$76)*Assumptions!$E$77)</f>
        <v/>
      </c>
      <c r="AG50" s="17">
        <f>(((AG48*AG29)*Assumptions!$E$76)*Assumptions!$E$77)</f>
        <v/>
      </c>
      <c r="AH50" s="17">
        <f>(((AH48*AH29)*Assumptions!$E$76)*Assumptions!$E$77)</f>
        <v/>
      </c>
      <c r="AI50" s="17">
        <f>(((AI48*AI29)*Assumptions!$E$76)*Assumptions!$E$77)</f>
        <v/>
      </c>
      <c r="AJ50" s="17">
        <f>(((AJ48*AJ29)*Assumptions!$E$76)*Assumptions!$E$77)</f>
        <v/>
      </c>
      <c r="AK50" s="17">
        <f>(((AK48*AK29)*Assumptions!$E$76)*Assumptions!$E$77)</f>
        <v/>
      </c>
      <c r="AL50" s="17">
        <f>(((AL48*AL29)*Assumptions!$E$76)*Assumptions!$E$77)</f>
        <v/>
      </c>
    </row>
    <row r="52">
      <c r="A52" s="4" t="inlineStr">
        <is>
          <t>REVENUE</t>
        </is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</row>
    <row r="53">
      <c r="A53" s="6" t="inlineStr">
        <is>
          <t>Gross: monthly plans</t>
        </is>
      </c>
      <c r="B53" s="2" t="inlineStr">
        <is>
          <t>rev_monthly</t>
        </is>
      </c>
      <c r="C53" s="14">
        <f>(C24*Assumptions!$E$35)</f>
        <v/>
      </c>
      <c r="D53" s="14">
        <f>(D24*Assumptions!$E$35)</f>
        <v/>
      </c>
      <c r="E53" s="14">
        <f>(E24*Assumptions!$E$35)</f>
        <v/>
      </c>
      <c r="F53" s="14">
        <f>(F24*Assumptions!$E$35)</f>
        <v/>
      </c>
      <c r="G53" s="14">
        <f>(G24*Assumptions!$E$35)</f>
        <v/>
      </c>
      <c r="H53" s="14">
        <f>(H24*Assumptions!$E$35)</f>
        <v/>
      </c>
      <c r="I53" s="14">
        <f>(I24*Assumptions!$E$35)</f>
        <v/>
      </c>
      <c r="J53" s="14">
        <f>(J24*Assumptions!$E$35)</f>
        <v/>
      </c>
      <c r="K53" s="14">
        <f>(K24*Assumptions!$E$35)</f>
        <v/>
      </c>
      <c r="L53" s="14">
        <f>(L24*Assumptions!$E$35)</f>
        <v/>
      </c>
      <c r="M53" s="14">
        <f>(M24*Assumptions!$E$35)</f>
        <v/>
      </c>
      <c r="N53" s="14">
        <f>(N24*Assumptions!$E$35)</f>
        <v/>
      </c>
      <c r="O53" s="14">
        <f>(O24*Assumptions!$E$35)</f>
        <v/>
      </c>
      <c r="P53" s="14">
        <f>(P24*Assumptions!$E$35)</f>
        <v/>
      </c>
      <c r="Q53" s="14">
        <f>(Q24*Assumptions!$E$35)</f>
        <v/>
      </c>
      <c r="R53" s="14">
        <f>(R24*Assumptions!$E$35)</f>
        <v/>
      </c>
      <c r="S53" s="14">
        <f>(S24*Assumptions!$E$35)</f>
        <v/>
      </c>
      <c r="T53" s="14">
        <f>(T24*Assumptions!$E$35)</f>
        <v/>
      </c>
      <c r="U53" s="14">
        <f>(U24*Assumptions!$E$35)</f>
        <v/>
      </c>
      <c r="V53" s="14">
        <f>(V24*Assumptions!$E$35)</f>
        <v/>
      </c>
      <c r="W53" s="14">
        <f>(W24*Assumptions!$E$35)</f>
        <v/>
      </c>
      <c r="X53" s="14">
        <f>(X24*Assumptions!$E$35)</f>
        <v/>
      </c>
      <c r="Y53" s="14">
        <f>(Y24*Assumptions!$E$35)</f>
        <v/>
      </c>
      <c r="Z53" s="14">
        <f>(Z24*Assumptions!$E$35)</f>
        <v/>
      </c>
      <c r="AA53" s="14">
        <f>(AA24*Assumptions!$E$35)</f>
        <v/>
      </c>
      <c r="AB53" s="14">
        <f>(AB24*Assumptions!$E$35)</f>
        <v/>
      </c>
      <c r="AC53" s="14">
        <f>(AC24*Assumptions!$E$35)</f>
        <v/>
      </c>
      <c r="AD53" s="14">
        <f>(AD24*Assumptions!$E$35)</f>
        <v/>
      </c>
      <c r="AE53" s="14">
        <f>(AE24*Assumptions!$E$35)</f>
        <v/>
      </c>
      <c r="AF53" s="14">
        <f>(AF24*Assumptions!$E$35)</f>
        <v/>
      </c>
      <c r="AG53" s="14">
        <f>(AG24*Assumptions!$E$35)</f>
        <v/>
      </c>
      <c r="AH53" s="14">
        <f>(AH24*Assumptions!$E$35)</f>
        <v/>
      </c>
      <c r="AI53" s="14">
        <f>(AI24*Assumptions!$E$35)</f>
        <v/>
      </c>
      <c r="AJ53" s="14">
        <f>(AJ24*Assumptions!$E$35)</f>
        <v/>
      </c>
      <c r="AK53" s="14">
        <f>(AK24*Assumptions!$E$35)</f>
        <v/>
      </c>
      <c r="AL53" s="14">
        <f>(AL24*Assumptions!$E$35)</f>
        <v/>
      </c>
    </row>
    <row r="54">
      <c r="A54" s="6" t="inlineStr">
        <is>
          <t>Gross: annual plans (recognised 1/12 a month)</t>
        </is>
      </c>
      <c r="B54" s="2" t="inlineStr">
        <is>
          <t>rev_annual</t>
        </is>
      </c>
      <c r="C54" s="14">
        <f>((C26*Assumptions!$E$36)/12)</f>
        <v/>
      </c>
      <c r="D54" s="14">
        <f>((D26*Assumptions!$E$36)/12)</f>
        <v/>
      </c>
      <c r="E54" s="14">
        <f>((E26*Assumptions!$E$36)/12)</f>
        <v/>
      </c>
      <c r="F54" s="14">
        <f>((F26*Assumptions!$E$36)/12)</f>
        <v/>
      </c>
      <c r="G54" s="14">
        <f>((G26*Assumptions!$E$36)/12)</f>
        <v/>
      </c>
      <c r="H54" s="14">
        <f>((H26*Assumptions!$E$36)/12)</f>
        <v/>
      </c>
      <c r="I54" s="14">
        <f>((I26*Assumptions!$E$36)/12)</f>
        <v/>
      </c>
      <c r="J54" s="14">
        <f>((J26*Assumptions!$E$36)/12)</f>
        <v/>
      </c>
      <c r="K54" s="14">
        <f>((K26*Assumptions!$E$36)/12)</f>
        <v/>
      </c>
      <c r="L54" s="14">
        <f>((L26*Assumptions!$E$36)/12)</f>
        <v/>
      </c>
      <c r="M54" s="14">
        <f>((M26*Assumptions!$E$36)/12)</f>
        <v/>
      </c>
      <c r="N54" s="14">
        <f>((N26*Assumptions!$E$36)/12)</f>
        <v/>
      </c>
      <c r="O54" s="14">
        <f>((O26*Assumptions!$E$36)/12)</f>
        <v/>
      </c>
      <c r="P54" s="14">
        <f>((P26*Assumptions!$E$36)/12)</f>
        <v/>
      </c>
      <c r="Q54" s="14">
        <f>((Q26*Assumptions!$E$36)/12)</f>
        <v/>
      </c>
      <c r="R54" s="14">
        <f>((R26*Assumptions!$E$36)/12)</f>
        <v/>
      </c>
      <c r="S54" s="14">
        <f>((S26*Assumptions!$E$36)/12)</f>
        <v/>
      </c>
      <c r="T54" s="14">
        <f>((T26*Assumptions!$E$36)/12)</f>
        <v/>
      </c>
      <c r="U54" s="14">
        <f>((U26*Assumptions!$E$36)/12)</f>
        <v/>
      </c>
      <c r="V54" s="14">
        <f>((V26*Assumptions!$E$36)/12)</f>
        <v/>
      </c>
      <c r="W54" s="14">
        <f>((W26*Assumptions!$E$36)/12)</f>
        <v/>
      </c>
      <c r="X54" s="14">
        <f>((X26*Assumptions!$E$36)/12)</f>
        <v/>
      </c>
      <c r="Y54" s="14">
        <f>((Y26*Assumptions!$E$36)/12)</f>
        <v/>
      </c>
      <c r="Z54" s="14">
        <f>((Z26*Assumptions!$E$36)/12)</f>
        <v/>
      </c>
      <c r="AA54" s="14">
        <f>((AA26*Assumptions!$E$36)/12)</f>
        <v/>
      </c>
      <c r="AB54" s="14">
        <f>((AB26*Assumptions!$E$36)/12)</f>
        <v/>
      </c>
      <c r="AC54" s="14">
        <f>((AC26*Assumptions!$E$36)/12)</f>
        <v/>
      </c>
      <c r="AD54" s="14">
        <f>((AD26*Assumptions!$E$36)/12)</f>
        <v/>
      </c>
      <c r="AE54" s="14">
        <f>((AE26*Assumptions!$E$36)/12)</f>
        <v/>
      </c>
      <c r="AF54" s="14">
        <f>((AF26*Assumptions!$E$36)/12)</f>
        <v/>
      </c>
      <c r="AG54" s="14">
        <f>((AG26*Assumptions!$E$36)/12)</f>
        <v/>
      </c>
      <c r="AH54" s="14">
        <f>((AH26*Assumptions!$E$36)/12)</f>
        <v/>
      </c>
      <c r="AI54" s="14">
        <f>((AI26*Assumptions!$E$36)/12)</f>
        <v/>
      </c>
      <c r="AJ54" s="14">
        <f>((AJ26*Assumptions!$E$36)/12)</f>
        <v/>
      </c>
      <c r="AK54" s="14">
        <f>((AK26*Assumptions!$E$36)/12)</f>
        <v/>
      </c>
      <c r="AL54" s="14">
        <f>((AL26*Assumptions!$E$36)/12)</f>
        <v/>
      </c>
    </row>
    <row r="55">
      <c r="A55" s="6" t="inlineStr">
        <is>
          <t>Gross: student plans (recognised 1/12 a month)</t>
        </is>
      </c>
      <c r="B55" s="2" t="inlineStr">
        <is>
          <t>rev_student</t>
        </is>
      </c>
      <c r="C55" s="14">
        <f>((C28*Assumptions!$E$37)/12)</f>
        <v/>
      </c>
      <c r="D55" s="14">
        <f>((D28*Assumptions!$E$37)/12)</f>
        <v/>
      </c>
      <c r="E55" s="14">
        <f>((E28*Assumptions!$E$37)/12)</f>
        <v/>
      </c>
      <c r="F55" s="14">
        <f>((F28*Assumptions!$E$37)/12)</f>
        <v/>
      </c>
      <c r="G55" s="14">
        <f>((G28*Assumptions!$E$37)/12)</f>
        <v/>
      </c>
      <c r="H55" s="14">
        <f>((H28*Assumptions!$E$37)/12)</f>
        <v/>
      </c>
      <c r="I55" s="14">
        <f>((I28*Assumptions!$E$37)/12)</f>
        <v/>
      </c>
      <c r="J55" s="14">
        <f>((J28*Assumptions!$E$37)/12)</f>
        <v/>
      </c>
      <c r="K55" s="14">
        <f>((K28*Assumptions!$E$37)/12)</f>
        <v/>
      </c>
      <c r="L55" s="14">
        <f>((L28*Assumptions!$E$37)/12)</f>
        <v/>
      </c>
      <c r="M55" s="14">
        <f>((M28*Assumptions!$E$37)/12)</f>
        <v/>
      </c>
      <c r="N55" s="14">
        <f>((N28*Assumptions!$E$37)/12)</f>
        <v/>
      </c>
      <c r="O55" s="14">
        <f>((O28*Assumptions!$E$37)/12)</f>
        <v/>
      </c>
      <c r="P55" s="14">
        <f>((P28*Assumptions!$E$37)/12)</f>
        <v/>
      </c>
      <c r="Q55" s="14">
        <f>((Q28*Assumptions!$E$37)/12)</f>
        <v/>
      </c>
      <c r="R55" s="14">
        <f>((R28*Assumptions!$E$37)/12)</f>
        <v/>
      </c>
      <c r="S55" s="14">
        <f>((S28*Assumptions!$E$37)/12)</f>
        <v/>
      </c>
      <c r="T55" s="14">
        <f>((T28*Assumptions!$E$37)/12)</f>
        <v/>
      </c>
      <c r="U55" s="14">
        <f>((U28*Assumptions!$E$37)/12)</f>
        <v/>
      </c>
      <c r="V55" s="14">
        <f>((V28*Assumptions!$E$37)/12)</f>
        <v/>
      </c>
      <c r="W55" s="14">
        <f>((W28*Assumptions!$E$37)/12)</f>
        <v/>
      </c>
      <c r="X55" s="14">
        <f>((X28*Assumptions!$E$37)/12)</f>
        <v/>
      </c>
      <c r="Y55" s="14">
        <f>((Y28*Assumptions!$E$37)/12)</f>
        <v/>
      </c>
      <c r="Z55" s="14">
        <f>((Z28*Assumptions!$E$37)/12)</f>
        <v/>
      </c>
      <c r="AA55" s="14">
        <f>((AA28*Assumptions!$E$37)/12)</f>
        <v/>
      </c>
      <c r="AB55" s="14">
        <f>((AB28*Assumptions!$E$37)/12)</f>
        <v/>
      </c>
      <c r="AC55" s="14">
        <f>((AC28*Assumptions!$E$37)/12)</f>
        <v/>
      </c>
      <c r="AD55" s="14">
        <f>((AD28*Assumptions!$E$37)/12)</f>
        <v/>
      </c>
      <c r="AE55" s="14">
        <f>((AE28*Assumptions!$E$37)/12)</f>
        <v/>
      </c>
      <c r="AF55" s="14">
        <f>((AF28*Assumptions!$E$37)/12)</f>
        <v/>
      </c>
      <c r="AG55" s="14">
        <f>((AG28*Assumptions!$E$37)/12)</f>
        <v/>
      </c>
      <c r="AH55" s="14">
        <f>((AH28*Assumptions!$E$37)/12)</f>
        <v/>
      </c>
      <c r="AI55" s="14">
        <f>((AI28*Assumptions!$E$37)/12)</f>
        <v/>
      </c>
      <c r="AJ55" s="14">
        <f>((AJ28*Assumptions!$E$37)/12)</f>
        <v/>
      </c>
      <c r="AK55" s="14">
        <f>((AK28*Assumptions!$E$37)/12)</f>
        <v/>
      </c>
      <c r="AL55" s="14">
        <f>((AL28*Assumptions!$E$37)/12)</f>
        <v/>
      </c>
    </row>
    <row r="56">
      <c r="A56" s="6" t="inlineStr">
        <is>
          <t>Gross: Recruiting Pass</t>
        </is>
      </c>
      <c r="B56" s="2" t="inlineStr">
        <is>
          <t>rev_pass</t>
        </is>
      </c>
      <c r="C56" s="14">
        <f>(C21*Assumptions!$E$38)</f>
        <v/>
      </c>
      <c r="D56" s="14">
        <f>(D21*Assumptions!$E$38)</f>
        <v/>
      </c>
      <c r="E56" s="14">
        <f>(E21*Assumptions!$E$38)</f>
        <v/>
      </c>
      <c r="F56" s="14">
        <f>(F21*Assumptions!$E$38)</f>
        <v/>
      </c>
      <c r="G56" s="14">
        <f>(G21*Assumptions!$E$38)</f>
        <v/>
      </c>
      <c r="H56" s="14">
        <f>(H21*Assumptions!$E$38)</f>
        <v/>
      </c>
      <c r="I56" s="14">
        <f>(I21*Assumptions!$E$38)</f>
        <v/>
      </c>
      <c r="J56" s="14">
        <f>(J21*Assumptions!$E$38)</f>
        <v/>
      </c>
      <c r="K56" s="14">
        <f>(K21*Assumptions!$E$38)</f>
        <v/>
      </c>
      <c r="L56" s="14">
        <f>(L21*Assumptions!$E$38)</f>
        <v/>
      </c>
      <c r="M56" s="14">
        <f>(M21*Assumptions!$E$38)</f>
        <v/>
      </c>
      <c r="N56" s="14">
        <f>(N21*Assumptions!$E$38)</f>
        <v/>
      </c>
      <c r="O56" s="14">
        <f>(O21*Assumptions!$E$38)</f>
        <v/>
      </c>
      <c r="P56" s="14">
        <f>(P21*Assumptions!$E$38)</f>
        <v/>
      </c>
      <c r="Q56" s="14">
        <f>(Q21*Assumptions!$E$38)</f>
        <v/>
      </c>
      <c r="R56" s="14">
        <f>(R21*Assumptions!$E$38)</f>
        <v/>
      </c>
      <c r="S56" s="14">
        <f>(S21*Assumptions!$E$38)</f>
        <v/>
      </c>
      <c r="T56" s="14">
        <f>(T21*Assumptions!$E$38)</f>
        <v/>
      </c>
      <c r="U56" s="14">
        <f>(U21*Assumptions!$E$38)</f>
        <v/>
      </c>
      <c r="V56" s="14">
        <f>(V21*Assumptions!$E$38)</f>
        <v/>
      </c>
      <c r="W56" s="14">
        <f>(W21*Assumptions!$E$38)</f>
        <v/>
      </c>
      <c r="X56" s="14">
        <f>(X21*Assumptions!$E$38)</f>
        <v/>
      </c>
      <c r="Y56" s="14">
        <f>(Y21*Assumptions!$E$38)</f>
        <v/>
      </c>
      <c r="Z56" s="14">
        <f>(Z21*Assumptions!$E$38)</f>
        <v/>
      </c>
      <c r="AA56" s="14">
        <f>(AA21*Assumptions!$E$38)</f>
        <v/>
      </c>
      <c r="AB56" s="14">
        <f>(AB21*Assumptions!$E$38)</f>
        <v/>
      </c>
      <c r="AC56" s="14">
        <f>(AC21*Assumptions!$E$38)</f>
        <v/>
      </c>
      <c r="AD56" s="14">
        <f>(AD21*Assumptions!$E$38)</f>
        <v/>
      </c>
      <c r="AE56" s="14">
        <f>(AE21*Assumptions!$E$38)</f>
        <v/>
      </c>
      <c r="AF56" s="14">
        <f>(AF21*Assumptions!$E$38)</f>
        <v/>
      </c>
      <c r="AG56" s="14">
        <f>(AG21*Assumptions!$E$38)</f>
        <v/>
      </c>
      <c r="AH56" s="14">
        <f>(AH21*Assumptions!$E$38)</f>
        <v/>
      </c>
      <c r="AI56" s="14">
        <f>(AI21*Assumptions!$E$38)</f>
        <v/>
      </c>
      <c r="AJ56" s="14">
        <f>(AJ21*Assumptions!$E$38)</f>
        <v/>
      </c>
      <c r="AK56" s="14">
        <f>(AK21*Assumptions!$E$38)</f>
        <v/>
      </c>
      <c r="AL56" s="14">
        <f>(AL21*Assumptions!$E$38)</f>
        <v/>
      </c>
    </row>
    <row r="57">
      <c r="A57" s="21" t="inlineStr">
        <is>
          <t>Gross in-app sales</t>
        </is>
      </c>
      <c r="B57" s="2" t="inlineStr">
        <is>
          <t>rev_iap_gross</t>
        </is>
      </c>
      <c r="C57" s="23">
        <f>(((C53+C54)+C55)+C56)</f>
        <v/>
      </c>
      <c r="D57" s="23">
        <f>(((D53+D54)+D55)+D56)</f>
        <v/>
      </c>
      <c r="E57" s="23">
        <f>(((E53+E54)+E55)+E56)</f>
        <v/>
      </c>
      <c r="F57" s="23">
        <f>(((F53+F54)+F55)+F56)</f>
        <v/>
      </c>
      <c r="G57" s="23">
        <f>(((G53+G54)+G55)+G56)</f>
        <v/>
      </c>
      <c r="H57" s="23">
        <f>(((H53+H54)+H55)+H56)</f>
        <v/>
      </c>
      <c r="I57" s="23">
        <f>(((I53+I54)+I55)+I56)</f>
        <v/>
      </c>
      <c r="J57" s="23">
        <f>(((J53+J54)+J55)+J56)</f>
        <v/>
      </c>
      <c r="K57" s="23">
        <f>(((K53+K54)+K55)+K56)</f>
        <v/>
      </c>
      <c r="L57" s="23">
        <f>(((L53+L54)+L55)+L56)</f>
        <v/>
      </c>
      <c r="M57" s="23">
        <f>(((M53+M54)+M55)+M56)</f>
        <v/>
      </c>
      <c r="N57" s="23">
        <f>(((N53+N54)+N55)+N56)</f>
        <v/>
      </c>
      <c r="O57" s="23">
        <f>(((O53+O54)+O55)+O56)</f>
        <v/>
      </c>
      <c r="P57" s="23">
        <f>(((P53+P54)+P55)+P56)</f>
        <v/>
      </c>
      <c r="Q57" s="23">
        <f>(((Q53+Q54)+Q55)+Q56)</f>
        <v/>
      </c>
      <c r="R57" s="23">
        <f>(((R53+R54)+R55)+R56)</f>
        <v/>
      </c>
      <c r="S57" s="23">
        <f>(((S53+S54)+S55)+S56)</f>
        <v/>
      </c>
      <c r="T57" s="23">
        <f>(((T53+T54)+T55)+T56)</f>
        <v/>
      </c>
      <c r="U57" s="23">
        <f>(((U53+U54)+U55)+U56)</f>
        <v/>
      </c>
      <c r="V57" s="23">
        <f>(((V53+V54)+V55)+V56)</f>
        <v/>
      </c>
      <c r="W57" s="23">
        <f>(((W53+W54)+W55)+W56)</f>
        <v/>
      </c>
      <c r="X57" s="23">
        <f>(((X53+X54)+X55)+X56)</f>
        <v/>
      </c>
      <c r="Y57" s="23">
        <f>(((Y53+Y54)+Y55)+Y56)</f>
        <v/>
      </c>
      <c r="Z57" s="23">
        <f>(((Z53+Z54)+Z55)+Z56)</f>
        <v/>
      </c>
      <c r="AA57" s="23">
        <f>(((AA53+AA54)+AA55)+AA56)</f>
        <v/>
      </c>
      <c r="AB57" s="23">
        <f>(((AB53+AB54)+AB55)+AB56)</f>
        <v/>
      </c>
      <c r="AC57" s="23">
        <f>(((AC53+AC54)+AC55)+AC56)</f>
        <v/>
      </c>
      <c r="AD57" s="23">
        <f>(((AD53+AD54)+AD55)+AD56)</f>
        <v/>
      </c>
      <c r="AE57" s="23">
        <f>(((AE53+AE54)+AE55)+AE56)</f>
        <v/>
      </c>
      <c r="AF57" s="23">
        <f>(((AF53+AF54)+AF55)+AF56)</f>
        <v/>
      </c>
      <c r="AG57" s="23">
        <f>(((AG53+AG54)+AG55)+AG56)</f>
        <v/>
      </c>
      <c r="AH57" s="23">
        <f>(((AH53+AH54)+AH55)+AH56)</f>
        <v/>
      </c>
      <c r="AI57" s="23">
        <f>(((AI53+AI54)+AI55)+AI56)</f>
        <v/>
      </c>
      <c r="AJ57" s="23">
        <f>(((AJ53+AJ54)+AJ55)+AJ56)</f>
        <v/>
      </c>
      <c r="AK57" s="23">
        <f>(((AK53+AK54)+AK55)+AK56)</f>
        <v/>
      </c>
      <c r="AL57" s="23">
        <f>(((AL53+AL54)+AL55)+AL56)</f>
        <v/>
      </c>
    </row>
    <row r="58">
      <c r="A58" s="6" t="inlineStr">
        <is>
          <t>Less: refunds</t>
        </is>
      </c>
      <c r="B58" s="2" t="inlineStr">
        <is>
          <t>refunds</t>
        </is>
      </c>
      <c r="C58" s="14">
        <f>((-C57)*Assumptions!$E$40)</f>
        <v/>
      </c>
      <c r="D58" s="14">
        <f>((-D57)*Assumptions!$E$40)</f>
        <v/>
      </c>
      <c r="E58" s="14">
        <f>((-E57)*Assumptions!$E$40)</f>
        <v/>
      </c>
      <c r="F58" s="14">
        <f>((-F57)*Assumptions!$E$40)</f>
        <v/>
      </c>
      <c r="G58" s="14">
        <f>((-G57)*Assumptions!$E$40)</f>
        <v/>
      </c>
      <c r="H58" s="14">
        <f>((-H57)*Assumptions!$E$40)</f>
        <v/>
      </c>
      <c r="I58" s="14">
        <f>((-I57)*Assumptions!$E$40)</f>
        <v/>
      </c>
      <c r="J58" s="14">
        <f>((-J57)*Assumptions!$E$40)</f>
        <v/>
      </c>
      <c r="K58" s="14">
        <f>((-K57)*Assumptions!$E$40)</f>
        <v/>
      </c>
      <c r="L58" s="14">
        <f>((-L57)*Assumptions!$E$40)</f>
        <v/>
      </c>
      <c r="M58" s="14">
        <f>((-M57)*Assumptions!$E$40)</f>
        <v/>
      </c>
      <c r="N58" s="14">
        <f>((-N57)*Assumptions!$E$40)</f>
        <v/>
      </c>
      <c r="O58" s="14">
        <f>((-O57)*Assumptions!$E$40)</f>
        <v/>
      </c>
      <c r="P58" s="14">
        <f>((-P57)*Assumptions!$E$40)</f>
        <v/>
      </c>
      <c r="Q58" s="14">
        <f>((-Q57)*Assumptions!$E$40)</f>
        <v/>
      </c>
      <c r="R58" s="14">
        <f>((-R57)*Assumptions!$E$40)</f>
        <v/>
      </c>
      <c r="S58" s="14">
        <f>((-S57)*Assumptions!$E$40)</f>
        <v/>
      </c>
      <c r="T58" s="14">
        <f>((-T57)*Assumptions!$E$40)</f>
        <v/>
      </c>
      <c r="U58" s="14">
        <f>((-U57)*Assumptions!$E$40)</f>
        <v/>
      </c>
      <c r="V58" s="14">
        <f>((-V57)*Assumptions!$E$40)</f>
        <v/>
      </c>
      <c r="W58" s="14">
        <f>((-W57)*Assumptions!$E$40)</f>
        <v/>
      </c>
      <c r="X58" s="14">
        <f>((-X57)*Assumptions!$E$40)</f>
        <v/>
      </c>
      <c r="Y58" s="14">
        <f>((-Y57)*Assumptions!$E$40)</f>
        <v/>
      </c>
      <c r="Z58" s="14">
        <f>((-Z57)*Assumptions!$E$40)</f>
        <v/>
      </c>
      <c r="AA58" s="14">
        <f>((-AA57)*Assumptions!$E$40)</f>
        <v/>
      </c>
      <c r="AB58" s="14">
        <f>((-AB57)*Assumptions!$E$40)</f>
        <v/>
      </c>
      <c r="AC58" s="14">
        <f>((-AC57)*Assumptions!$E$40)</f>
        <v/>
      </c>
      <c r="AD58" s="14">
        <f>((-AD57)*Assumptions!$E$40)</f>
        <v/>
      </c>
      <c r="AE58" s="14">
        <f>((-AE57)*Assumptions!$E$40)</f>
        <v/>
      </c>
      <c r="AF58" s="14">
        <f>((-AF57)*Assumptions!$E$40)</f>
        <v/>
      </c>
      <c r="AG58" s="14">
        <f>((-AG57)*Assumptions!$E$40)</f>
        <v/>
      </c>
      <c r="AH58" s="14">
        <f>((-AH57)*Assumptions!$E$40)</f>
        <v/>
      </c>
      <c r="AI58" s="14">
        <f>((-AI57)*Assumptions!$E$40)</f>
        <v/>
      </c>
      <c r="AJ58" s="14">
        <f>((-AJ57)*Assumptions!$E$40)</f>
        <v/>
      </c>
      <c r="AK58" s="14">
        <f>((-AK57)*Assumptions!$E$40)</f>
        <v/>
      </c>
      <c r="AL58" s="14">
        <f>((-AL57)*Assumptions!$E$40)</f>
        <v/>
      </c>
    </row>
    <row r="59">
      <c r="A59" s="6" t="inlineStr">
        <is>
          <t>Less: app store commission</t>
        </is>
      </c>
      <c r="B59" s="2" t="inlineStr">
        <is>
          <t>store_fee</t>
        </is>
      </c>
      <c r="C59" s="14">
        <f>((-(C57+C58))*Assumptions!$E$39)</f>
        <v/>
      </c>
      <c r="D59" s="14">
        <f>((-(D57+D58))*Assumptions!$E$39)</f>
        <v/>
      </c>
      <c r="E59" s="14">
        <f>((-(E57+E58))*Assumptions!$E$39)</f>
        <v/>
      </c>
      <c r="F59" s="14">
        <f>((-(F57+F58))*Assumptions!$E$39)</f>
        <v/>
      </c>
      <c r="G59" s="14">
        <f>((-(G57+G58))*Assumptions!$E$39)</f>
        <v/>
      </c>
      <c r="H59" s="14">
        <f>((-(H57+H58))*Assumptions!$E$39)</f>
        <v/>
      </c>
      <c r="I59" s="14">
        <f>((-(I57+I58))*Assumptions!$E$39)</f>
        <v/>
      </c>
      <c r="J59" s="14">
        <f>((-(J57+J58))*Assumptions!$E$39)</f>
        <v/>
      </c>
      <c r="K59" s="14">
        <f>((-(K57+K58))*Assumptions!$E$39)</f>
        <v/>
      </c>
      <c r="L59" s="14">
        <f>((-(L57+L58))*Assumptions!$E$39)</f>
        <v/>
      </c>
      <c r="M59" s="14">
        <f>((-(M57+M58))*Assumptions!$E$39)</f>
        <v/>
      </c>
      <c r="N59" s="14">
        <f>((-(N57+N58))*Assumptions!$E$39)</f>
        <v/>
      </c>
      <c r="O59" s="14">
        <f>((-(O57+O58))*Assumptions!$E$39)</f>
        <v/>
      </c>
      <c r="P59" s="14">
        <f>((-(P57+P58))*Assumptions!$E$39)</f>
        <v/>
      </c>
      <c r="Q59" s="14">
        <f>((-(Q57+Q58))*Assumptions!$E$39)</f>
        <v/>
      </c>
      <c r="R59" s="14">
        <f>((-(R57+R58))*Assumptions!$E$39)</f>
        <v/>
      </c>
      <c r="S59" s="14">
        <f>((-(S57+S58))*Assumptions!$E$39)</f>
        <v/>
      </c>
      <c r="T59" s="14">
        <f>((-(T57+T58))*Assumptions!$E$39)</f>
        <v/>
      </c>
      <c r="U59" s="14">
        <f>((-(U57+U58))*Assumptions!$E$39)</f>
        <v/>
      </c>
      <c r="V59" s="14">
        <f>((-(V57+V58))*Assumptions!$E$39)</f>
        <v/>
      </c>
      <c r="W59" s="14">
        <f>((-(W57+W58))*Assumptions!$E$39)</f>
        <v/>
      </c>
      <c r="X59" s="14">
        <f>((-(X57+X58))*Assumptions!$E$39)</f>
        <v/>
      </c>
      <c r="Y59" s="14">
        <f>((-(Y57+Y58))*Assumptions!$E$39)</f>
        <v/>
      </c>
      <c r="Z59" s="14">
        <f>((-(Z57+Z58))*Assumptions!$E$39)</f>
        <v/>
      </c>
      <c r="AA59" s="14">
        <f>((-(AA57+AA58))*Assumptions!$E$39)</f>
        <v/>
      </c>
      <c r="AB59" s="14">
        <f>((-(AB57+AB58))*Assumptions!$E$39)</f>
        <v/>
      </c>
      <c r="AC59" s="14">
        <f>((-(AC57+AC58))*Assumptions!$E$39)</f>
        <v/>
      </c>
      <c r="AD59" s="14">
        <f>((-(AD57+AD58))*Assumptions!$E$39)</f>
        <v/>
      </c>
      <c r="AE59" s="14">
        <f>((-(AE57+AE58))*Assumptions!$E$39)</f>
        <v/>
      </c>
      <c r="AF59" s="14">
        <f>((-(AF57+AF58))*Assumptions!$E$39)</f>
        <v/>
      </c>
      <c r="AG59" s="14">
        <f>((-(AG57+AG58))*Assumptions!$E$39)</f>
        <v/>
      </c>
      <c r="AH59" s="14">
        <f>((-(AH57+AH58))*Assumptions!$E$39)</f>
        <v/>
      </c>
      <c r="AI59" s="14">
        <f>((-(AI57+AI58))*Assumptions!$E$39)</f>
        <v/>
      </c>
      <c r="AJ59" s="14">
        <f>((-(AJ57+AJ58))*Assumptions!$E$39)</f>
        <v/>
      </c>
      <c r="AK59" s="14">
        <f>((-(AK57+AK58))*Assumptions!$E$39)</f>
        <v/>
      </c>
      <c r="AL59" s="14">
        <f>((-(AL57+AL58))*Assumptions!$E$39)</f>
        <v/>
      </c>
    </row>
    <row r="60">
      <c r="A60" s="21" t="inlineStr">
        <is>
          <t>Subscriptions &amp; in-app, net of store fee</t>
        </is>
      </c>
      <c r="B60" s="2" t="inlineStr">
        <is>
          <t>rev_subs_net</t>
        </is>
      </c>
      <c r="C60" s="23">
        <f>((C57+C58)+C59)</f>
        <v/>
      </c>
      <c r="D60" s="23">
        <f>((D57+D58)+D59)</f>
        <v/>
      </c>
      <c r="E60" s="23">
        <f>((E57+E58)+E59)</f>
        <v/>
      </c>
      <c r="F60" s="23">
        <f>((F57+F58)+F59)</f>
        <v/>
      </c>
      <c r="G60" s="23">
        <f>((G57+G58)+G59)</f>
        <v/>
      </c>
      <c r="H60" s="23">
        <f>((H57+H58)+H59)</f>
        <v/>
      </c>
      <c r="I60" s="23">
        <f>((I57+I58)+I59)</f>
        <v/>
      </c>
      <c r="J60" s="23">
        <f>((J57+J58)+J59)</f>
        <v/>
      </c>
      <c r="K60" s="23">
        <f>((K57+K58)+K59)</f>
        <v/>
      </c>
      <c r="L60" s="23">
        <f>((L57+L58)+L59)</f>
        <v/>
      </c>
      <c r="M60" s="23">
        <f>((M57+M58)+M59)</f>
        <v/>
      </c>
      <c r="N60" s="23">
        <f>((N57+N58)+N59)</f>
        <v/>
      </c>
      <c r="O60" s="23">
        <f>((O57+O58)+O59)</f>
        <v/>
      </c>
      <c r="P60" s="23">
        <f>((P57+P58)+P59)</f>
        <v/>
      </c>
      <c r="Q60" s="23">
        <f>((Q57+Q58)+Q59)</f>
        <v/>
      </c>
      <c r="R60" s="23">
        <f>((R57+R58)+R59)</f>
        <v/>
      </c>
      <c r="S60" s="23">
        <f>((S57+S58)+S59)</f>
        <v/>
      </c>
      <c r="T60" s="23">
        <f>((T57+T58)+T59)</f>
        <v/>
      </c>
      <c r="U60" s="23">
        <f>((U57+U58)+U59)</f>
        <v/>
      </c>
      <c r="V60" s="23">
        <f>((V57+V58)+V59)</f>
        <v/>
      </c>
      <c r="W60" s="23">
        <f>((W57+W58)+W59)</f>
        <v/>
      </c>
      <c r="X60" s="23">
        <f>((X57+X58)+X59)</f>
        <v/>
      </c>
      <c r="Y60" s="23">
        <f>((Y57+Y58)+Y59)</f>
        <v/>
      </c>
      <c r="Z60" s="23">
        <f>((Z57+Z58)+Z59)</f>
        <v/>
      </c>
      <c r="AA60" s="23">
        <f>((AA57+AA58)+AA59)</f>
        <v/>
      </c>
      <c r="AB60" s="23">
        <f>((AB57+AB58)+AB59)</f>
        <v/>
      </c>
      <c r="AC60" s="23">
        <f>((AC57+AC58)+AC59)</f>
        <v/>
      </c>
      <c r="AD60" s="23">
        <f>((AD57+AD58)+AD59)</f>
        <v/>
      </c>
      <c r="AE60" s="23">
        <f>((AE57+AE58)+AE59)</f>
        <v/>
      </c>
      <c r="AF60" s="23">
        <f>((AF57+AF58)+AF59)</f>
        <v/>
      </c>
      <c r="AG60" s="23">
        <f>((AG57+AG58)+AG59)</f>
        <v/>
      </c>
      <c r="AH60" s="23">
        <f>((AH57+AH58)+AH59)</f>
        <v/>
      </c>
      <c r="AI60" s="23">
        <f>((AI57+AI58)+AI59)</f>
        <v/>
      </c>
      <c r="AJ60" s="23">
        <f>((AJ57+AJ58)+AJ59)</f>
        <v/>
      </c>
      <c r="AK60" s="23">
        <f>((AK57+AK58)+AK59)</f>
        <v/>
      </c>
      <c r="AL60" s="23">
        <f>((AL57+AL58)+AL59)</f>
        <v/>
      </c>
    </row>
    <row r="61">
      <c r="A61" s="6" t="inlineStr">
        <is>
          <t>Ads: article / lesson end</t>
        </is>
      </c>
      <c r="B61" s="2" t="inlineStr">
        <is>
          <t>rev_ads_article</t>
        </is>
      </c>
      <c r="C61" s="14">
        <f>(((C41/1000)*Assumptions!$E$51)*Assumptions!$E$54)</f>
        <v/>
      </c>
      <c r="D61" s="14">
        <f>(((D41/1000)*Assumptions!$E$51)*Assumptions!$E$54)</f>
        <v/>
      </c>
      <c r="E61" s="14">
        <f>(((E41/1000)*Assumptions!$E$51)*Assumptions!$E$54)</f>
        <v/>
      </c>
      <c r="F61" s="14">
        <f>(((F41/1000)*Assumptions!$E$51)*Assumptions!$E$54)</f>
        <v/>
      </c>
      <c r="G61" s="14">
        <f>(((G41/1000)*Assumptions!$E$51)*Assumptions!$E$54)</f>
        <v/>
      </c>
      <c r="H61" s="14">
        <f>(((H41/1000)*Assumptions!$E$51)*Assumptions!$E$54)</f>
        <v/>
      </c>
      <c r="I61" s="14">
        <f>(((I41/1000)*Assumptions!$E$51)*Assumptions!$E$54)</f>
        <v/>
      </c>
      <c r="J61" s="14">
        <f>(((J41/1000)*Assumptions!$E$51)*Assumptions!$E$54)</f>
        <v/>
      </c>
      <c r="K61" s="14">
        <f>(((K41/1000)*Assumptions!$E$51)*Assumptions!$E$54)</f>
        <v/>
      </c>
      <c r="L61" s="14">
        <f>(((L41/1000)*Assumptions!$E$51)*Assumptions!$E$54)</f>
        <v/>
      </c>
      <c r="M61" s="14">
        <f>(((M41/1000)*Assumptions!$E$51)*Assumptions!$E$54)</f>
        <v/>
      </c>
      <c r="N61" s="14">
        <f>(((N41/1000)*Assumptions!$E$51)*Assumptions!$E$54)</f>
        <v/>
      </c>
      <c r="O61" s="14">
        <f>(((O41/1000)*Assumptions!$E$51)*Assumptions!$E$54)</f>
        <v/>
      </c>
      <c r="P61" s="14">
        <f>(((P41/1000)*Assumptions!$E$51)*Assumptions!$E$54)</f>
        <v/>
      </c>
      <c r="Q61" s="14">
        <f>(((Q41/1000)*Assumptions!$E$51)*Assumptions!$E$54)</f>
        <v/>
      </c>
      <c r="R61" s="14">
        <f>(((R41/1000)*Assumptions!$E$51)*Assumptions!$E$54)</f>
        <v/>
      </c>
      <c r="S61" s="14">
        <f>(((S41/1000)*Assumptions!$E$51)*Assumptions!$E$54)</f>
        <v/>
      </c>
      <c r="T61" s="14">
        <f>(((T41/1000)*Assumptions!$E$51)*Assumptions!$E$54)</f>
        <v/>
      </c>
      <c r="U61" s="14">
        <f>(((U41/1000)*Assumptions!$E$51)*Assumptions!$E$54)</f>
        <v/>
      </c>
      <c r="V61" s="14">
        <f>(((V41/1000)*Assumptions!$E$51)*Assumptions!$E$54)</f>
        <v/>
      </c>
      <c r="W61" s="14">
        <f>(((W41/1000)*Assumptions!$E$51)*Assumptions!$E$54)</f>
        <v/>
      </c>
      <c r="X61" s="14">
        <f>(((X41/1000)*Assumptions!$E$51)*Assumptions!$E$54)</f>
        <v/>
      </c>
      <c r="Y61" s="14">
        <f>(((Y41/1000)*Assumptions!$E$51)*Assumptions!$E$54)</f>
        <v/>
      </c>
      <c r="Z61" s="14">
        <f>(((Z41/1000)*Assumptions!$E$51)*Assumptions!$E$54)</f>
        <v/>
      </c>
      <c r="AA61" s="14">
        <f>(((AA41/1000)*Assumptions!$E$51)*Assumptions!$E$54)</f>
        <v/>
      </c>
      <c r="AB61" s="14">
        <f>(((AB41/1000)*Assumptions!$E$51)*Assumptions!$E$54)</f>
        <v/>
      </c>
      <c r="AC61" s="14">
        <f>(((AC41/1000)*Assumptions!$E$51)*Assumptions!$E$54)</f>
        <v/>
      </c>
      <c r="AD61" s="14">
        <f>(((AD41/1000)*Assumptions!$E$51)*Assumptions!$E$54)</f>
        <v/>
      </c>
      <c r="AE61" s="14">
        <f>(((AE41/1000)*Assumptions!$E$51)*Assumptions!$E$54)</f>
        <v/>
      </c>
      <c r="AF61" s="14">
        <f>(((AF41/1000)*Assumptions!$E$51)*Assumptions!$E$54)</f>
        <v/>
      </c>
      <c r="AG61" s="14">
        <f>(((AG41/1000)*Assumptions!$E$51)*Assumptions!$E$54)</f>
        <v/>
      </c>
      <c r="AH61" s="14">
        <f>(((AH41/1000)*Assumptions!$E$51)*Assumptions!$E$54)</f>
        <v/>
      </c>
      <c r="AI61" s="14">
        <f>(((AI41/1000)*Assumptions!$E$51)*Assumptions!$E$54)</f>
        <v/>
      </c>
      <c r="AJ61" s="14">
        <f>(((AJ41/1000)*Assumptions!$E$51)*Assumptions!$E$54)</f>
        <v/>
      </c>
      <c r="AK61" s="14">
        <f>(((AK41/1000)*Assumptions!$E$51)*Assumptions!$E$54)</f>
        <v/>
      </c>
      <c r="AL61" s="14">
        <f>(((AL41/1000)*Assumptions!$E$51)*Assumptions!$E$54)</f>
        <v/>
      </c>
    </row>
    <row r="62">
      <c r="A62" s="6" t="inlineStr">
        <is>
          <t>Ads: screener native</t>
        </is>
      </c>
      <c r="B62" s="2" t="inlineStr">
        <is>
          <t>rev_ads_screener</t>
        </is>
      </c>
      <c r="C62" s="14">
        <f>(((C42/1000)*Assumptions!$E$52)*Assumptions!$E$54)</f>
        <v/>
      </c>
      <c r="D62" s="14">
        <f>(((D42/1000)*Assumptions!$E$52)*Assumptions!$E$54)</f>
        <v/>
      </c>
      <c r="E62" s="14">
        <f>(((E42/1000)*Assumptions!$E$52)*Assumptions!$E$54)</f>
        <v/>
      </c>
      <c r="F62" s="14">
        <f>(((F42/1000)*Assumptions!$E$52)*Assumptions!$E$54)</f>
        <v/>
      </c>
      <c r="G62" s="14">
        <f>(((G42/1000)*Assumptions!$E$52)*Assumptions!$E$54)</f>
        <v/>
      </c>
      <c r="H62" s="14">
        <f>(((H42/1000)*Assumptions!$E$52)*Assumptions!$E$54)</f>
        <v/>
      </c>
      <c r="I62" s="14">
        <f>(((I42/1000)*Assumptions!$E$52)*Assumptions!$E$54)</f>
        <v/>
      </c>
      <c r="J62" s="14">
        <f>(((J42/1000)*Assumptions!$E$52)*Assumptions!$E$54)</f>
        <v/>
      </c>
      <c r="K62" s="14">
        <f>(((K42/1000)*Assumptions!$E$52)*Assumptions!$E$54)</f>
        <v/>
      </c>
      <c r="L62" s="14">
        <f>(((L42/1000)*Assumptions!$E$52)*Assumptions!$E$54)</f>
        <v/>
      </c>
      <c r="M62" s="14">
        <f>(((M42/1000)*Assumptions!$E$52)*Assumptions!$E$54)</f>
        <v/>
      </c>
      <c r="N62" s="14">
        <f>(((N42/1000)*Assumptions!$E$52)*Assumptions!$E$54)</f>
        <v/>
      </c>
      <c r="O62" s="14">
        <f>(((O42/1000)*Assumptions!$E$52)*Assumptions!$E$54)</f>
        <v/>
      </c>
      <c r="P62" s="14">
        <f>(((P42/1000)*Assumptions!$E$52)*Assumptions!$E$54)</f>
        <v/>
      </c>
      <c r="Q62" s="14">
        <f>(((Q42/1000)*Assumptions!$E$52)*Assumptions!$E$54)</f>
        <v/>
      </c>
      <c r="R62" s="14">
        <f>(((R42/1000)*Assumptions!$E$52)*Assumptions!$E$54)</f>
        <v/>
      </c>
      <c r="S62" s="14">
        <f>(((S42/1000)*Assumptions!$E$52)*Assumptions!$E$54)</f>
        <v/>
      </c>
      <c r="T62" s="14">
        <f>(((T42/1000)*Assumptions!$E$52)*Assumptions!$E$54)</f>
        <v/>
      </c>
      <c r="U62" s="14">
        <f>(((U42/1000)*Assumptions!$E$52)*Assumptions!$E$54)</f>
        <v/>
      </c>
      <c r="V62" s="14">
        <f>(((V42/1000)*Assumptions!$E$52)*Assumptions!$E$54)</f>
        <v/>
      </c>
      <c r="W62" s="14">
        <f>(((W42/1000)*Assumptions!$E$52)*Assumptions!$E$54)</f>
        <v/>
      </c>
      <c r="X62" s="14">
        <f>(((X42/1000)*Assumptions!$E$52)*Assumptions!$E$54)</f>
        <v/>
      </c>
      <c r="Y62" s="14">
        <f>(((Y42/1000)*Assumptions!$E$52)*Assumptions!$E$54)</f>
        <v/>
      </c>
      <c r="Z62" s="14">
        <f>(((Z42/1000)*Assumptions!$E$52)*Assumptions!$E$54)</f>
        <v/>
      </c>
      <c r="AA62" s="14">
        <f>(((AA42/1000)*Assumptions!$E$52)*Assumptions!$E$54)</f>
        <v/>
      </c>
      <c r="AB62" s="14">
        <f>(((AB42/1000)*Assumptions!$E$52)*Assumptions!$E$54)</f>
        <v/>
      </c>
      <c r="AC62" s="14">
        <f>(((AC42/1000)*Assumptions!$E$52)*Assumptions!$E$54)</f>
        <v/>
      </c>
      <c r="AD62" s="14">
        <f>(((AD42/1000)*Assumptions!$E$52)*Assumptions!$E$54)</f>
        <v/>
      </c>
      <c r="AE62" s="14">
        <f>(((AE42/1000)*Assumptions!$E$52)*Assumptions!$E$54)</f>
        <v/>
      </c>
      <c r="AF62" s="14">
        <f>(((AF42/1000)*Assumptions!$E$52)*Assumptions!$E$54)</f>
        <v/>
      </c>
      <c r="AG62" s="14">
        <f>(((AG42/1000)*Assumptions!$E$52)*Assumptions!$E$54)</f>
        <v/>
      </c>
      <c r="AH62" s="14">
        <f>(((AH42/1000)*Assumptions!$E$52)*Assumptions!$E$54)</f>
        <v/>
      </c>
      <c r="AI62" s="14">
        <f>(((AI42/1000)*Assumptions!$E$52)*Assumptions!$E$54)</f>
        <v/>
      </c>
      <c r="AJ62" s="14">
        <f>(((AJ42/1000)*Assumptions!$E$52)*Assumptions!$E$54)</f>
        <v/>
      </c>
      <c r="AK62" s="14">
        <f>(((AK42/1000)*Assumptions!$E$52)*Assumptions!$E$54)</f>
        <v/>
      </c>
      <c r="AL62" s="14">
        <f>(((AL42/1000)*Assumptions!$E$52)*Assumptions!$E$54)</f>
        <v/>
      </c>
    </row>
    <row r="63">
      <c r="A63" s="6" t="inlineStr">
        <is>
          <t>Ads: opt-in rewarded</t>
        </is>
      </c>
      <c r="B63" s="2" t="inlineStr">
        <is>
          <t>rev_ads_rewarded</t>
        </is>
      </c>
      <c r="C63" s="14">
        <f>(((C43/1000)*Assumptions!$E$53)*Assumptions!$E$54)</f>
        <v/>
      </c>
      <c r="D63" s="14">
        <f>(((D43/1000)*Assumptions!$E$53)*Assumptions!$E$54)</f>
        <v/>
      </c>
      <c r="E63" s="14">
        <f>(((E43/1000)*Assumptions!$E$53)*Assumptions!$E$54)</f>
        <v/>
      </c>
      <c r="F63" s="14">
        <f>(((F43/1000)*Assumptions!$E$53)*Assumptions!$E$54)</f>
        <v/>
      </c>
      <c r="G63" s="14">
        <f>(((G43/1000)*Assumptions!$E$53)*Assumptions!$E$54)</f>
        <v/>
      </c>
      <c r="H63" s="14">
        <f>(((H43/1000)*Assumptions!$E$53)*Assumptions!$E$54)</f>
        <v/>
      </c>
      <c r="I63" s="14">
        <f>(((I43/1000)*Assumptions!$E$53)*Assumptions!$E$54)</f>
        <v/>
      </c>
      <c r="J63" s="14">
        <f>(((J43/1000)*Assumptions!$E$53)*Assumptions!$E$54)</f>
        <v/>
      </c>
      <c r="K63" s="14">
        <f>(((K43/1000)*Assumptions!$E$53)*Assumptions!$E$54)</f>
        <v/>
      </c>
      <c r="L63" s="14">
        <f>(((L43/1000)*Assumptions!$E$53)*Assumptions!$E$54)</f>
        <v/>
      </c>
      <c r="M63" s="14">
        <f>(((M43/1000)*Assumptions!$E$53)*Assumptions!$E$54)</f>
        <v/>
      </c>
      <c r="N63" s="14">
        <f>(((N43/1000)*Assumptions!$E$53)*Assumptions!$E$54)</f>
        <v/>
      </c>
      <c r="O63" s="14">
        <f>(((O43/1000)*Assumptions!$E$53)*Assumptions!$E$54)</f>
        <v/>
      </c>
      <c r="P63" s="14">
        <f>(((P43/1000)*Assumptions!$E$53)*Assumptions!$E$54)</f>
        <v/>
      </c>
      <c r="Q63" s="14">
        <f>(((Q43/1000)*Assumptions!$E$53)*Assumptions!$E$54)</f>
        <v/>
      </c>
      <c r="R63" s="14">
        <f>(((R43/1000)*Assumptions!$E$53)*Assumptions!$E$54)</f>
        <v/>
      </c>
      <c r="S63" s="14">
        <f>(((S43/1000)*Assumptions!$E$53)*Assumptions!$E$54)</f>
        <v/>
      </c>
      <c r="T63" s="14">
        <f>(((T43/1000)*Assumptions!$E$53)*Assumptions!$E$54)</f>
        <v/>
      </c>
      <c r="U63" s="14">
        <f>(((U43/1000)*Assumptions!$E$53)*Assumptions!$E$54)</f>
        <v/>
      </c>
      <c r="V63" s="14">
        <f>(((V43/1000)*Assumptions!$E$53)*Assumptions!$E$54)</f>
        <v/>
      </c>
      <c r="W63" s="14">
        <f>(((W43/1000)*Assumptions!$E$53)*Assumptions!$E$54)</f>
        <v/>
      </c>
      <c r="X63" s="14">
        <f>(((X43/1000)*Assumptions!$E$53)*Assumptions!$E$54)</f>
        <v/>
      </c>
      <c r="Y63" s="14">
        <f>(((Y43/1000)*Assumptions!$E$53)*Assumptions!$E$54)</f>
        <v/>
      </c>
      <c r="Z63" s="14">
        <f>(((Z43/1000)*Assumptions!$E$53)*Assumptions!$E$54)</f>
        <v/>
      </c>
      <c r="AA63" s="14">
        <f>(((AA43/1000)*Assumptions!$E$53)*Assumptions!$E$54)</f>
        <v/>
      </c>
      <c r="AB63" s="14">
        <f>(((AB43/1000)*Assumptions!$E$53)*Assumptions!$E$54)</f>
        <v/>
      </c>
      <c r="AC63" s="14">
        <f>(((AC43/1000)*Assumptions!$E$53)*Assumptions!$E$54)</f>
        <v/>
      </c>
      <c r="AD63" s="14">
        <f>(((AD43/1000)*Assumptions!$E$53)*Assumptions!$E$54)</f>
        <v/>
      </c>
      <c r="AE63" s="14">
        <f>(((AE43/1000)*Assumptions!$E$53)*Assumptions!$E$54)</f>
        <v/>
      </c>
      <c r="AF63" s="14">
        <f>(((AF43/1000)*Assumptions!$E$53)*Assumptions!$E$54)</f>
        <v/>
      </c>
      <c r="AG63" s="14">
        <f>(((AG43/1000)*Assumptions!$E$53)*Assumptions!$E$54)</f>
        <v/>
      </c>
      <c r="AH63" s="14">
        <f>(((AH43/1000)*Assumptions!$E$53)*Assumptions!$E$54)</f>
        <v/>
      </c>
      <c r="AI63" s="14">
        <f>(((AI43/1000)*Assumptions!$E$53)*Assumptions!$E$54)</f>
        <v/>
      </c>
      <c r="AJ63" s="14">
        <f>(((AJ43/1000)*Assumptions!$E$53)*Assumptions!$E$54)</f>
        <v/>
      </c>
      <c r="AK63" s="14">
        <f>(((AK43/1000)*Assumptions!$E$53)*Assumptions!$E$54)</f>
        <v/>
      </c>
      <c r="AL63" s="14">
        <f>(((AL43/1000)*Assumptions!$E$53)*Assumptions!$E$54)</f>
        <v/>
      </c>
    </row>
    <row r="64">
      <c r="A64" s="21" t="inlineStr">
        <is>
          <t>Advertising revenue</t>
        </is>
      </c>
      <c r="B64" s="2" t="inlineStr">
        <is>
          <t>rev_ads</t>
        </is>
      </c>
      <c r="C64" s="23">
        <f>((C61+C62)+C63)</f>
        <v/>
      </c>
      <c r="D64" s="23">
        <f>((D61+D62)+D63)</f>
        <v/>
      </c>
      <c r="E64" s="23">
        <f>((E61+E62)+E63)</f>
        <v/>
      </c>
      <c r="F64" s="23">
        <f>((F61+F62)+F63)</f>
        <v/>
      </c>
      <c r="G64" s="23">
        <f>((G61+G62)+G63)</f>
        <v/>
      </c>
      <c r="H64" s="23">
        <f>((H61+H62)+H63)</f>
        <v/>
      </c>
      <c r="I64" s="23">
        <f>((I61+I62)+I63)</f>
        <v/>
      </c>
      <c r="J64" s="23">
        <f>((J61+J62)+J63)</f>
        <v/>
      </c>
      <c r="K64" s="23">
        <f>((K61+K62)+K63)</f>
        <v/>
      </c>
      <c r="L64" s="23">
        <f>((L61+L62)+L63)</f>
        <v/>
      </c>
      <c r="M64" s="23">
        <f>((M61+M62)+M63)</f>
        <v/>
      </c>
      <c r="N64" s="23">
        <f>((N61+N62)+N63)</f>
        <v/>
      </c>
      <c r="O64" s="23">
        <f>((O61+O62)+O63)</f>
        <v/>
      </c>
      <c r="P64" s="23">
        <f>((P61+P62)+P63)</f>
        <v/>
      </c>
      <c r="Q64" s="23">
        <f>((Q61+Q62)+Q63)</f>
        <v/>
      </c>
      <c r="R64" s="23">
        <f>((R61+R62)+R63)</f>
        <v/>
      </c>
      <c r="S64" s="23">
        <f>((S61+S62)+S63)</f>
        <v/>
      </c>
      <c r="T64" s="23">
        <f>((T61+T62)+T63)</f>
        <v/>
      </c>
      <c r="U64" s="23">
        <f>((U61+U62)+U63)</f>
        <v/>
      </c>
      <c r="V64" s="23">
        <f>((V61+V62)+V63)</f>
        <v/>
      </c>
      <c r="W64" s="23">
        <f>((W61+W62)+W63)</f>
        <v/>
      </c>
      <c r="X64" s="23">
        <f>((X61+X62)+X63)</f>
        <v/>
      </c>
      <c r="Y64" s="23">
        <f>((Y61+Y62)+Y63)</f>
        <v/>
      </c>
      <c r="Z64" s="23">
        <f>((Z61+Z62)+Z63)</f>
        <v/>
      </c>
      <c r="AA64" s="23">
        <f>((AA61+AA62)+AA63)</f>
        <v/>
      </c>
      <c r="AB64" s="23">
        <f>((AB61+AB62)+AB63)</f>
        <v/>
      </c>
      <c r="AC64" s="23">
        <f>((AC61+AC62)+AC63)</f>
        <v/>
      </c>
      <c r="AD64" s="23">
        <f>((AD61+AD62)+AD63)</f>
        <v/>
      </c>
      <c r="AE64" s="23">
        <f>((AE61+AE62)+AE63)</f>
        <v/>
      </c>
      <c r="AF64" s="23">
        <f>((AF61+AF62)+AF63)</f>
        <v/>
      </c>
      <c r="AG64" s="23">
        <f>((AG61+AG62)+AG63)</f>
        <v/>
      </c>
      <c r="AH64" s="23">
        <f>((AH61+AH62)+AH63)</f>
        <v/>
      </c>
      <c r="AI64" s="23">
        <f>((AI61+AI62)+AI63)</f>
        <v/>
      </c>
      <c r="AJ64" s="23">
        <f>((AJ61+AJ62)+AJ63)</f>
        <v/>
      </c>
      <c r="AK64" s="23">
        <f>((AK61+AK62)+AK63)</f>
        <v/>
      </c>
      <c r="AL64" s="23">
        <f>((AL61+AL62)+AL63)</f>
        <v/>
      </c>
    </row>
    <row r="65">
      <c r="A65" s="6" t="inlineStr">
        <is>
          <t>Affiliate revenue</t>
        </is>
      </c>
      <c r="B65" s="2" t="inlineStr">
        <is>
          <t>rev_aff</t>
        </is>
      </c>
      <c r="C65" s="14">
        <f>(C45*Assumptions!$E$59)</f>
        <v/>
      </c>
      <c r="D65" s="14">
        <f>(D45*Assumptions!$E$59)</f>
        <v/>
      </c>
      <c r="E65" s="14">
        <f>(E45*Assumptions!$E$59)</f>
        <v/>
      </c>
      <c r="F65" s="14">
        <f>(F45*Assumptions!$E$59)</f>
        <v/>
      </c>
      <c r="G65" s="14">
        <f>(G45*Assumptions!$E$59)</f>
        <v/>
      </c>
      <c r="H65" s="14">
        <f>(H45*Assumptions!$E$59)</f>
        <v/>
      </c>
      <c r="I65" s="14">
        <f>(I45*Assumptions!$E$59)</f>
        <v/>
      </c>
      <c r="J65" s="14">
        <f>(J45*Assumptions!$E$59)</f>
        <v/>
      </c>
      <c r="K65" s="14">
        <f>(K45*Assumptions!$E$59)</f>
        <v/>
      </c>
      <c r="L65" s="14">
        <f>(L45*Assumptions!$E$59)</f>
        <v/>
      </c>
      <c r="M65" s="14">
        <f>(M45*Assumptions!$E$59)</f>
        <v/>
      </c>
      <c r="N65" s="14">
        <f>(N45*Assumptions!$E$59)</f>
        <v/>
      </c>
      <c r="O65" s="14">
        <f>(O45*Assumptions!$E$59)</f>
        <v/>
      </c>
      <c r="P65" s="14">
        <f>(P45*Assumptions!$E$59)</f>
        <v/>
      </c>
      <c r="Q65" s="14">
        <f>(Q45*Assumptions!$E$59)</f>
        <v/>
      </c>
      <c r="R65" s="14">
        <f>(R45*Assumptions!$E$59)</f>
        <v/>
      </c>
      <c r="S65" s="14">
        <f>(S45*Assumptions!$E$59)</f>
        <v/>
      </c>
      <c r="T65" s="14">
        <f>(T45*Assumptions!$E$59)</f>
        <v/>
      </c>
      <c r="U65" s="14">
        <f>(U45*Assumptions!$E$59)</f>
        <v/>
      </c>
      <c r="V65" s="14">
        <f>(V45*Assumptions!$E$59)</f>
        <v/>
      </c>
      <c r="W65" s="14">
        <f>(W45*Assumptions!$E$59)</f>
        <v/>
      </c>
      <c r="X65" s="14">
        <f>(X45*Assumptions!$E$59)</f>
        <v/>
      </c>
      <c r="Y65" s="14">
        <f>(Y45*Assumptions!$E$59)</f>
        <v/>
      </c>
      <c r="Z65" s="14">
        <f>(Z45*Assumptions!$E$59)</f>
        <v/>
      </c>
      <c r="AA65" s="14">
        <f>(AA45*Assumptions!$E$59)</f>
        <v/>
      </c>
      <c r="AB65" s="14">
        <f>(AB45*Assumptions!$E$59)</f>
        <v/>
      </c>
      <c r="AC65" s="14">
        <f>(AC45*Assumptions!$E$59)</f>
        <v/>
      </c>
      <c r="AD65" s="14">
        <f>(AD45*Assumptions!$E$59)</f>
        <v/>
      </c>
      <c r="AE65" s="14">
        <f>(AE45*Assumptions!$E$59)</f>
        <v/>
      </c>
      <c r="AF65" s="14">
        <f>(AF45*Assumptions!$E$59)</f>
        <v/>
      </c>
      <c r="AG65" s="14">
        <f>(AG45*Assumptions!$E$59)</f>
        <v/>
      </c>
      <c r="AH65" s="14">
        <f>(AH45*Assumptions!$E$59)</f>
        <v/>
      </c>
      <c r="AI65" s="14">
        <f>(AI45*Assumptions!$E$59)</f>
        <v/>
      </c>
      <c r="AJ65" s="14">
        <f>(AJ45*Assumptions!$E$59)</f>
        <v/>
      </c>
      <c r="AK65" s="14">
        <f>(AK45*Assumptions!$E$59)</f>
        <v/>
      </c>
      <c r="AL65" s="14">
        <f>(AL45*Assumptions!$E$59)</f>
        <v/>
      </c>
    </row>
    <row r="66">
      <c r="A66" s="6" t="inlineStr">
        <is>
          <t>B2B / Edu licence revenue</t>
        </is>
      </c>
      <c r="B66" s="2" t="inlineStr">
        <is>
          <t>rev_b2b</t>
        </is>
      </c>
      <c r="C66" s="14">
        <f>(((C46*Assumptions!$E$64)/12)+((C47*Assumptions!$E$67)/12))</f>
        <v/>
      </c>
      <c r="D66" s="14">
        <f>(((D46*Assumptions!$E$64)/12)+((D47*Assumptions!$E$67)/12))</f>
        <v/>
      </c>
      <c r="E66" s="14">
        <f>(((E46*Assumptions!$E$64)/12)+((E47*Assumptions!$E$67)/12))</f>
        <v/>
      </c>
      <c r="F66" s="14">
        <f>(((F46*Assumptions!$E$64)/12)+((F47*Assumptions!$E$67)/12))</f>
        <v/>
      </c>
      <c r="G66" s="14">
        <f>(((G46*Assumptions!$E$64)/12)+((G47*Assumptions!$E$67)/12))</f>
        <v/>
      </c>
      <c r="H66" s="14">
        <f>(((H46*Assumptions!$E$64)/12)+((H47*Assumptions!$E$67)/12))</f>
        <v/>
      </c>
      <c r="I66" s="14">
        <f>(((I46*Assumptions!$E$64)/12)+((I47*Assumptions!$E$67)/12))</f>
        <v/>
      </c>
      <c r="J66" s="14">
        <f>(((J46*Assumptions!$E$64)/12)+((J47*Assumptions!$E$67)/12))</f>
        <v/>
      </c>
      <c r="K66" s="14">
        <f>(((K46*Assumptions!$E$64)/12)+((K47*Assumptions!$E$67)/12))</f>
        <v/>
      </c>
      <c r="L66" s="14">
        <f>(((L46*Assumptions!$E$64)/12)+((L47*Assumptions!$E$67)/12))</f>
        <v/>
      </c>
      <c r="M66" s="14">
        <f>(((M46*Assumptions!$E$64)/12)+((M47*Assumptions!$E$67)/12))</f>
        <v/>
      </c>
      <c r="N66" s="14">
        <f>(((N46*Assumptions!$E$64)/12)+((N47*Assumptions!$E$67)/12))</f>
        <v/>
      </c>
      <c r="O66" s="14">
        <f>(((O46*Assumptions!$E$64)/12)+((O47*Assumptions!$E$67)/12))</f>
        <v/>
      </c>
      <c r="P66" s="14">
        <f>(((P46*Assumptions!$E$64)/12)+((P47*Assumptions!$E$67)/12))</f>
        <v/>
      </c>
      <c r="Q66" s="14">
        <f>(((Q46*Assumptions!$E$64)/12)+((Q47*Assumptions!$E$67)/12))</f>
        <v/>
      </c>
      <c r="R66" s="14">
        <f>(((R46*Assumptions!$E$64)/12)+((R47*Assumptions!$E$67)/12))</f>
        <v/>
      </c>
      <c r="S66" s="14">
        <f>(((S46*Assumptions!$E$64)/12)+((S47*Assumptions!$E$67)/12))</f>
        <v/>
      </c>
      <c r="T66" s="14">
        <f>(((T46*Assumptions!$E$64)/12)+((T47*Assumptions!$E$67)/12))</f>
        <v/>
      </c>
      <c r="U66" s="14">
        <f>(((U46*Assumptions!$E$64)/12)+((U47*Assumptions!$E$67)/12))</f>
        <v/>
      </c>
      <c r="V66" s="14">
        <f>(((V46*Assumptions!$E$64)/12)+((V47*Assumptions!$E$67)/12))</f>
        <v/>
      </c>
      <c r="W66" s="14">
        <f>(((W46*Assumptions!$E$64)/12)+((W47*Assumptions!$E$67)/12))</f>
        <v/>
      </c>
      <c r="X66" s="14">
        <f>(((X46*Assumptions!$E$64)/12)+((X47*Assumptions!$E$67)/12))</f>
        <v/>
      </c>
      <c r="Y66" s="14">
        <f>(((Y46*Assumptions!$E$64)/12)+((Y47*Assumptions!$E$67)/12))</f>
        <v/>
      </c>
      <c r="Z66" s="14">
        <f>(((Z46*Assumptions!$E$64)/12)+((Z47*Assumptions!$E$67)/12))</f>
        <v/>
      </c>
      <c r="AA66" s="14">
        <f>(((AA46*Assumptions!$E$64)/12)+((AA47*Assumptions!$E$67)/12))</f>
        <v/>
      </c>
      <c r="AB66" s="14">
        <f>(((AB46*Assumptions!$E$64)/12)+((AB47*Assumptions!$E$67)/12))</f>
        <v/>
      </c>
      <c r="AC66" s="14">
        <f>(((AC46*Assumptions!$E$64)/12)+((AC47*Assumptions!$E$67)/12))</f>
        <v/>
      </c>
      <c r="AD66" s="14">
        <f>(((AD46*Assumptions!$E$64)/12)+((AD47*Assumptions!$E$67)/12))</f>
        <v/>
      </c>
      <c r="AE66" s="14">
        <f>(((AE46*Assumptions!$E$64)/12)+((AE47*Assumptions!$E$67)/12))</f>
        <v/>
      </c>
      <c r="AF66" s="14">
        <f>(((AF46*Assumptions!$E$64)/12)+((AF47*Assumptions!$E$67)/12))</f>
        <v/>
      </c>
      <c r="AG66" s="14">
        <f>(((AG46*Assumptions!$E$64)/12)+((AG47*Assumptions!$E$67)/12))</f>
        <v/>
      </c>
      <c r="AH66" s="14">
        <f>(((AH46*Assumptions!$E$64)/12)+((AH47*Assumptions!$E$67)/12))</f>
        <v/>
      </c>
      <c r="AI66" s="14">
        <f>(((AI46*Assumptions!$E$64)/12)+((AI47*Assumptions!$E$67)/12))</f>
        <v/>
      </c>
      <c r="AJ66" s="14">
        <f>(((AJ46*Assumptions!$E$64)/12)+((AJ47*Assumptions!$E$67)/12))</f>
        <v/>
      </c>
      <c r="AK66" s="14">
        <f>(((AK46*Assumptions!$E$64)/12)+((AK47*Assumptions!$E$67)/12))</f>
        <v/>
      </c>
      <c r="AL66" s="14">
        <f>(((AL46*Assumptions!$E$64)/12)+((AL47*Assumptions!$E$67)/12))</f>
        <v/>
      </c>
    </row>
    <row r="67">
      <c r="A67" s="21" t="inlineStr">
        <is>
          <t>TOTAL REVENUE</t>
        </is>
      </c>
      <c r="B67" s="2" t="inlineStr">
        <is>
          <t>rev_total</t>
        </is>
      </c>
      <c r="C67" s="23">
        <f>(((C60+C64)+C65)+C66)</f>
        <v/>
      </c>
      <c r="D67" s="23">
        <f>(((D60+D64)+D65)+D66)</f>
        <v/>
      </c>
      <c r="E67" s="23">
        <f>(((E60+E64)+E65)+E66)</f>
        <v/>
      </c>
      <c r="F67" s="23">
        <f>(((F60+F64)+F65)+F66)</f>
        <v/>
      </c>
      <c r="G67" s="23">
        <f>(((G60+G64)+G65)+G66)</f>
        <v/>
      </c>
      <c r="H67" s="23">
        <f>(((H60+H64)+H65)+H66)</f>
        <v/>
      </c>
      <c r="I67" s="23">
        <f>(((I60+I64)+I65)+I66)</f>
        <v/>
      </c>
      <c r="J67" s="23">
        <f>(((J60+J64)+J65)+J66)</f>
        <v/>
      </c>
      <c r="K67" s="23">
        <f>(((K60+K64)+K65)+K66)</f>
        <v/>
      </c>
      <c r="L67" s="23">
        <f>(((L60+L64)+L65)+L66)</f>
        <v/>
      </c>
      <c r="M67" s="23">
        <f>(((M60+M64)+M65)+M66)</f>
        <v/>
      </c>
      <c r="N67" s="23">
        <f>(((N60+N64)+N65)+N66)</f>
        <v/>
      </c>
      <c r="O67" s="23">
        <f>(((O60+O64)+O65)+O66)</f>
        <v/>
      </c>
      <c r="P67" s="23">
        <f>(((P60+P64)+P65)+P66)</f>
        <v/>
      </c>
      <c r="Q67" s="23">
        <f>(((Q60+Q64)+Q65)+Q66)</f>
        <v/>
      </c>
      <c r="R67" s="23">
        <f>(((R60+R64)+R65)+R66)</f>
        <v/>
      </c>
      <c r="S67" s="23">
        <f>(((S60+S64)+S65)+S66)</f>
        <v/>
      </c>
      <c r="T67" s="23">
        <f>(((T60+T64)+T65)+T66)</f>
        <v/>
      </c>
      <c r="U67" s="23">
        <f>(((U60+U64)+U65)+U66)</f>
        <v/>
      </c>
      <c r="V67" s="23">
        <f>(((V60+V64)+V65)+V66)</f>
        <v/>
      </c>
      <c r="W67" s="23">
        <f>(((W60+W64)+W65)+W66)</f>
        <v/>
      </c>
      <c r="X67" s="23">
        <f>(((X60+X64)+X65)+X66)</f>
        <v/>
      </c>
      <c r="Y67" s="23">
        <f>(((Y60+Y64)+Y65)+Y66)</f>
        <v/>
      </c>
      <c r="Z67" s="23">
        <f>(((Z60+Z64)+Z65)+Z66)</f>
        <v/>
      </c>
      <c r="AA67" s="23">
        <f>(((AA60+AA64)+AA65)+AA66)</f>
        <v/>
      </c>
      <c r="AB67" s="23">
        <f>(((AB60+AB64)+AB65)+AB66)</f>
        <v/>
      </c>
      <c r="AC67" s="23">
        <f>(((AC60+AC64)+AC65)+AC66)</f>
        <v/>
      </c>
      <c r="AD67" s="23">
        <f>(((AD60+AD64)+AD65)+AD66)</f>
        <v/>
      </c>
      <c r="AE67" s="23">
        <f>(((AE60+AE64)+AE65)+AE66)</f>
        <v/>
      </c>
      <c r="AF67" s="23">
        <f>(((AF60+AF64)+AF65)+AF66)</f>
        <v/>
      </c>
      <c r="AG67" s="23">
        <f>(((AG60+AG64)+AG65)+AG66)</f>
        <v/>
      </c>
      <c r="AH67" s="23">
        <f>(((AH60+AH64)+AH65)+AH66)</f>
        <v/>
      </c>
      <c r="AI67" s="23">
        <f>(((AI60+AI64)+AI65)+AI66)</f>
        <v/>
      </c>
      <c r="AJ67" s="23">
        <f>(((AJ60+AJ64)+AJ65)+AJ66)</f>
        <v/>
      </c>
      <c r="AK67" s="23">
        <f>(((AK60+AK64)+AK65)+AK66)</f>
        <v/>
      </c>
      <c r="AL67" s="23">
        <f>(((AL60+AL64)+AL65)+AL66)</f>
        <v/>
      </c>
    </row>
    <row r="69">
      <c r="A69" s="4" t="inlineStr">
        <is>
          <t>COST OF REVENUE (COGS)</t>
        </is>
      </c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</row>
    <row r="70">
      <c r="A70" s="6" t="inlineStr">
        <is>
          <t>Data licensing (beta, or scale phase above MAU threshold)</t>
        </is>
      </c>
      <c r="B70" s="2" t="inlineStr">
        <is>
          <t>cogs_data</t>
        </is>
      </c>
      <c r="C70" s="14">
        <f>IF((C36&gt;=Assumptions!$E$72),Assumptions!$E$71,Assumptions!$E$70)</f>
        <v/>
      </c>
      <c r="D70" s="14">
        <f>IF((D36&gt;=Assumptions!$E$72),Assumptions!$E$71,Assumptions!$E$70)</f>
        <v/>
      </c>
      <c r="E70" s="14">
        <f>IF((E36&gt;=Assumptions!$E$72),Assumptions!$E$71,Assumptions!$E$70)</f>
        <v/>
      </c>
      <c r="F70" s="14">
        <f>IF((F36&gt;=Assumptions!$E$72),Assumptions!$E$71,Assumptions!$E$70)</f>
        <v/>
      </c>
      <c r="G70" s="14">
        <f>IF((G36&gt;=Assumptions!$E$72),Assumptions!$E$71,Assumptions!$E$70)</f>
        <v/>
      </c>
      <c r="H70" s="14">
        <f>IF((H36&gt;=Assumptions!$E$72),Assumptions!$E$71,Assumptions!$E$70)</f>
        <v/>
      </c>
      <c r="I70" s="14">
        <f>IF((I36&gt;=Assumptions!$E$72),Assumptions!$E$71,Assumptions!$E$70)</f>
        <v/>
      </c>
      <c r="J70" s="14">
        <f>IF((J36&gt;=Assumptions!$E$72),Assumptions!$E$71,Assumptions!$E$70)</f>
        <v/>
      </c>
      <c r="K70" s="14">
        <f>IF((K36&gt;=Assumptions!$E$72),Assumptions!$E$71,Assumptions!$E$70)</f>
        <v/>
      </c>
      <c r="L70" s="14">
        <f>IF((L36&gt;=Assumptions!$E$72),Assumptions!$E$71,Assumptions!$E$70)</f>
        <v/>
      </c>
      <c r="M70" s="14">
        <f>IF((M36&gt;=Assumptions!$E$72),Assumptions!$E$71,Assumptions!$E$70)</f>
        <v/>
      </c>
      <c r="N70" s="14">
        <f>IF((N36&gt;=Assumptions!$E$72),Assumptions!$E$71,Assumptions!$E$70)</f>
        <v/>
      </c>
      <c r="O70" s="14">
        <f>IF((O36&gt;=Assumptions!$E$72),Assumptions!$E$71,Assumptions!$E$70)</f>
        <v/>
      </c>
      <c r="P70" s="14">
        <f>IF((P36&gt;=Assumptions!$E$72),Assumptions!$E$71,Assumptions!$E$70)</f>
        <v/>
      </c>
      <c r="Q70" s="14">
        <f>IF((Q36&gt;=Assumptions!$E$72),Assumptions!$E$71,Assumptions!$E$70)</f>
        <v/>
      </c>
      <c r="R70" s="14">
        <f>IF((R36&gt;=Assumptions!$E$72),Assumptions!$E$71,Assumptions!$E$70)</f>
        <v/>
      </c>
      <c r="S70" s="14">
        <f>IF((S36&gt;=Assumptions!$E$72),Assumptions!$E$71,Assumptions!$E$70)</f>
        <v/>
      </c>
      <c r="T70" s="14">
        <f>IF((T36&gt;=Assumptions!$E$72),Assumptions!$E$71,Assumptions!$E$70)</f>
        <v/>
      </c>
      <c r="U70" s="14">
        <f>IF((U36&gt;=Assumptions!$E$72),Assumptions!$E$71,Assumptions!$E$70)</f>
        <v/>
      </c>
      <c r="V70" s="14">
        <f>IF((V36&gt;=Assumptions!$E$72),Assumptions!$E$71,Assumptions!$E$70)</f>
        <v/>
      </c>
      <c r="W70" s="14">
        <f>IF((W36&gt;=Assumptions!$E$72),Assumptions!$E$71,Assumptions!$E$70)</f>
        <v/>
      </c>
      <c r="X70" s="14">
        <f>IF((X36&gt;=Assumptions!$E$72),Assumptions!$E$71,Assumptions!$E$70)</f>
        <v/>
      </c>
      <c r="Y70" s="14">
        <f>IF((Y36&gt;=Assumptions!$E$72),Assumptions!$E$71,Assumptions!$E$70)</f>
        <v/>
      </c>
      <c r="Z70" s="14">
        <f>IF((Z36&gt;=Assumptions!$E$72),Assumptions!$E$71,Assumptions!$E$70)</f>
        <v/>
      </c>
      <c r="AA70" s="14">
        <f>IF((AA36&gt;=Assumptions!$E$72),Assumptions!$E$71,Assumptions!$E$70)</f>
        <v/>
      </c>
      <c r="AB70" s="14">
        <f>IF((AB36&gt;=Assumptions!$E$72),Assumptions!$E$71,Assumptions!$E$70)</f>
        <v/>
      </c>
      <c r="AC70" s="14">
        <f>IF((AC36&gt;=Assumptions!$E$72),Assumptions!$E$71,Assumptions!$E$70)</f>
        <v/>
      </c>
      <c r="AD70" s="14">
        <f>IF((AD36&gt;=Assumptions!$E$72),Assumptions!$E$71,Assumptions!$E$70)</f>
        <v/>
      </c>
      <c r="AE70" s="14">
        <f>IF((AE36&gt;=Assumptions!$E$72),Assumptions!$E$71,Assumptions!$E$70)</f>
        <v/>
      </c>
      <c r="AF70" s="14">
        <f>IF((AF36&gt;=Assumptions!$E$72),Assumptions!$E$71,Assumptions!$E$70)</f>
        <v/>
      </c>
      <c r="AG70" s="14">
        <f>IF((AG36&gt;=Assumptions!$E$72),Assumptions!$E$71,Assumptions!$E$70)</f>
        <v/>
      </c>
      <c r="AH70" s="14">
        <f>IF((AH36&gt;=Assumptions!$E$72),Assumptions!$E$71,Assumptions!$E$70)</f>
        <v/>
      </c>
      <c r="AI70" s="14">
        <f>IF((AI36&gt;=Assumptions!$E$72),Assumptions!$E$71,Assumptions!$E$70)</f>
        <v/>
      </c>
      <c r="AJ70" s="14">
        <f>IF((AJ36&gt;=Assumptions!$E$72),Assumptions!$E$71,Assumptions!$E$70)</f>
        <v/>
      </c>
      <c r="AK70" s="14">
        <f>IF((AK36&gt;=Assumptions!$E$72),Assumptions!$E$71,Assumptions!$E$70)</f>
        <v/>
      </c>
      <c r="AL70" s="14">
        <f>IF((AL36&gt;=Assumptions!$E$72),Assumptions!$E$71,Assumptions!$E$70)</f>
        <v/>
      </c>
    </row>
    <row r="71">
      <c r="A71" s="6" t="inlineStr">
        <is>
          <t>Plaid / aggregation</t>
        </is>
      </c>
      <c r="B71" s="2" t="inlineStr">
        <is>
          <t>cogs_plaid</t>
        </is>
      </c>
      <c r="C71" s="14">
        <f>(((C49*Assumptions!$E$75)+(C50*Assumptions!$E$78))+(C48*Assumptions!$E$79))</f>
        <v/>
      </c>
      <c r="D71" s="14">
        <f>(((D49*Assumptions!$E$75)+(D50*Assumptions!$E$78))+(D48*Assumptions!$E$79))</f>
        <v/>
      </c>
      <c r="E71" s="14">
        <f>(((E49*Assumptions!$E$75)+(E50*Assumptions!$E$78))+(E48*Assumptions!$E$79))</f>
        <v/>
      </c>
      <c r="F71" s="14">
        <f>(((F49*Assumptions!$E$75)+(F50*Assumptions!$E$78))+(F48*Assumptions!$E$79))</f>
        <v/>
      </c>
      <c r="G71" s="14">
        <f>(((G49*Assumptions!$E$75)+(G50*Assumptions!$E$78))+(G48*Assumptions!$E$79))</f>
        <v/>
      </c>
      <c r="H71" s="14">
        <f>(((H49*Assumptions!$E$75)+(H50*Assumptions!$E$78))+(H48*Assumptions!$E$79))</f>
        <v/>
      </c>
      <c r="I71" s="14">
        <f>(((I49*Assumptions!$E$75)+(I50*Assumptions!$E$78))+(I48*Assumptions!$E$79))</f>
        <v/>
      </c>
      <c r="J71" s="14">
        <f>(((J49*Assumptions!$E$75)+(J50*Assumptions!$E$78))+(J48*Assumptions!$E$79))</f>
        <v/>
      </c>
      <c r="K71" s="14">
        <f>(((K49*Assumptions!$E$75)+(K50*Assumptions!$E$78))+(K48*Assumptions!$E$79))</f>
        <v/>
      </c>
      <c r="L71" s="14">
        <f>(((L49*Assumptions!$E$75)+(L50*Assumptions!$E$78))+(L48*Assumptions!$E$79))</f>
        <v/>
      </c>
      <c r="M71" s="14">
        <f>(((M49*Assumptions!$E$75)+(M50*Assumptions!$E$78))+(M48*Assumptions!$E$79))</f>
        <v/>
      </c>
      <c r="N71" s="14">
        <f>(((N49*Assumptions!$E$75)+(N50*Assumptions!$E$78))+(N48*Assumptions!$E$79))</f>
        <v/>
      </c>
      <c r="O71" s="14">
        <f>(((O49*Assumptions!$E$75)+(O50*Assumptions!$E$78))+(O48*Assumptions!$E$79))</f>
        <v/>
      </c>
      <c r="P71" s="14">
        <f>(((P49*Assumptions!$E$75)+(P50*Assumptions!$E$78))+(P48*Assumptions!$E$79))</f>
        <v/>
      </c>
      <c r="Q71" s="14">
        <f>(((Q49*Assumptions!$E$75)+(Q50*Assumptions!$E$78))+(Q48*Assumptions!$E$79))</f>
        <v/>
      </c>
      <c r="R71" s="14">
        <f>(((R49*Assumptions!$E$75)+(R50*Assumptions!$E$78))+(R48*Assumptions!$E$79))</f>
        <v/>
      </c>
      <c r="S71" s="14">
        <f>(((S49*Assumptions!$E$75)+(S50*Assumptions!$E$78))+(S48*Assumptions!$E$79))</f>
        <v/>
      </c>
      <c r="T71" s="14">
        <f>(((T49*Assumptions!$E$75)+(T50*Assumptions!$E$78))+(T48*Assumptions!$E$79))</f>
        <v/>
      </c>
      <c r="U71" s="14">
        <f>(((U49*Assumptions!$E$75)+(U50*Assumptions!$E$78))+(U48*Assumptions!$E$79))</f>
        <v/>
      </c>
      <c r="V71" s="14">
        <f>(((V49*Assumptions!$E$75)+(V50*Assumptions!$E$78))+(V48*Assumptions!$E$79))</f>
        <v/>
      </c>
      <c r="W71" s="14">
        <f>(((W49*Assumptions!$E$75)+(W50*Assumptions!$E$78))+(W48*Assumptions!$E$79))</f>
        <v/>
      </c>
      <c r="X71" s="14">
        <f>(((X49*Assumptions!$E$75)+(X50*Assumptions!$E$78))+(X48*Assumptions!$E$79))</f>
        <v/>
      </c>
      <c r="Y71" s="14">
        <f>(((Y49*Assumptions!$E$75)+(Y50*Assumptions!$E$78))+(Y48*Assumptions!$E$79))</f>
        <v/>
      </c>
      <c r="Z71" s="14">
        <f>(((Z49*Assumptions!$E$75)+(Z50*Assumptions!$E$78))+(Z48*Assumptions!$E$79))</f>
        <v/>
      </c>
      <c r="AA71" s="14">
        <f>(((AA49*Assumptions!$E$75)+(AA50*Assumptions!$E$78))+(AA48*Assumptions!$E$79))</f>
        <v/>
      </c>
      <c r="AB71" s="14">
        <f>(((AB49*Assumptions!$E$75)+(AB50*Assumptions!$E$78))+(AB48*Assumptions!$E$79))</f>
        <v/>
      </c>
      <c r="AC71" s="14">
        <f>(((AC49*Assumptions!$E$75)+(AC50*Assumptions!$E$78))+(AC48*Assumptions!$E$79))</f>
        <v/>
      </c>
      <c r="AD71" s="14">
        <f>(((AD49*Assumptions!$E$75)+(AD50*Assumptions!$E$78))+(AD48*Assumptions!$E$79))</f>
        <v/>
      </c>
      <c r="AE71" s="14">
        <f>(((AE49*Assumptions!$E$75)+(AE50*Assumptions!$E$78))+(AE48*Assumptions!$E$79))</f>
        <v/>
      </c>
      <c r="AF71" s="14">
        <f>(((AF49*Assumptions!$E$75)+(AF50*Assumptions!$E$78))+(AF48*Assumptions!$E$79))</f>
        <v/>
      </c>
      <c r="AG71" s="14">
        <f>(((AG49*Assumptions!$E$75)+(AG50*Assumptions!$E$78))+(AG48*Assumptions!$E$79))</f>
        <v/>
      </c>
      <c r="AH71" s="14">
        <f>(((AH49*Assumptions!$E$75)+(AH50*Assumptions!$E$78))+(AH48*Assumptions!$E$79))</f>
        <v/>
      </c>
      <c r="AI71" s="14">
        <f>(((AI49*Assumptions!$E$75)+(AI50*Assumptions!$E$78))+(AI48*Assumptions!$E$79))</f>
        <v/>
      </c>
      <c r="AJ71" s="14">
        <f>(((AJ49*Assumptions!$E$75)+(AJ50*Assumptions!$E$78))+(AJ48*Assumptions!$E$79))</f>
        <v/>
      </c>
      <c r="AK71" s="14">
        <f>(((AK49*Assumptions!$E$75)+(AK50*Assumptions!$E$78))+(AK48*Assumptions!$E$79))</f>
        <v/>
      </c>
      <c r="AL71" s="14">
        <f>(((AL49*Assumptions!$E$75)+(AL50*Assumptions!$E$78))+(AL48*Assumptions!$E$79))</f>
        <v/>
      </c>
    </row>
    <row r="72">
      <c r="A72" s="6" t="inlineStr">
        <is>
          <t>Hosting / Supabase / Expo</t>
        </is>
      </c>
      <c r="B72" s="2" t="inlineStr">
        <is>
          <t>cogs_hosting</t>
        </is>
      </c>
      <c r="C72" s="14">
        <f>(Assumptions!$E$80+(Assumptions!$E$81*C36))</f>
        <v/>
      </c>
      <c r="D72" s="14">
        <f>(Assumptions!$E$80+(Assumptions!$E$81*D36))</f>
        <v/>
      </c>
      <c r="E72" s="14">
        <f>(Assumptions!$E$80+(Assumptions!$E$81*E36))</f>
        <v/>
      </c>
      <c r="F72" s="14">
        <f>(Assumptions!$E$80+(Assumptions!$E$81*F36))</f>
        <v/>
      </c>
      <c r="G72" s="14">
        <f>(Assumptions!$E$80+(Assumptions!$E$81*G36))</f>
        <v/>
      </c>
      <c r="H72" s="14">
        <f>(Assumptions!$E$80+(Assumptions!$E$81*H36))</f>
        <v/>
      </c>
      <c r="I72" s="14">
        <f>(Assumptions!$E$80+(Assumptions!$E$81*I36))</f>
        <v/>
      </c>
      <c r="J72" s="14">
        <f>(Assumptions!$E$80+(Assumptions!$E$81*J36))</f>
        <v/>
      </c>
      <c r="K72" s="14">
        <f>(Assumptions!$E$80+(Assumptions!$E$81*K36))</f>
        <v/>
      </c>
      <c r="L72" s="14">
        <f>(Assumptions!$E$80+(Assumptions!$E$81*L36))</f>
        <v/>
      </c>
      <c r="M72" s="14">
        <f>(Assumptions!$E$80+(Assumptions!$E$81*M36))</f>
        <v/>
      </c>
      <c r="N72" s="14">
        <f>(Assumptions!$E$80+(Assumptions!$E$81*N36))</f>
        <v/>
      </c>
      <c r="O72" s="14">
        <f>(Assumptions!$E$80+(Assumptions!$E$81*O36))</f>
        <v/>
      </c>
      <c r="P72" s="14">
        <f>(Assumptions!$E$80+(Assumptions!$E$81*P36))</f>
        <v/>
      </c>
      <c r="Q72" s="14">
        <f>(Assumptions!$E$80+(Assumptions!$E$81*Q36))</f>
        <v/>
      </c>
      <c r="R72" s="14">
        <f>(Assumptions!$E$80+(Assumptions!$E$81*R36))</f>
        <v/>
      </c>
      <c r="S72" s="14">
        <f>(Assumptions!$E$80+(Assumptions!$E$81*S36))</f>
        <v/>
      </c>
      <c r="T72" s="14">
        <f>(Assumptions!$E$80+(Assumptions!$E$81*T36))</f>
        <v/>
      </c>
      <c r="U72" s="14">
        <f>(Assumptions!$E$80+(Assumptions!$E$81*U36))</f>
        <v/>
      </c>
      <c r="V72" s="14">
        <f>(Assumptions!$E$80+(Assumptions!$E$81*V36))</f>
        <v/>
      </c>
      <c r="W72" s="14">
        <f>(Assumptions!$E$80+(Assumptions!$E$81*W36))</f>
        <v/>
      </c>
      <c r="X72" s="14">
        <f>(Assumptions!$E$80+(Assumptions!$E$81*X36))</f>
        <v/>
      </c>
      <c r="Y72" s="14">
        <f>(Assumptions!$E$80+(Assumptions!$E$81*Y36))</f>
        <v/>
      </c>
      <c r="Z72" s="14">
        <f>(Assumptions!$E$80+(Assumptions!$E$81*Z36))</f>
        <v/>
      </c>
      <c r="AA72" s="14">
        <f>(Assumptions!$E$80+(Assumptions!$E$81*AA36))</f>
        <v/>
      </c>
      <c r="AB72" s="14">
        <f>(Assumptions!$E$80+(Assumptions!$E$81*AB36))</f>
        <v/>
      </c>
      <c r="AC72" s="14">
        <f>(Assumptions!$E$80+(Assumptions!$E$81*AC36))</f>
        <v/>
      </c>
      <c r="AD72" s="14">
        <f>(Assumptions!$E$80+(Assumptions!$E$81*AD36))</f>
        <v/>
      </c>
      <c r="AE72" s="14">
        <f>(Assumptions!$E$80+(Assumptions!$E$81*AE36))</f>
        <v/>
      </c>
      <c r="AF72" s="14">
        <f>(Assumptions!$E$80+(Assumptions!$E$81*AF36))</f>
        <v/>
      </c>
      <c r="AG72" s="14">
        <f>(Assumptions!$E$80+(Assumptions!$E$81*AG36))</f>
        <v/>
      </c>
      <c r="AH72" s="14">
        <f>(Assumptions!$E$80+(Assumptions!$E$81*AH36))</f>
        <v/>
      </c>
      <c r="AI72" s="14">
        <f>(Assumptions!$E$80+(Assumptions!$E$81*AI36))</f>
        <v/>
      </c>
      <c r="AJ72" s="14">
        <f>(Assumptions!$E$80+(Assumptions!$E$81*AJ36))</f>
        <v/>
      </c>
      <c r="AK72" s="14">
        <f>(Assumptions!$E$80+(Assumptions!$E$81*AK36))</f>
        <v/>
      </c>
      <c r="AL72" s="14">
        <f>(Assumptions!$E$80+(Assumptions!$E$81*AL36))</f>
        <v/>
      </c>
    </row>
    <row r="73">
      <c r="A73" s="6" t="inlineStr">
        <is>
          <t>LLM tutor tokens</t>
        </is>
      </c>
      <c r="B73" s="2" t="inlineStr">
        <is>
          <t>cogs_llm</t>
        </is>
      </c>
      <c r="C73" s="14">
        <f>IF(AND((Assumptions!$E$8=1),(C$2&gt;=Assumptions!$E$82)),((C29*Assumptions!$E$83)+(C35*Assumptions!$E$84)),0)</f>
        <v/>
      </c>
      <c r="D73" s="14">
        <f>IF(AND((Assumptions!$E$8=1),(D$2&gt;=Assumptions!$E$82)),((D29*Assumptions!$E$83)+(D35*Assumptions!$E$84)),0)</f>
        <v/>
      </c>
      <c r="E73" s="14">
        <f>IF(AND((Assumptions!$E$8=1),(E$2&gt;=Assumptions!$E$82)),((E29*Assumptions!$E$83)+(E35*Assumptions!$E$84)),0)</f>
        <v/>
      </c>
      <c r="F73" s="14">
        <f>IF(AND((Assumptions!$E$8=1),(F$2&gt;=Assumptions!$E$82)),((F29*Assumptions!$E$83)+(F35*Assumptions!$E$84)),0)</f>
        <v/>
      </c>
      <c r="G73" s="14">
        <f>IF(AND((Assumptions!$E$8=1),(G$2&gt;=Assumptions!$E$82)),((G29*Assumptions!$E$83)+(G35*Assumptions!$E$84)),0)</f>
        <v/>
      </c>
      <c r="H73" s="14">
        <f>IF(AND((Assumptions!$E$8=1),(H$2&gt;=Assumptions!$E$82)),((H29*Assumptions!$E$83)+(H35*Assumptions!$E$84)),0)</f>
        <v/>
      </c>
      <c r="I73" s="14">
        <f>IF(AND((Assumptions!$E$8=1),(I$2&gt;=Assumptions!$E$82)),((I29*Assumptions!$E$83)+(I35*Assumptions!$E$84)),0)</f>
        <v/>
      </c>
      <c r="J73" s="14">
        <f>IF(AND((Assumptions!$E$8=1),(J$2&gt;=Assumptions!$E$82)),((J29*Assumptions!$E$83)+(J35*Assumptions!$E$84)),0)</f>
        <v/>
      </c>
      <c r="K73" s="14">
        <f>IF(AND((Assumptions!$E$8=1),(K$2&gt;=Assumptions!$E$82)),((K29*Assumptions!$E$83)+(K35*Assumptions!$E$84)),0)</f>
        <v/>
      </c>
      <c r="L73" s="14">
        <f>IF(AND((Assumptions!$E$8=1),(L$2&gt;=Assumptions!$E$82)),((L29*Assumptions!$E$83)+(L35*Assumptions!$E$84)),0)</f>
        <v/>
      </c>
      <c r="M73" s="14">
        <f>IF(AND((Assumptions!$E$8=1),(M$2&gt;=Assumptions!$E$82)),((M29*Assumptions!$E$83)+(M35*Assumptions!$E$84)),0)</f>
        <v/>
      </c>
      <c r="N73" s="14">
        <f>IF(AND((Assumptions!$E$8=1),(N$2&gt;=Assumptions!$E$82)),((N29*Assumptions!$E$83)+(N35*Assumptions!$E$84)),0)</f>
        <v/>
      </c>
      <c r="O73" s="14">
        <f>IF(AND((Assumptions!$E$8=1),(O$2&gt;=Assumptions!$E$82)),((O29*Assumptions!$E$83)+(O35*Assumptions!$E$84)),0)</f>
        <v/>
      </c>
      <c r="P73" s="14">
        <f>IF(AND((Assumptions!$E$8=1),(P$2&gt;=Assumptions!$E$82)),((P29*Assumptions!$E$83)+(P35*Assumptions!$E$84)),0)</f>
        <v/>
      </c>
      <c r="Q73" s="14">
        <f>IF(AND((Assumptions!$E$8=1),(Q$2&gt;=Assumptions!$E$82)),((Q29*Assumptions!$E$83)+(Q35*Assumptions!$E$84)),0)</f>
        <v/>
      </c>
      <c r="R73" s="14">
        <f>IF(AND((Assumptions!$E$8=1),(R$2&gt;=Assumptions!$E$82)),((R29*Assumptions!$E$83)+(R35*Assumptions!$E$84)),0)</f>
        <v/>
      </c>
      <c r="S73" s="14">
        <f>IF(AND((Assumptions!$E$8=1),(S$2&gt;=Assumptions!$E$82)),((S29*Assumptions!$E$83)+(S35*Assumptions!$E$84)),0)</f>
        <v/>
      </c>
      <c r="T73" s="14">
        <f>IF(AND((Assumptions!$E$8=1),(T$2&gt;=Assumptions!$E$82)),((T29*Assumptions!$E$83)+(T35*Assumptions!$E$84)),0)</f>
        <v/>
      </c>
      <c r="U73" s="14">
        <f>IF(AND((Assumptions!$E$8=1),(U$2&gt;=Assumptions!$E$82)),((U29*Assumptions!$E$83)+(U35*Assumptions!$E$84)),0)</f>
        <v/>
      </c>
      <c r="V73" s="14">
        <f>IF(AND((Assumptions!$E$8=1),(V$2&gt;=Assumptions!$E$82)),((V29*Assumptions!$E$83)+(V35*Assumptions!$E$84)),0)</f>
        <v/>
      </c>
      <c r="W73" s="14">
        <f>IF(AND((Assumptions!$E$8=1),(W$2&gt;=Assumptions!$E$82)),((W29*Assumptions!$E$83)+(W35*Assumptions!$E$84)),0)</f>
        <v/>
      </c>
      <c r="X73" s="14">
        <f>IF(AND((Assumptions!$E$8=1),(X$2&gt;=Assumptions!$E$82)),((X29*Assumptions!$E$83)+(X35*Assumptions!$E$84)),0)</f>
        <v/>
      </c>
      <c r="Y73" s="14">
        <f>IF(AND((Assumptions!$E$8=1),(Y$2&gt;=Assumptions!$E$82)),((Y29*Assumptions!$E$83)+(Y35*Assumptions!$E$84)),0)</f>
        <v/>
      </c>
      <c r="Z73" s="14">
        <f>IF(AND((Assumptions!$E$8=1),(Z$2&gt;=Assumptions!$E$82)),((Z29*Assumptions!$E$83)+(Z35*Assumptions!$E$84)),0)</f>
        <v/>
      </c>
      <c r="AA73" s="14">
        <f>IF(AND((Assumptions!$E$8=1),(AA$2&gt;=Assumptions!$E$82)),((AA29*Assumptions!$E$83)+(AA35*Assumptions!$E$84)),0)</f>
        <v/>
      </c>
      <c r="AB73" s="14">
        <f>IF(AND((Assumptions!$E$8=1),(AB$2&gt;=Assumptions!$E$82)),((AB29*Assumptions!$E$83)+(AB35*Assumptions!$E$84)),0)</f>
        <v/>
      </c>
      <c r="AC73" s="14">
        <f>IF(AND((Assumptions!$E$8=1),(AC$2&gt;=Assumptions!$E$82)),((AC29*Assumptions!$E$83)+(AC35*Assumptions!$E$84)),0)</f>
        <v/>
      </c>
      <c r="AD73" s="14">
        <f>IF(AND((Assumptions!$E$8=1),(AD$2&gt;=Assumptions!$E$82)),((AD29*Assumptions!$E$83)+(AD35*Assumptions!$E$84)),0)</f>
        <v/>
      </c>
      <c r="AE73" s="14">
        <f>IF(AND((Assumptions!$E$8=1),(AE$2&gt;=Assumptions!$E$82)),((AE29*Assumptions!$E$83)+(AE35*Assumptions!$E$84)),0)</f>
        <v/>
      </c>
      <c r="AF73" s="14">
        <f>IF(AND((Assumptions!$E$8=1),(AF$2&gt;=Assumptions!$E$82)),((AF29*Assumptions!$E$83)+(AF35*Assumptions!$E$84)),0)</f>
        <v/>
      </c>
      <c r="AG73" s="14">
        <f>IF(AND((Assumptions!$E$8=1),(AG$2&gt;=Assumptions!$E$82)),((AG29*Assumptions!$E$83)+(AG35*Assumptions!$E$84)),0)</f>
        <v/>
      </c>
      <c r="AH73" s="14">
        <f>IF(AND((Assumptions!$E$8=1),(AH$2&gt;=Assumptions!$E$82)),((AH29*Assumptions!$E$83)+(AH35*Assumptions!$E$84)),0)</f>
        <v/>
      </c>
      <c r="AI73" s="14">
        <f>IF(AND((Assumptions!$E$8=1),(AI$2&gt;=Assumptions!$E$82)),((AI29*Assumptions!$E$83)+(AI35*Assumptions!$E$84)),0)</f>
        <v/>
      </c>
      <c r="AJ73" s="14">
        <f>IF(AND((Assumptions!$E$8=1),(AJ$2&gt;=Assumptions!$E$82)),((AJ29*Assumptions!$E$83)+(AJ35*Assumptions!$E$84)),0)</f>
        <v/>
      </c>
      <c r="AK73" s="14">
        <f>IF(AND((Assumptions!$E$8=1),(AK$2&gt;=Assumptions!$E$82)),((AK29*Assumptions!$E$83)+(AK35*Assumptions!$E$84)),0)</f>
        <v/>
      </c>
      <c r="AL73" s="14">
        <f>IF(AND((Assumptions!$E$8=1),(AL$2&gt;=Assumptions!$E$82)),((AL29*Assumptions!$E$83)+(AL35*Assumptions!$E$84)),0)</f>
        <v/>
      </c>
    </row>
    <row r="74">
      <c r="A74" s="6" t="inlineStr">
        <is>
          <t>RevenueCat (1% of MTR above $2.5k)</t>
        </is>
      </c>
      <c r="B74" s="2" t="inlineStr">
        <is>
          <t>cogs_rc</t>
        </is>
      </c>
      <c r="C74" s="14">
        <f>(MAX(0,(C30-Assumptions!$E$85))*Assumptions!$E$86)</f>
        <v/>
      </c>
      <c r="D74" s="14">
        <f>(MAX(0,(D30-Assumptions!$E$85))*Assumptions!$E$86)</f>
        <v/>
      </c>
      <c r="E74" s="14">
        <f>(MAX(0,(E30-Assumptions!$E$85))*Assumptions!$E$86)</f>
        <v/>
      </c>
      <c r="F74" s="14">
        <f>(MAX(0,(F30-Assumptions!$E$85))*Assumptions!$E$86)</f>
        <v/>
      </c>
      <c r="G74" s="14">
        <f>(MAX(0,(G30-Assumptions!$E$85))*Assumptions!$E$86)</f>
        <v/>
      </c>
      <c r="H74" s="14">
        <f>(MAX(0,(H30-Assumptions!$E$85))*Assumptions!$E$86)</f>
        <v/>
      </c>
      <c r="I74" s="14">
        <f>(MAX(0,(I30-Assumptions!$E$85))*Assumptions!$E$86)</f>
        <v/>
      </c>
      <c r="J74" s="14">
        <f>(MAX(0,(J30-Assumptions!$E$85))*Assumptions!$E$86)</f>
        <v/>
      </c>
      <c r="K74" s="14">
        <f>(MAX(0,(K30-Assumptions!$E$85))*Assumptions!$E$86)</f>
        <v/>
      </c>
      <c r="L74" s="14">
        <f>(MAX(0,(L30-Assumptions!$E$85))*Assumptions!$E$86)</f>
        <v/>
      </c>
      <c r="M74" s="14">
        <f>(MAX(0,(M30-Assumptions!$E$85))*Assumptions!$E$86)</f>
        <v/>
      </c>
      <c r="N74" s="14">
        <f>(MAX(0,(N30-Assumptions!$E$85))*Assumptions!$E$86)</f>
        <v/>
      </c>
      <c r="O74" s="14">
        <f>(MAX(0,(O30-Assumptions!$E$85))*Assumptions!$E$86)</f>
        <v/>
      </c>
      <c r="P74" s="14">
        <f>(MAX(0,(P30-Assumptions!$E$85))*Assumptions!$E$86)</f>
        <v/>
      </c>
      <c r="Q74" s="14">
        <f>(MAX(0,(Q30-Assumptions!$E$85))*Assumptions!$E$86)</f>
        <v/>
      </c>
      <c r="R74" s="14">
        <f>(MAX(0,(R30-Assumptions!$E$85))*Assumptions!$E$86)</f>
        <v/>
      </c>
      <c r="S74" s="14">
        <f>(MAX(0,(S30-Assumptions!$E$85))*Assumptions!$E$86)</f>
        <v/>
      </c>
      <c r="T74" s="14">
        <f>(MAX(0,(T30-Assumptions!$E$85))*Assumptions!$E$86)</f>
        <v/>
      </c>
      <c r="U74" s="14">
        <f>(MAX(0,(U30-Assumptions!$E$85))*Assumptions!$E$86)</f>
        <v/>
      </c>
      <c r="V74" s="14">
        <f>(MAX(0,(V30-Assumptions!$E$85))*Assumptions!$E$86)</f>
        <v/>
      </c>
      <c r="W74" s="14">
        <f>(MAX(0,(W30-Assumptions!$E$85))*Assumptions!$E$86)</f>
        <v/>
      </c>
      <c r="X74" s="14">
        <f>(MAX(0,(X30-Assumptions!$E$85))*Assumptions!$E$86)</f>
        <v/>
      </c>
      <c r="Y74" s="14">
        <f>(MAX(0,(Y30-Assumptions!$E$85))*Assumptions!$E$86)</f>
        <v/>
      </c>
      <c r="Z74" s="14">
        <f>(MAX(0,(Z30-Assumptions!$E$85))*Assumptions!$E$86)</f>
        <v/>
      </c>
      <c r="AA74" s="14">
        <f>(MAX(0,(AA30-Assumptions!$E$85))*Assumptions!$E$86)</f>
        <v/>
      </c>
      <c r="AB74" s="14">
        <f>(MAX(0,(AB30-Assumptions!$E$85))*Assumptions!$E$86)</f>
        <v/>
      </c>
      <c r="AC74" s="14">
        <f>(MAX(0,(AC30-Assumptions!$E$85))*Assumptions!$E$86)</f>
        <v/>
      </c>
      <c r="AD74" s="14">
        <f>(MAX(0,(AD30-Assumptions!$E$85))*Assumptions!$E$86)</f>
        <v/>
      </c>
      <c r="AE74" s="14">
        <f>(MAX(0,(AE30-Assumptions!$E$85))*Assumptions!$E$86)</f>
        <v/>
      </c>
      <c r="AF74" s="14">
        <f>(MAX(0,(AF30-Assumptions!$E$85))*Assumptions!$E$86)</f>
        <v/>
      </c>
      <c r="AG74" s="14">
        <f>(MAX(0,(AG30-Assumptions!$E$85))*Assumptions!$E$86)</f>
        <v/>
      </c>
      <c r="AH74" s="14">
        <f>(MAX(0,(AH30-Assumptions!$E$85))*Assumptions!$E$86)</f>
        <v/>
      </c>
      <c r="AI74" s="14">
        <f>(MAX(0,(AI30-Assumptions!$E$85))*Assumptions!$E$86)</f>
        <v/>
      </c>
      <c r="AJ74" s="14">
        <f>(MAX(0,(AJ30-Assumptions!$E$85))*Assumptions!$E$86)</f>
        <v/>
      </c>
      <c r="AK74" s="14">
        <f>(MAX(0,(AK30-Assumptions!$E$85))*Assumptions!$E$86)</f>
        <v/>
      </c>
      <c r="AL74" s="14">
        <f>(MAX(0,(AL30-Assumptions!$E$85))*Assumptions!$E$86)</f>
        <v/>
      </c>
    </row>
    <row r="75">
      <c r="A75" s="6" t="inlineStr">
        <is>
          <t>B2B card processing</t>
        </is>
      </c>
      <c r="B75" s="2" t="inlineStr">
        <is>
          <t>cogs_b2b</t>
        </is>
      </c>
      <c r="C75" s="14">
        <f>(C66*Assumptions!$E$68)</f>
        <v/>
      </c>
      <c r="D75" s="14">
        <f>(D66*Assumptions!$E$68)</f>
        <v/>
      </c>
      <c r="E75" s="14">
        <f>(E66*Assumptions!$E$68)</f>
        <v/>
      </c>
      <c r="F75" s="14">
        <f>(F66*Assumptions!$E$68)</f>
        <v/>
      </c>
      <c r="G75" s="14">
        <f>(G66*Assumptions!$E$68)</f>
        <v/>
      </c>
      <c r="H75" s="14">
        <f>(H66*Assumptions!$E$68)</f>
        <v/>
      </c>
      <c r="I75" s="14">
        <f>(I66*Assumptions!$E$68)</f>
        <v/>
      </c>
      <c r="J75" s="14">
        <f>(J66*Assumptions!$E$68)</f>
        <v/>
      </c>
      <c r="K75" s="14">
        <f>(K66*Assumptions!$E$68)</f>
        <v/>
      </c>
      <c r="L75" s="14">
        <f>(L66*Assumptions!$E$68)</f>
        <v/>
      </c>
      <c r="M75" s="14">
        <f>(M66*Assumptions!$E$68)</f>
        <v/>
      </c>
      <c r="N75" s="14">
        <f>(N66*Assumptions!$E$68)</f>
        <v/>
      </c>
      <c r="O75" s="14">
        <f>(O66*Assumptions!$E$68)</f>
        <v/>
      </c>
      <c r="P75" s="14">
        <f>(P66*Assumptions!$E$68)</f>
        <v/>
      </c>
      <c r="Q75" s="14">
        <f>(Q66*Assumptions!$E$68)</f>
        <v/>
      </c>
      <c r="R75" s="14">
        <f>(R66*Assumptions!$E$68)</f>
        <v/>
      </c>
      <c r="S75" s="14">
        <f>(S66*Assumptions!$E$68)</f>
        <v/>
      </c>
      <c r="T75" s="14">
        <f>(T66*Assumptions!$E$68)</f>
        <v/>
      </c>
      <c r="U75" s="14">
        <f>(U66*Assumptions!$E$68)</f>
        <v/>
      </c>
      <c r="V75" s="14">
        <f>(V66*Assumptions!$E$68)</f>
        <v/>
      </c>
      <c r="W75" s="14">
        <f>(W66*Assumptions!$E$68)</f>
        <v/>
      </c>
      <c r="X75" s="14">
        <f>(X66*Assumptions!$E$68)</f>
        <v/>
      </c>
      <c r="Y75" s="14">
        <f>(Y66*Assumptions!$E$68)</f>
        <v/>
      </c>
      <c r="Z75" s="14">
        <f>(Z66*Assumptions!$E$68)</f>
        <v/>
      </c>
      <c r="AA75" s="14">
        <f>(AA66*Assumptions!$E$68)</f>
        <v/>
      </c>
      <c r="AB75" s="14">
        <f>(AB66*Assumptions!$E$68)</f>
        <v/>
      </c>
      <c r="AC75" s="14">
        <f>(AC66*Assumptions!$E$68)</f>
        <v/>
      </c>
      <c r="AD75" s="14">
        <f>(AD66*Assumptions!$E$68)</f>
        <v/>
      </c>
      <c r="AE75" s="14">
        <f>(AE66*Assumptions!$E$68)</f>
        <v/>
      </c>
      <c r="AF75" s="14">
        <f>(AF66*Assumptions!$E$68)</f>
        <v/>
      </c>
      <c r="AG75" s="14">
        <f>(AG66*Assumptions!$E$68)</f>
        <v/>
      </c>
      <c r="AH75" s="14">
        <f>(AH66*Assumptions!$E$68)</f>
        <v/>
      </c>
      <c r="AI75" s="14">
        <f>(AI66*Assumptions!$E$68)</f>
        <v/>
      </c>
      <c r="AJ75" s="14">
        <f>(AJ66*Assumptions!$E$68)</f>
        <v/>
      </c>
      <c r="AK75" s="14">
        <f>(AK66*Assumptions!$E$68)</f>
        <v/>
      </c>
      <c r="AL75" s="14">
        <f>(AL66*Assumptions!$E$68)</f>
        <v/>
      </c>
    </row>
    <row r="76">
      <c r="A76" s="21" t="inlineStr">
        <is>
          <t>Total COGS</t>
        </is>
      </c>
      <c r="B76" s="2" t="inlineStr">
        <is>
          <t>cogs_total</t>
        </is>
      </c>
      <c r="C76" s="23">
        <f>(((((C70+C71)+C72)+C73)+C74)+C75)</f>
        <v/>
      </c>
      <c r="D76" s="23">
        <f>(((((D70+D71)+D72)+D73)+D74)+D75)</f>
        <v/>
      </c>
      <c r="E76" s="23">
        <f>(((((E70+E71)+E72)+E73)+E74)+E75)</f>
        <v/>
      </c>
      <c r="F76" s="23">
        <f>(((((F70+F71)+F72)+F73)+F74)+F75)</f>
        <v/>
      </c>
      <c r="G76" s="23">
        <f>(((((G70+G71)+G72)+G73)+G74)+G75)</f>
        <v/>
      </c>
      <c r="H76" s="23">
        <f>(((((H70+H71)+H72)+H73)+H74)+H75)</f>
        <v/>
      </c>
      <c r="I76" s="23">
        <f>(((((I70+I71)+I72)+I73)+I74)+I75)</f>
        <v/>
      </c>
      <c r="J76" s="23">
        <f>(((((J70+J71)+J72)+J73)+J74)+J75)</f>
        <v/>
      </c>
      <c r="K76" s="23">
        <f>(((((K70+K71)+K72)+K73)+K74)+K75)</f>
        <v/>
      </c>
      <c r="L76" s="23">
        <f>(((((L70+L71)+L72)+L73)+L74)+L75)</f>
        <v/>
      </c>
      <c r="M76" s="23">
        <f>(((((M70+M71)+M72)+M73)+M74)+M75)</f>
        <v/>
      </c>
      <c r="N76" s="23">
        <f>(((((N70+N71)+N72)+N73)+N74)+N75)</f>
        <v/>
      </c>
      <c r="O76" s="23">
        <f>(((((O70+O71)+O72)+O73)+O74)+O75)</f>
        <v/>
      </c>
      <c r="P76" s="23">
        <f>(((((P70+P71)+P72)+P73)+P74)+P75)</f>
        <v/>
      </c>
      <c r="Q76" s="23">
        <f>(((((Q70+Q71)+Q72)+Q73)+Q74)+Q75)</f>
        <v/>
      </c>
      <c r="R76" s="23">
        <f>(((((R70+R71)+R72)+R73)+R74)+R75)</f>
        <v/>
      </c>
      <c r="S76" s="23">
        <f>(((((S70+S71)+S72)+S73)+S74)+S75)</f>
        <v/>
      </c>
      <c r="T76" s="23">
        <f>(((((T70+T71)+T72)+T73)+T74)+T75)</f>
        <v/>
      </c>
      <c r="U76" s="23">
        <f>(((((U70+U71)+U72)+U73)+U74)+U75)</f>
        <v/>
      </c>
      <c r="V76" s="23">
        <f>(((((V70+V71)+V72)+V73)+V74)+V75)</f>
        <v/>
      </c>
      <c r="W76" s="23">
        <f>(((((W70+W71)+W72)+W73)+W74)+W75)</f>
        <v/>
      </c>
      <c r="X76" s="23">
        <f>(((((X70+X71)+X72)+X73)+X74)+X75)</f>
        <v/>
      </c>
      <c r="Y76" s="23">
        <f>(((((Y70+Y71)+Y72)+Y73)+Y74)+Y75)</f>
        <v/>
      </c>
      <c r="Z76" s="23">
        <f>(((((Z70+Z71)+Z72)+Z73)+Z74)+Z75)</f>
        <v/>
      </c>
      <c r="AA76" s="23">
        <f>(((((AA70+AA71)+AA72)+AA73)+AA74)+AA75)</f>
        <v/>
      </c>
      <c r="AB76" s="23">
        <f>(((((AB70+AB71)+AB72)+AB73)+AB74)+AB75)</f>
        <v/>
      </c>
      <c r="AC76" s="23">
        <f>(((((AC70+AC71)+AC72)+AC73)+AC74)+AC75)</f>
        <v/>
      </c>
      <c r="AD76" s="23">
        <f>(((((AD70+AD71)+AD72)+AD73)+AD74)+AD75)</f>
        <v/>
      </c>
      <c r="AE76" s="23">
        <f>(((((AE70+AE71)+AE72)+AE73)+AE74)+AE75)</f>
        <v/>
      </c>
      <c r="AF76" s="23">
        <f>(((((AF70+AF71)+AF72)+AF73)+AF74)+AF75)</f>
        <v/>
      </c>
      <c r="AG76" s="23">
        <f>(((((AG70+AG71)+AG72)+AG73)+AG74)+AG75)</f>
        <v/>
      </c>
      <c r="AH76" s="23">
        <f>(((((AH70+AH71)+AH72)+AH73)+AH74)+AH75)</f>
        <v/>
      </c>
      <c r="AI76" s="23">
        <f>(((((AI70+AI71)+AI72)+AI73)+AI74)+AI75)</f>
        <v/>
      </c>
      <c r="AJ76" s="23">
        <f>(((((AJ70+AJ71)+AJ72)+AJ73)+AJ74)+AJ75)</f>
        <v/>
      </c>
      <c r="AK76" s="23">
        <f>(((((AK70+AK71)+AK72)+AK73)+AK74)+AK75)</f>
        <v/>
      </c>
      <c r="AL76" s="23">
        <f>(((((AL70+AL71)+AL72)+AL73)+AL74)+AL75)</f>
        <v/>
      </c>
    </row>
    <row r="77">
      <c r="A77" s="21" t="inlineStr">
        <is>
          <t>GROSS PROFIT</t>
        </is>
      </c>
      <c r="B77" s="2" t="inlineStr">
        <is>
          <t>gross_profit</t>
        </is>
      </c>
      <c r="C77" s="23">
        <f>(C67-C76)</f>
        <v/>
      </c>
      <c r="D77" s="23">
        <f>(D67-D76)</f>
        <v/>
      </c>
      <c r="E77" s="23">
        <f>(E67-E76)</f>
        <v/>
      </c>
      <c r="F77" s="23">
        <f>(F67-F76)</f>
        <v/>
      </c>
      <c r="G77" s="23">
        <f>(G67-G76)</f>
        <v/>
      </c>
      <c r="H77" s="23">
        <f>(H67-H76)</f>
        <v/>
      </c>
      <c r="I77" s="23">
        <f>(I67-I76)</f>
        <v/>
      </c>
      <c r="J77" s="23">
        <f>(J67-J76)</f>
        <v/>
      </c>
      <c r="K77" s="23">
        <f>(K67-K76)</f>
        <v/>
      </c>
      <c r="L77" s="23">
        <f>(L67-L76)</f>
        <v/>
      </c>
      <c r="M77" s="23">
        <f>(M67-M76)</f>
        <v/>
      </c>
      <c r="N77" s="23">
        <f>(N67-N76)</f>
        <v/>
      </c>
      <c r="O77" s="23">
        <f>(O67-O76)</f>
        <v/>
      </c>
      <c r="P77" s="23">
        <f>(P67-P76)</f>
        <v/>
      </c>
      <c r="Q77" s="23">
        <f>(Q67-Q76)</f>
        <v/>
      </c>
      <c r="R77" s="23">
        <f>(R67-R76)</f>
        <v/>
      </c>
      <c r="S77" s="23">
        <f>(S67-S76)</f>
        <v/>
      </c>
      <c r="T77" s="23">
        <f>(T67-T76)</f>
        <v/>
      </c>
      <c r="U77" s="23">
        <f>(U67-U76)</f>
        <v/>
      </c>
      <c r="V77" s="23">
        <f>(V67-V76)</f>
        <v/>
      </c>
      <c r="W77" s="23">
        <f>(W67-W76)</f>
        <v/>
      </c>
      <c r="X77" s="23">
        <f>(X67-X76)</f>
        <v/>
      </c>
      <c r="Y77" s="23">
        <f>(Y67-Y76)</f>
        <v/>
      </c>
      <c r="Z77" s="23">
        <f>(Z67-Z76)</f>
        <v/>
      </c>
      <c r="AA77" s="23">
        <f>(AA67-AA76)</f>
        <v/>
      </c>
      <c r="AB77" s="23">
        <f>(AB67-AB76)</f>
        <v/>
      </c>
      <c r="AC77" s="23">
        <f>(AC67-AC76)</f>
        <v/>
      </c>
      <c r="AD77" s="23">
        <f>(AD67-AD76)</f>
        <v/>
      </c>
      <c r="AE77" s="23">
        <f>(AE67-AE76)</f>
        <v/>
      </c>
      <c r="AF77" s="23">
        <f>(AF67-AF76)</f>
        <v/>
      </c>
      <c r="AG77" s="23">
        <f>(AG67-AG76)</f>
        <v/>
      </c>
      <c r="AH77" s="23">
        <f>(AH67-AH76)</f>
        <v/>
      </c>
      <c r="AI77" s="23">
        <f>(AI67-AI76)</f>
        <v/>
      </c>
      <c r="AJ77" s="23">
        <f>(AJ67-AJ76)</f>
        <v/>
      </c>
      <c r="AK77" s="23">
        <f>(AK67-AK76)</f>
        <v/>
      </c>
      <c r="AL77" s="23">
        <f>(AL67-AL76)</f>
        <v/>
      </c>
    </row>
    <row r="78">
      <c r="A78" s="6" t="inlineStr">
        <is>
          <t>Gross margin</t>
        </is>
      </c>
      <c r="B78" s="2" t="inlineStr">
        <is>
          <t>gross_margin</t>
        </is>
      </c>
      <c r="C78" s="16">
        <f>IF(C67=0,0,C77/C67)</f>
        <v/>
      </c>
      <c r="D78" s="16">
        <f>IF(D67=0,0,D77/D67)</f>
        <v/>
      </c>
      <c r="E78" s="16">
        <f>IF(E67=0,0,E77/E67)</f>
        <v/>
      </c>
      <c r="F78" s="16">
        <f>IF(F67=0,0,F77/F67)</f>
        <v/>
      </c>
      <c r="G78" s="16">
        <f>IF(G67=0,0,G77/G67)</f>
        <v/>
      </c>
      <c r="H78" s="16">
        <f>IF(H67=0,0,H77/H67)</f>
        <v/>
      </c>
      <c r="I78" s="16">
        <f>IF(I67=0,0,I77/I67)</f>
        <v/>
      </c>
      <c r="J78" s="16">
        <f>IF(J67=0,0,J77/J67)</f>
        <v/>
      </c>
      <c r="K78" s="16">
        <f>IF(K67=0,0,K77/K67)</f>
        <v/>
      </c>
      <c r="L78" s="16">
        <f>IF(L67=0,0,L77/L67)</f>
        <v/>
      </c>
      <c r="M78" s="16">
        <f>IF(M67=0,0,M77/M67)</f>
        <v/>
      </c>
      <c r="N78" s="16">
        <f>IF(N67=0,0,N77/N67)</f>
        <v/>
      </c>
      <c r="O78" s="16">
        <f>IF(O67=0,0,O77/O67)</f>
        <v/>
      </c>
      <c r="P78" s="16">
        <f>IF(P67=0,0,P77/P67)</f>
        <v/>
      </c>
      <c r="Q78" s="16">
        <f>IF(Q67=0,0,Q77/Q67)</f>
        <v/>
      </c>
      <c r="R78" s="16">
        <f>IF(R67=0,0,R77/R67)</f>
        <v/>
      </c>
      <c r="S78" s="16">
        <f>IF(S67=0,0,S77/S67)</f>
        <v/>
      </c>
      <c r="T78" s="16">
        <f>IF(T67=0,0,T77/T67)</f>
        <v/>
      </c>
      <c r="U78" s="16">
        <f>IF(U67=0,0,U77/U67)</f>
        <v/>
      </c>
      <c r="V78" s="16">
        <f>IF(V67=0,0,V77/V67)</f>
        <v/>
      </c>
      <c r="W78" s="16">
        <f>IF(W67=0,0,W77/W67)</f>
        <v/>
      </c>
      <c r="X78" s="16">
        <f>IF(X67=0,0,X77/X67)</f>
        <v/>
      </c>
      <c r="Y78" s="16">
        <f>IF(Y67=0,0,Y77/Y67)</f>
        <v/>
      </c>
      <c r="Z78" s="16">
        <f>IF(Z67=0,0,Z77/Z67)</f>
        <v/>
      </c>
      <c r="AA78" s="16">
        <f>IF(AA67=0,0,AA77/AA67)</f>
        <v/>
      </c>
      <c r="AB78" s="16">
        <f>IF(AB67=0,0,AB77/AB67)</f>
        <v/>
      </c>
      <c r="AC78" s="16">
        <f>IF(AC67=0,0,AC77/AC67)</f>
        <v/>
      </c>
      <c r="AD78" s="16">
        <f>IF(AD67=0,0,AD77/AD67)</f>
        <v/>
      </c>
      <c r="AE78" s="16">
        <f>IF(AE67=0,0,AE77/AE67)</f>
        <v/>
      </c>
      <c r="AF78" s="16">
        <f>IF(AF67=0,0,AF77/AF67)</f>
        <v/>
      </c>
      <c r="AG78" s="16">
        <f>IF(AG67=0,0,AG77/AG67)</f>
        <v/>
      </c>
      <c r="AH78" s="16">
        <f>IF(AH67=0,0,AH77/AH67)</f>
        <v/>
      </c>
      <c r="AI78" s="16">
        <f>IF(AI67=0,0,AI77/AI67)</f>
        <v/>
      </c>
      <c r="AJ78" s="16">
        <f>IF(AJ67=0,0,AJ77/AJ67)</f>
        <v/>
      </c>
      <c r="AK78" s="16">
        <f>IF(AK67=0,0,AK77/AK67)</f>
        <v/>
      </c>
      <c r="AL78" s="16">
        <f>IF(AL67=0,0,AL77/AL67)</f>
        <v/>
      </c>
    </row>
    <row r="80">
      <c r="A80" s="4" t="inlineStr">
        <is>
          <t>OPERATING EXPENSES</t>
        </is>
      </c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5" t="n"/>
      <c r="AC80" s="5" t="n"/>
      <c r="AD80" s="5" t="n"/>
      <c r="AE80" s="5" t="n"/>
      <c r="AF80" s="5" t="n"/>
      <c r="AG80" s="5" t="n"/>
      <c r="AH80" s="5" t="n"/>
      <c r="AI80" s="5" t="n"/>
      <c r="AJ80" s="5" t="n"/>
      <c r="AK80" s="5" t="n"/>
      <c r="AL80" s="5" t="n"/>
    </row>
    <row r="81">
      <c r="A81" s="6" t="inlineStr">
        <is>
          <t>Founder salary</t>
        </is>
      </c>
      <c r="B81" s="2" t="inlineStr">
        <is>
          <t>opex_founder</t>
        </is>
      </c>
      <c r="C81" s="14">
        <f>(Assumptions!$E$10*Assumptions!$E$88)</f>
        <v/>
      </c>
      <c r="D81" s="14">
        <f>(Assumptions!$E$10*Assumptions!$E$88)</f>
        <v/>
      </c>
      <c r="E81" s="14">
        <f>(Assumptions!$E$10*Assumptions!$E$88)</f>
        <v/>
      </c>
      <c r="F81" s="14">
        <f>(Assumptions!$E$10*Assumptions!$E$88)</f>
        <v/>
      </c>
      <c r="G81" s="14">
        <f>(Assumptions!$E$10*Assumptions!$E$88)</f>
        <v/>
      </c>
      <c r="H81" s="14">
        <f>(Assumptions!$E$10*Assumptions!$E$88)</f>
        <v/>
      </c>
      <c r="I81" s="14">
        <f>(Assumptions!$E$10*Assumptions!$E$88)</f>
        <v/>
      </c>
      <c r="J81" s="14">
        <f>(Assumptions!$E$10*Assumptions!$E$88)</f>
        <v/>
      </c>
      <c r="K81" s="14">
        <f>(Assumptions!$E$10*Assumptions!$E$88)</f>
        <v/>
      </c>
      <c r="L81" s="14">
        <f>(Assumptions!$E$10*Assumptions!$E$88)</f>
        <v/>
      </c>
      <c r="M81" s="14">
        <f>(Assumptions!$E$10*Assumptions!$E$88)</f>
        <v/>
      </c>
      <c r="N81" s="14">
        <f>(Assumptions!$E$10*Assumptions!$E$88)</f>
        <v/>
      </c>
      <c r="O81" s="14">
        <f>(Assumptions!$E$10*Assumptions!$E$88)</f>
        <v/>
      </c>
      <c r="P81" s="14">
        <f>(Assumptions!$E$10*Assumptions!$E$88)</f>
        <v/>
      </c>
      <c r="Q81" s="14">
        <f>(Assumptions!$E$10*Assumptions!$E$88)</f>
        <v/>
      </c>
      <c r="R81" s="14">
        <f>(Assumptions!$E$10*Assumptions!$E$88)</f>
        <v/>
      </c>
      <c r="S81" s="14">
        <f>(Assumptions!$E$10*Assumptions!$E$88)</f>
        <v/>
      </c>
      <c r="T81" s="14">
        <f>(Assumptions!$E$10*Assumptions!$E$88)</f>
        <v/>
      </c>
      <c r="U81" s="14">
        <f>(Assumptions!$E$10*Assumptions!$E$88)</f>
        <v/>
      </c>
      <c r="V81" s="14">
        <f>(Assumptions!$E$10*Assumptions!$E$88)</f>
        <v/>
      </c>
      <c r="W81" s="14">
        <f>(Assumptions!$E$10*Assumptions!$E$88)</f>
        <v/>
      </c>
      <c r="X81" s="14">
        <f>(Assumptions!$E$10*Assumptions!$E$88)</f>
        <v/>
      </c>
      <c r="Y81" s="14">
        <f>(Assumptions!$E$10*Assumptions!$E$88)</f>
        <v/>
      </c>
      <c r="Z81" s="14">
        <f>(Assumptions!$E$10*Assumptions!$E$88)</f>
        <v/>
      </c>
      <c r="AA81" s="14">
        <f>(Assumptions!$E$10*Assumptions!$E$88)</f>
        <v/>
      </c>
      <c r="AB81" s="14">
        <f>(Assumptions!$E$10*Assumptions!$E$88)</f>
        <v/>
      </c>
      <c r="AC81" s="14">
        <f>(Assumptions!$E$10*Assumptions!$E$88)</f>
        <v/>
      </c>
      <c r="AD81" s="14">
        <f>(Assumptions!$E$10*Assumptions!$E$88)</f>
        <v/>
      </c>
      <c r="AE81" s="14">
        <f>(Assumptions!$E$10*Assumptions!$E$88)</f>
        <v/>
      </c>
      <c r="AF81" s="14">
        <f>(Assumptions!$E$10*Assumptions!$E$88)</f>
        <v/>
      </c>
      <c r="AG81" s="14">
        <f>(Assumptions!$E$10*Assumptions!$E$88)</f>
        <v/>
      </c>
      <c r="AH81" s="14">
        <f>(Assumptions!$E$10*Assumptions!$E$88)</f>
        <v/>
      </c>
      <c r="AI81" s="14">
        <f>(Assumptions!$E$10*Assumptions!$E$88)</f>
        <v/>
      </c>
      <c r="AJ81" s="14">
        <f>(Assumptions!$E$10*Assumptions!$E$88)</f>
        <v/>
      </c>
      <c r="AK81" s="14">
        <f>(Assumptions!$E$10*Assumptions!$E$88)</f>
        <v/>
      </c>
      <c r="AL81" s="14">
        <f>(Assumptions!$E$10*Assumptions!$E$88)</f>
        <v/>
      </c>
    </row>
    <row r="82">
      <c r="A82" s="6" t="inlineStr">
        <is>
          <t>Contractors</t>
        </is>
      </c>
      <c r="B82" s="2" t="inlineStr">
        <is>
          <t>opex_contractors</t>
        </is>
      </c>
      <c r="C82" s="14">
        <f>CHOOSE(C$3,Assumptions!$E$89,Assumptions!$E$90,Assumptions!$E$91)</f>
        <v/>
      </c>
      <c r="D82" s="14">
        <f>CHOOSE(D$3,Assumptions!$E$89,Assumptions!$E$90,Assumptions!$E$91)</f>
        <v/>
      </c>
      <c r="E82" s="14">
        <f>CHOOSE(E$3,Assumptions!$E$89,Assumptions!$E$90,Assumptions!$E$91)</f>
        <v/>
      </c>
      <c r="F82" s="14">
        <f>CHOOSE(F$3,Assumptions!$E$89,Assumptions!$E$90,Assumptions!$E$91)</f>
        <v/>
      </c>
      <c r="G82" s="14">
        <f>CHOOSE(G$3,Assumptions!$E$89,Assumptions!$E$90,Assumptions!$E$91)</f>
        <v/>
      </c>
      <c r="H82" s="14">
        <f>CHOOSE(H$3,Assumptions!$E$89,Assumptions!$E$90,Assumptions!$E$91)</f>
        <v/>
      </c>
      <c r="I82" s="14">
        <f>CHOOSE(I$3,Assumptions!$E$89,Assumptions!$E$90,Assumptions!$E$91)</f>
        <v/>
      </c>
      <c r="J82" s="14">
        <f>CHOOSE(J$3,Assumptions!$E$89,Assumptions!$E$90,Assumptions!$E$91)</f>
        <v/>
      </c>
      <c r="K82" s="14">
        <f>CHOOSE(K$3,Assumptions!$E$89,Assumptions!$E$90,Assumptions!$E$91)</f>
        <v/>
      </c>
      <c r="L82" s="14">
        <f>CHOOSE(L$3,Assumptions!$E$89,Assumptions!$E$90,Assumptions!$E$91)</f>
        <v/>
      </c>
      <c r="M82" s="14">
        <f>CHOOSE(M$3,Assumptions!$E$89,Assumptions!$E$90,Assumptions!$E$91)</f>
        <v/>
      </c>
      <c r="N82" s="14">
        <f>CHOOSE(N$3,Assumptions!$E$89,Assumptions!$E$90,Assumptions!$E$91)</f>
        <v/>
      </c>
      <c r="O82" s="14">
        <f>CHOOSE(O$3,Assumptions!$E$89,Assumptions!$E$90,Assumptions!$E$91)</f>
        <v/>
      </c>
      <c r="P82" s="14">
        <f>CHOOSE(P$3,Assumptions!$E$89,Assumptions!$E$90,Assumptions!$E$91)</f>
        <v/>
      </c>
      <c r="Q82" s="14">
        <f>CHOOSE(Q$3,Assumptions!$E$89,Assumptions!$E$90,Assumptions!$E$91)</f>
        <v/>
      </c>
      <c r="R82" s="14">
        <f>CHOOSE(R$3,Assumptions!$E$89,Assumptions!$E$90,Assumptions!$E$91)</f>
        <v/>
      </c>
      <c r="S82" s="14">
        <f>CHOOSE(S$3,Assumptions!$E$89,Assumptions!$E$90,Assumptions!$E$91)</f>
        <v/>
      </c>
      <c r="T82" s="14">
        <f>CHOOSE(T$3,Assumptions!$E$89,Assumptions!$E$90,Assumptions!$E$91)</f>
        <v/>
      </c>
      <c r="U82" s="14">
        <f>CHOOSE(U$3,Assumptions!$E$89,Assumptions!$E$90,Assumptions!$E$91)</f>
        <v/>
      </c>
      <c r="V82" s="14">
        <f>CHOOSE(V$3,Assumptions!$E$89,Assumptions!$E$90,Assumptions!$E$91)</f>
        <v/>
      </c>
      <c r="W82" s="14">
        <f>CHOOSE(W$3,Assumptions!$E$89,Assumptions!$E$90,Assumptions!$E$91)</f>
        <v/>
      </c>
      <c r="X82" s="14">
        <f>CHOOSE(X$3,Assumptions!$E$89,Assumptions!$E$90,Assumptions!$E$91)</f>
        <v/>
      </c>
      <c r="Y82" s="14">
        <f>CHOOSE(Y$3,Assumptions!$E$89,Assumptions!$E$90,Assumptions!$E$91)</f>
        <v/>
      </c>
      <c r="Z82" s="14">
        <f>CHOOSE(Z$3,Assumptions!$E$89,Assumptions!$E$90,Assumptions!$E$91)</f>
        <v/>
      </c>
      <c r="AA82" s="14">
        <f>CHOOSE(AA$3,Assumptions!$E$89,Assumptions!$E$90,Assumptions!$E$91)</f>
        <v/>
      </c>
      <c r="AB82" s="14">
        <f>CHOOSE(AB$3,Assumptions!$E$89,Assumptions!$E$90,Assumptions!$E$91)</f>
        <v/>
      </c>
      <c r="AC82" s="14">
        <f>CHOOSE(AC$3,Assumptions!$E$89,Assumptions!$E$90,Assumptions!$E$91)</f>
        <v/>
      </c>
      <c r="AD82" s="14">
        <f>CHOOSE(AD$3,Assumptions!$E$89,Assumptions!$E$90,Assumptions!$E$91)</f>
        <v/>
      </c>
      <c r="AE82" s="14">
        <f>CHOOSE(AE$3,Assumptions!$E$89,Assumptions!$E$90,Assumptions!$E$91)</f>
        <v/>
      </c>
      <c r="AF82" s="14">
        <f>CHOOSE(AF$3,Assumptions!$E$89,Assumptions!$E$90,Assumptions!$E$91)</f>
        <v/>
      </c>
      <c r="AG82" s="14">
        <f>CHOOSE(AG$3,Assumptions!$E$89,Assumptions!$E$90,Assumptions!$E$91)</f>
        <v/>
      </c>
      <c r="AH82" s="14">
        <f>CHOOSE(AH$3,Assumptions!$E$89,Assumptions!$E$90,Assumptions!$E$91)</f>
        <v/>
      </c>
      <c r="AI82" s="14">
        <f>CHOOSE(AI$3,Assumptions!$E$89,Assumptions!$E$90,Assumptions!$E$91)</f>
        <v/>
      </c>
      <c r="AJ82" s="14">
        <f>CHOOSE(AJ$3,Assumptions!$E$89,Assumptions!$E$90,Assumptions!$E$91)</f>
        <v/>
      </c>
      <c r="AK82" s="14">
        <f>CHOOSE(AK$3,Assumptions!$E$89,Assumptions!$E$90,Assumptions!$E$91)</f>
        <v/>
      </c>
      <c r="AL82" s="14">
        <f>CHOOSE(AL$3,Assumptions!$E$89,Assumptions!$E$90,Assumptions!$E$91)</f>
        <v/>
      </c>
    </row>
    <row r="83">
      <c r="A83" s="6" t="inlineStr">
        <is>
          <t>Marketing: Apple Search Ads</t>
        </is>
      </c>
      <c r="B83" s="2" t="inlineStr">
        <is>
          <t>opex_asa</t>
        </is>
      </c>
      <c r="C83" s="14">
        <f>C10</f>
        <v/>
      </c>
      <c r="D83" s="14">
        <f>D10</f>
        <v/>
      </c>
      <c r="E83" s="14">
        <f>E10</f>
        <v/>
      </c>
      <c r="F83" s="14">
        <f>F10</f>
        <v/>
      </c>
      <c r="G83" s="14">
        <f>G10</f>
        <v/>
      </c>
      <c r="H83" s="14">
        <f>H10</f>
        <v/>
      </c>
      <c r="I83" s="14">
        <f>I10</f>
        <v/>
      </c>
      <c r="J83" s="14">
        <f>J10</f>
        <v/>
      </c>
      <c r="K83" s="14">
        <f>K10</f>
        <v/>
      </c>
      <c r="L83" s="14">
        <f>L10</f>
        <v/>
      </c>
      <c r="M83" s="14">
        <f>M10</f>
        <v/>
      </c>
      <c r="N83" s="14">
        <f>N10</f>
        <v/>
      </c>
      <c r="O83" s="14">
        <f>O10</f>
        <v/>
      </c>
      <c r="P83" s="14">
        <f>P10</f>
        <v/>
      </c>
      <c r="Q83" s="14">
        <f>Q10</f>
        <v/>
      </c>
      <c r="R83" s="14">
        <f>R10</f>
        <v/>
      </c>
      <c r="S83" s="14">
        <f>S10</f>
        <v/>
      </c>
      <c r="T83" s="14">
        <f>T10</f>
        <v/>
      </c>
      <c r="U83" s="14">
        <f>U10</f>
        <v/>
      </c>
      <c r="V83" s="14">
        <f>V10</f>
        <v/>
      </c>
      <c r="W83" s="14">
        <f>W10</f>
        <v/>
      </c>
      <c r="X83" s="14">
        <f>X10</f>
        <v/>
      </c>
      <c r="Y83" s="14">
        <f>Y10</f>
        <v/>
      </c>
      <c r="Z83" s="14">
        <f>Z10</f>
        <v/>
      </c>
      <c r="AA83" s="14">
        <f>AA10</f>
        <v/>
      </c>
      <c r="AB83" s="14">
        <f>AB10</f>
        <v/>
      </c>
      <c r="AC83" s="14">
        <f>AC10</f>
        <v/>
      </c>
      <c r="AD83" s="14">
        <f>AD10</f>
        <v/>
      </c>
      <c r="AE83" s="14">
        <f>AE10</f>
        <v/>
      </c>
      <c r="AF83" s="14">
        <f>AF10</f>
        <v/>
      </c>
      <c r="AG83" s="14">
        <f>AG10</f>
        <v/>
      </c>
      <c r="AH83" s="14">
        <f>AH10</f>
        <v/>
      </c>
      <c r="AI83" s="14">
        <f>AI10</f>
        <v/>
      </c>
      <c r="AJ83" s="14">
        <f>AJ10</f>
        <v/>
      </c>
      <c r="AK83" s="14">
        <f>AK10</f>
        <v/>
      </c>
      <c r="AL83" s="14">
        <f>AL10</f>
        <v/>
      </c>
    </row>
    <row r="84">
      <c r="A84" s="6" t="inlineStr">
        <is>
          <t>Marketing: creators</t>
        </is>
      </c>
      <c r="B84" s="2" t="inlineStr">
        <is>
          <t>opex_creators</t>
        </is>
      </c>
      <c r="C84" s="14">
        <f>C8</f>
        <v/>
      </c>
      <c r="D84" s="14">
        <f>D8</f>
        <v/>
      </c>
      <c r="E84" s="14">
        <f>E8</f>
        <v/>
      </c>
      <c r="F84" s="14">
        <f>F8</f>
        <v/>
      </c>
      <c r="G84" s="14">
        <f>G8</f>
        <v/>
      </c>
      <c r="H84" s="14">
        <f>H8</f>
        <v/>
      </c>
      <c r="I84" s="14">
        <f>I8</f>
        <v/>
      </c>
      <c r="J84" s="14">
        <f>J8</f>
        <v/>
      </c>
      <c r="K84" s="14">
        <f>K8</f>
        <v/>
      </c>
      <c r="L84" s="14">
        <f>L8</f>
        <v/>
      </c>
      <c r="M84" s="14">
        <f>M8</f>
        <v/>
      </c>
      <c r="N84" s="14">
        <f>N8</f>
        <v/>
      </c>
      <c r="O84" s="14">
        <f>O8</f>
        <v/>
      </c>
      <c r="P84" s="14">
        <f>P8</f>
        <v/>
      </c>
      <c r="Q84" s="14">
        <f>Q8</f>
        <v/>
      </c>
      <c r="R84" s="14">
        <f>R8</f>
        <v/>
      </c>
      <c r="S84" s="14">
        <f>S8</f>
        <v/>
      </c>
      <c r="T84" s="14">
        <f>T8</f>
        <v/>
      </c>
      <c r="U84" s="14">
        <f>U8</f>
        <v/>
      </c>
      <c r="V84" s="14">
        <f>V8</f>
        <v/>
      </c>
      <c r="W84" s="14">
        <f>W8</f>
        <v/>
      </c>
      <c r="X84" s="14">
        <f>X8</f>
        <v/>
      </c>
      <c r="Y84" s="14">
        <f>Y8</f>
        <v/>
      </c>
      <c r="Z84" s="14">
        <f>Z8</f>
        <v/>
      </c>
      <c r="AA84" s="14">
        <f>AA8</f>
        <v/>
      </c>
      <c r="AB84" s="14">
        <f>AB8</f>
        <v/>
      </c>
      <c r="AC84" s="14">
        <f>AC8</f>
        <v/>
      </c>
      <c r="AD84" s="14">
        <f>AD8</f>
        <v/>
      </c>
      <c r="AE84" s="14">
        <f>AE8</f>
        <v/>
      </c>
      <c r="AF84" s="14">
        <f>AF8</f>
        <v/>
      </c>
      <c r="AG84" s="14">
        <f>AG8</f>
        <v/>
      </c>
      <c r="AH84" s="14">
        <f>AH8</f>
        <v/>
      </c>
      <c r="AI84" s="14">
        <f>AI8</f>
        <v/>
      </c>
      <c r="AJ84" s="14">
        <f>AJ8</f>
        <v/>
      </c>
      <c r="AK84" s="14">
        <f>AK8</f>
        <v/>
      </c>
      <c r="AL84" s="14">
        <f>AL8</f>
        <v/>
      </c>
    </row>
    <row r="85">
      <c r="A85" s="6" t="inlineStr">
        <is>
          <t>Marketing: other</t>
        </is>
      </c>
      <c r="B85" s="2" t="inlineStr">
        <is>
          <t>opex_mkt_other</t>
        </is>
      </c>
      <c r="C85" s="14">
        <f>Assumptions!$E$92</f>
        <v/>
      </c>
      <c r="D85" s="14">
        <f>Assumptions!$E$92</f>
        <v/>
      </c>
      <c r="E85" s="14">
        <f>Assumptions!$E$92</f>
        <v/>
      </c>
      <c r="F85" s="14">
        <f>Assumptions!$E$92</f>
        <v/>
      </c>
      <c r="G85" s="14">
        <f>Assumptions!$E$92</f>
        <v/>
      </c>
      <c r="H85" s="14">
        <f>Assumptions!$E$92</f>
        <v/>
      </c>
      <c r="I85" s="14">
        <f>Assumptions!$E$92</f>
        <v/>
      </c>
      <c r="J85" s="14">
        <f>Assumptions!$E$92</f>
        <v/>
      </c>
      <c r="K85" s="14">
        <f>Assumptions!$E$92</f>
        <v/>
      </c>
      <c r="L85" s="14">
        <f>Assumptions!$E$92</f>
        <v/>
      </c>
      <c r="M85" s="14">
        <f>Assumptions!$E$92</f>
        <v/>
      </c>
      <c r="N85" s="14">
        <f>Assumptions!$E$92</f>
        <v/>
      </c>
      <c r="O85" s="14">
        <f>Assumptions!$E$92</f>
        <v/>
      </c>
      <c r="P85" s="14">
        <f>Assumptions!$E$92</f>
        <v/>
      </c>
      <c r="Q85" s="14">
        <f>Assumptions!$E$92</f>
        <v/>
      </c>
      <c r="R85" s="14">
        <f>Assumptions!$E$92</f>
        <v/>
      </c>
      <c r="S85" s="14">
        <f>Assumptions!$E$92</f>
        <v/>
      </c>
      <c r="T85" s="14">
        <f>Assumptions!$E$92</f>
        <v/>
      </c>
      <c r="U85" s="14">
        <f>Assumptions!$E$92</f>
        <v/>
      </c>
      <c r="V85" s="14">
        <f>Assumptions!$E$92</f>
        <v/>
      </c>
      <c r="W85" s="14">
        <f>Assumptions!$E$92</f>
        <v/>
      </c>
      <c r="X85" s="14">
        <f>Assumptions!$E$92</f>
        <v/>
      </c>
      <c r="Y85" s="14">
        <f>Assumptions!$E$92</f>
        <v/>
      </c>
      <c r="Z85" s="14">
        <f>Assumptions!$E$92</f>
        <v/>
      </c>
      <c r="AA85" s="14">
        <f>Assumptions!$E$92</f>
        <v/>
      </c>
      <c r="AB85" s="14">
        <f>Assumptions!$E$92</f>
        <v/>
      </c>
      <c r="AC85" s="14">
        <f>Assumptions!$E$92</f>
        <v/>
      </c>
      <c r="AD85" s="14">
        <f>Assumptions!$E$92</f>
        <v/>
      </c>
      <c r="AE85" s="14">
        <f>Assumptions!$E$92</f>
        <v/>
      </c>
      <c r="AF85" s="14">
        <f>Assumptions!$E$92</f>
        <v/>
      </c>
      <c r="AG85" s="14">
        <f>Assumptions!$E$92</f>
        <v/>
      </c>
      <c r="AH85" s="14">
        <f>Assumptions!$E$92</f>
        <v/>
      </c>
      <c r="AI85" s="14">
        <f>Assumptions!$E$92</f>
        <v/>
      </c>
      <c r="AJ85" s="14">
        <f>Assumptions!$E$92</f>
        <v/>
      </c>
      <c r="AK85" s="14">
        <f>Assumptions!$E$92</f>
        <v/>
      </c>
      <c r="AL85" s="14">
        <f>Assumptions!$E$92</f>
        <v/>
      </c>
    </row>
    <row r="86">
      <c r="A86" s="6" t="inlineStr">
        <is>
          <t>Legal &amp; compliance</t>
        </is>
      </c>
      <c r="B86" s="2" t="inlineStr">
        <is>
          <t>opex_legal</t>
        </is>
      </c>
      <c r="C86" s="14">
        <f>(((IF((C$2=1),(((Assumptions!$E$93+Assumptions!$E$94)+Assumptions!$E$95)+Assumptions!$E$96),0)+Assumptions!$E$97)+IF(AND((C$2&gt;1),(MOD((C$2-1),12)=0)),Assumptions!$E$98,0))+IF(AND((Assumptions!$E$11=1),(C$2&gt;=Assumptions!$E$99)),Assumptions!$E$100,0))</f>
        <v/>
      </c>
      <c r="D86" s="14">
        <f>(((IF((D$2=1),(((Assumptions!$E$93+Assumptions!$E$94)+Assumptions!$E$95)+Assumptions!$E$96),0)+Assumptions!$E$97)+IF(AND((D$2&gt;1),(MOD((D$2-1),12)=0)),Assumptions!$E$98,0))+IF(AND((Assumptions!$E$11=1),(D$2&gt;=Assumptions!$E$99)),Assumptions!$E$100,0))</f>
        <v/>
      </c>
      <c r="E86" s="14">
        <f>(((IF((E$2=1),(((Assumptions!$E$93+Assumptions!$E$94)+Assumptions!$E$95)+Assumptions!$E$96),0)+Assumptions!$E$97)+IF(AND((E$2&gt;1),(MOD((E$2-1),12)=0)),Assumptions!$E$98,0))+IF(AND((Assumptions!$E$11=1),(E$2&gt;=Assumptions!$E$99)),Assumptions!$E$100,0))</f>
        <v/>
      </c>
      <c r="F86" s="14">
        <f>(((IF((F$2=1),(((Assumptions!$E$93+Assumptions!$E$94)+Assumptions!$E$95)+Assumptions!$E$96),0)+Assumptions!$E$97)+IF(AND((F$2&gt;1),(MOD((F$2-1),12)=0)),Assumptions!$E$98,0))+IF(AND((Assumptions!$E$11=1),(F$2&gt;=Assumptions!$E$99)),Assumptions!$E$100,0))</f>
        <v/>
      </c>
      <c r="G86" s="14">
        <f>(((IF((G$2=1),(((Assumptions!$E$93+Assumptions!$E$94)+Assumptions!$E$95)+Assumptions!$E$96),0)+Assumptions!$E$97)+IF(AND((G$2&gt;1),(MOD((G$2-1),12)=0)),Assumptions!$E$98,0))+IF(AND((Assumptions!$E$11=1),(G$2&gt;=Assumptions!$E$99)),Assumptions!$E$100,0))</f>
        <v/>
      </c>
      <c r="H86" s="14">
        <f>(((IF((H$2=1),(((Assumptions!$E$93+Assumptions!$E$94)+Assumptions!$E$95)+Assumptions!$E$96),0)+Assumptions!$E$97)+IF(AND((H$2&gt;1),(MOD((H$2-1),12)=0)),Assumptions!$E$98,0))+IF(AND((Assumptions!$E$11=1),(H$2&gt;=Assumptions!$E$99)),Assumptions!$E$100,0))</f>
        <v/>
      </c>
      <c r="I86" s="14">
        <f>(((IF((I$2=1),(((Assumptions!$E$93+Assumptions!$E$94)+Assumptions!$E$95)+Assumptions!$E$96),0)+Assumptions!$E$97)+IF(AND((I$2&gt;1),(MOD((I$2-1),12)=0)),Assumptions!$E$98,0))+IF(AND((Assumptions!$E$11=1),(I$2&gt;=Assumptions!$E$99)),Assumptions!$E$100,0))</f>
        <v/>
      </c>
      <c r="J86" s="14">
        <f>(((IF((J$2=1),(((Assumptions!$E$93+Assumptions!$E$94)+Assumptions!$E$95)+Assumptions!$E$96),0)+Assumptions!$E$97)+IF(AND((J$2&gt;1),(MOD((J$2-1),12)=0)),Assumptions!$E$98,0))+IF(AND((Assumptions!$E$11=1),(J$2&gt;=Assumptions!$E$99)),Assumptions!$E$100,0))</f>
        <v/>
      </c>
      <c r="K86" s="14">
        <f>(((IF((K$2=1),(((Assumptions!$E$93+Assumptions!$E$94)+Assumptions!$E$95)+Assumptions!$E$96),0)+Assumptions!$E$97)+IF(AND((K$2&gt;1),(MOD((K$2-1),12)=0)),Assumptions!$E$98,0))+IF(AND((Assumptions!$E$11=1),(K$2&gt;=Assumptions!$E$99)),Assumptions!$E$100,0))</f>
        <v/>
      </c>
      <c r="L86" s="14">
        <f>(((IF((L$2=1),(((Assumptions!$E$93+Assumptions!$E$94)+Assumptions!$E$95)+Assumptions!$E$96),0)+Assumptions!$E$97)+IF(AND((L$2&gt;1),(MOD((L$2-1),12)=0)),Assumptions!$E$98,0))+IF(AND((Assumptions!$E$11=1),(L$2&gt;=Assumptions!$E$99)),Assumptions!$E$100,0))</f>
        <v/>
      </c>
      <c r="M86" s="14">
        <f>(((IF((M$2=1),(((Assumptions!$E$93+Assumptions!$E$94)+Assumptions!$E$95)+Assumptions!$E$96),0)+Assumptions!$E$97)+IF(AND((M$2&gt;1),(MOD((M$2-1),12)=0)),Assumptions!$E$98,0))+IF(AND((Assumptions!$E$11=1),(M$2&gt;=Assumptions!$E$99)),Assumptions!$E$100,0))</f>
        <v/>
      </c>
      <c r="N86" s="14">
        <f>(((IF((N$2=1),(((Assumptions!$E$93+Assumptions!$E$94)+Assumptions!$E$95)+Assumptions!$E$96),0)+Assumptions!$E$97)+IF(AND((N$2&gt;1),(MOD((N$2-1),12)=0)),Assumptions!$E$98,0))+IF(AND((Assumptions!$E$11=1),(N$2&gt;=Assumptions!$E$99)),Assumptions!$E$100,0))</f>
        <v/>
      </c>
      <c r="O86" s="14">
        <f>(((IF((O$2=1),(((Assumptions!$E$93+Assumptions!$E$94)+Assumptions!$E$95)+Assumptions!$E$96),0)+Assumptions!$E$97)+IF(AND((O$2&gt;1),(MOD((O$2-1),12)=0)),Assumptions!$E$98,0))+IF(AND((Assumptions!$E$11=1),(O$2&gt;=Assumptions!$E$99)),Assumptions!$E$100,0))</f>
        <v/>
      </c>
      <c r="P86" s="14">
        <f>(((IF((P$2=1),(((Assumptions!$E$93+Assumptions!$E$94)+Assumptions!$E$95)+Assumptions!$E$96),0)+Assumptions!$E$97)+IF(AND((P$2&gt;1),(MOD((P$2-1),12)=0)),Assumptions!$E$98,0))+IF(AND((Assumptions!$E$11=1),(P$2&gt;=Assumptions!$E$99)),Assumptions!$E$100,0))</f>
        <v/>
      </c>
      <c r="Q86" s="14">
        <f>(((IF((Q$2=1),(((Assumptions!$E$93+Assumptions!$E$94)+Assumptions!$E$95)+Assumptions!$E$96),0)+Assumptions!$E$97)+IF(AND((Q$2&gt;1),(MOD((Q$2-1),12)=0)),Assumptions!$E$98,0))+IF(AND((Assumptions!$E$11=1),(Q$2&gt;=Assumptions!$E$99)),Assumptions!$E$100,0))</f>
        <v/>
      </c>
      <c r="R86" s="14">
        <f>(((IF((R$2=1),(((Assumptions!$E$93+Assumptions!$E$94)+Assumptions!$E$95)+Assumptions!$E$96),0)+Assumptions!$E$97)+IF(AND((R$2&gt;1),(MOD((R$2-1),12)=0)),Assumptions!$E$98,0))+IF(AND((Assumptions!$E$11=1),(R$2&gt;=Assumptions!$E$99)),Assumptions!$E$100,0))</f>
        <v/>
      </c>
      <c r="S86" s="14">
        <f>(((IF((S$2=1),(((Assumptions!$E$93+Assumptions!$E$94)+Assumptions!$E$95)+Assumptions!$E$96),0)+Assumptions!$E$97)+IF(AND((S$2&gt;1),(MOD((S$2-1),12)=0)),Assumptions!$E$98,0))+IF(AND((Assumptions!$E$11=1),(S$2&gt;=Assumptions!$E$99)),Assumptions!$E$100,0))</f>
        <v/>
      </c>
      <c r="T86" s="14">
        <f>(((IF((T$2=1),(((Assumptions!$E$93+Assumptions!$E$94)+Assumptions!$E$95)+Assumptions!$E$96),0)+Assumptions!$E$97)+IF(AND((T$2&gt;1),(MOD((T$2-1),12)=0)),Assumptions!$E$98,0))+IF(AND((Assumptions!$E$11=1),(T$2&gt;=Assumptions!$E$99)),Assumptions!$E$100,0))</f>
        <v/>
      </c>
      <c r="U86" s="14">
        <f>(((IF((U$2=1),(((Assumptions!$E$93+Assumptions!$E$94)+Assumptions!$E$95)+Assumptions!$E$96),0)+Assumptions!$E$97)+IF(AND((U$2&gt;1),(MOD((U$2-1),12)=0)),Assumptions!$E$98,0))+IF(AND((Assumptions!$E$11=1),(U$2&gt;=Assumptions!$E$99)),Assumptions!$E$100,0))</f>
        <v/>
      </c>
      <c r="V86" s="14">
        <f>(((IF((V$2=1),(((Assumptions!$E$93+Assumptions!$E$94)+Assumptions!$E$95)+Assumptions!$E$96),0)+Assumptions!$E$97)+IF(AND((V$2&gt;1),(MOD((V$2-1),12)=0)),Assumptions!$E$98,0))+IF(AND((Assumptions!$E$11=1),(V$2&gt;=Assumptions!$E$99)),Assumptions!$E$100,0))</f>
        <v/>
      </c>
      <c r="W86" s="14">
        <f>(((IF((W$2=1),(((Assumptions!$E$93+Assumptions!$E$94)+Assumptions!$E$95)+Assumptions!$E$96),0)+Assumptions!$E$97)+IF(AND((W$2&gt;1),(MOD((W$2-1),12)=0)),Assumptions!$E$98,0))+IF(AND((Assumptions!$E$11=1),(W$2&gt;=Assumptions!$E$99)),Assumptions!$E$100,0))</f>
        <v/>
      </c>
      <c r="X86" s="14">
        <f>(((IF((X$2=1),(((Assumptions!$E$93+Assumptions!$E$94)+Assumptions!$E$95)+Assumptions!$E$96),0)+Assumptions!$E$97)+IF(AND((X$2&gt;1),(MOD((X$2-1),12)=0)),Assumptions!$E$98,0))+IF(AND((Assumptions!$E$11=1),(X$2&gt;=Assumptions!$E$99)),Assumptions!$E$100,0))</f>
        <v/>
      </c>
      <c r="Y86" s="14">
        <f>(((IF((Y$2=1),(((Assumptions!$E$93+Assumptions!$E$94)+Assumptions!$E$95)+Assumptions!$E$96),0)+Assumptions!$E$97)+IF(AND((Y$2&gt;1),(MOD((Y$2-1),12)=0)),Assumptions!$E$98,0))+IF(AND((Assumptions!$E$11=1),(Y$2&gt;=Assumptions!$E$99)),Assumptions!$E$100,0))</f>
        <v/>
      </c>
      <c r="Z86" s="14">
        <f>(((IF((Z$2=1),(((Assumptions!$E$93+Assumptions!$E$94)+Assumptions!$E$95)+Assumptions!$E$96),0)+Assumptions!$E$97)+IF(AND((Z$2&gt;1),(MOD((Z$2-1),12)=0)),Assumptions!$E$98,0))+IF(AND((Assumptions!$E$11=1),(Z$2&gt;=Assumptions!$E$99)),Assumptions!$E$100,0))</f>
        <v/>
      </c>
      <c r="AA86" s="14">
        <f>(((IF((AA$2=1),(((Assumptions!$E$93+Assumptions!$E$94)+Assumptions!$E$95)+Assumptions!$E$96),0)+Assumptions!$E$97)+IF(AND((AA$2&gt;1),(MOD((AA$2-1),12)=0)),Assumptions!$E$98,0))+IF(AND((Assumptions!$E$11=1),(AA$2&gt;=Assumptions!$E$99)),Assumptions!$E$100,0))</f>
        <v/>
      </c>
      <c r="AB86" s="14">
        <f>(((IF((AB$2=1),(((Assumptions!$E$93+Assumptions!$E$94)+Assumptions!$E$95)+Assumptions!$E$96),0)+Assumptions!$E$97)+IF(AND((AB$2&gt;1),(MOD((AB$2-1),12)=0)),Assumptions!$E$98,0))+IF(AND((Assumptions!$E$11=1),(AB$2&gt;=Assumptions!$E$99)),Assumptions!$E$100,0))</f>
        <v/>
      </c>
      <c r="AC86" s="14">
        <f>(((IF((AC$2=1),(((Assumptions!$E$93+Assumptions!$E$94)+Assumptions!$E$95)+Assumptions!$E$96),0)+Assumptions!$E$97)+IF(AND((AC$2&gt;1),(MOD((AC$2-1),12)=0)),Assumptions!$E$98,0))+IF(AND((Assumptions!$E$11=1),(AC$2&gt;=Assumptions!$E$99)),Assumptions!$E$100,0))</f>
        <v/>
      </c>
      <c r="AD86" s="14">
        <f>(((IF((AD$2=1),(((Assumptions!$E$93+Assumptions!$E$94)+Assumptions!$E$95)+Assumptions!$E$96),0)+Assumptions!$E$97)+IF(AND((AD$2&gt;1),(MOD((AD$2-1),12)=0)),Assumptions!$E$98,0))+IF(AND((Assumptions!$E$11=1),(AD$2&gt;=Assumptions!$E$99)),Assumptions!$E$100,0))</f>
        <v/>
      </c>
      <c r="AE86" s="14">
        <f>(((IF((AE$2=1),(((Assumptions!$E$93+Assumptions!$E$94)+Assumptions!$E$95)+Assumptions!$E$96),0)+Assumptions!$E$97)+IF(AND((AE$2&gt;1),(MOD((AE$2-1),12)=0)),Assumptions!$E$98,0))+IF(AND((Assumptions!$E$11=1),(AE$2&gt;=Assumptions!$E$99)),Assumptions!$E$100,0))</f>
        <v/>
      </c>
      <c r="AF86" s="14">
        <f>(((IF((AF$2=1),(((Assumptions!$E$93+Assumptions!$E$94)+Assumptions!$E$95)+Assumptions!$E$96),0)+Assumptions!$E$97)+IF(AND((AF$2&gt;1),(MOD((AF$2-1),12)=0)),Assumptions!$E$98,0))+IF(AND((Assumptions!$E$11=1),(AF$2&gt;=Assumptions!$E$99)),Assumptions!$E$100,0))</f>
        <v/>
      </c>
      <c r="AG86" s="14">
        <f>(((IF((AG$2=1),(((Assumptions!$E$93+Assumptions!$E$94)+Assumptions!$E$95)+Assumptions!$E$96),0)+Assumptions!$E$97)+IF(AND((AG$2&gt;1),(MOD((AG$2-1),12)=0)),Assumptions!$E$98,0))+IF(AND((Assumptions!$E$11=1),(AG$2&gt;=Assumptions!$E$99)),Assumptions!$E$100,0))</f>
        <v/>
      </c>
      <c r="AH86" s="14">
        <f>(((IF((AH$2=1),(((Assumptions!$E$93+Assumptions!$E$94)+Assumptions!$E$95)+Assumptions!$E$96),0)+Assumptions!$E$97)+IF(AND((AH$2&gt;1),(MOD((AH$2-1),12)=0)),Assumptions!$E$98,0))+IF(AND((Assumptions!$E$11=1),(AH$2&gt;=Assumptions!$E$99)),Assumptions!$E$100,0))</f>
        <v/>
      </c>
      <c r="AI86" s="14">
        <f>(((IF((AI$2=1),(((Assumptions!$E$93+Assumptions!$E$94)+Assumptions!$E$95)+Assumptions!$E$96),0)+Assumptions!$E$97)+IF(AND((AI$2&gt;1),(MOD((AI$2-1),12)=0)),Assumptions!$E$98,0))+IF(AND((Assumptions!$E$11=1),(AI$2&gt;=Assumptions!$E$99)),Assumptions!$E$100,0))</f>
        <v/>
      </c>
      <c r="AJ86" s="14">
        <f>(((IF((AJ$2=1),(((Assumptions!$E$93+Assumptions!$E$94)+Assumptions!$E$95)+Assumptions!$E$96),0)+Assumptions!$E$97)+IF(AND((AJ$2&gt;1),(MOD((AJ$2-1),12)=0)),Assumptions!$E$98,0))+IF(AND((Assumptions!$E$11=1),(AJ$2&gt;=Assumptions!$E$99)),Assumptions!$E$100,0))</f>
        <v/>
      </c>
      <c r="AK86" s="14">
        <f>(((IF((AK$2=1),(((Assumptions!$E$93+Assumptions!$E$94)+Assumptions!$E$95)+Assumptions!$E$96),0)+Assumptions!$E$97)+IF(AND((AK$2&gt;1),(MOD((AK$2-1),12)=0)),Assumptions!$E$98,0))+IF(AND((Assumptions!$E$11=1),(AK$2&gt;=Assumptions!$E$99)),Assumptions!$E$100,0))</f>
        <v/>
      </c>
      <c r="AL86" s="14">
        <f>(((IF((AL$2=1),(((Assumptions!$E$93+Assumptions!$E$94)+Assumptions!$E$95)+Assumptions!$E$96),0)+Assumptions!$E$97)+IF(AND((AL$2&gt;1),(MOD((AL$2-1),12)=0)),Assumptions!$E$98,0))+IF(AND((Assumptions!$E$11=1),(AL$2&gt;=Assumptions!$E$99)),Assumptions!$E$100,0))</f>
        <v/>
      </c>
    </row>
    <row r="87">
      <c r="A87" s="6" t="inlineStr">
        <is>
          <t>Software / tools</t>
        </is>
      </c>
      <c r="B87" s="2" t="inlineStr">
        <is>
          <t>opex_tools</t>
        </is>
      </c>
      <c r="C87" s="14">
        <f>CHOOSE(C$3,Assumptions!$E$101,Assumptions!$E$102,Assumptions!$E$103)</f>
        <v/>
      </c>
      <c r="D87" s="14">
        <f>CHOOSE(D$3,Assumptions!$E$101,Assumptions!$E$102,Assumptions!$E$103)</f>
        <v/>
      </c>
      <c r="E87" s="14">
        <f>CHOOSE(E$3,Assumptions!$E$101,Assumptions!$E$102,Assumptions!$E$103)</f>
        <v/>
      </c>
      <c r="F87" s="14">
        <f>CHOOSE(F$3,Assumptions!$E$101,Assumptions!$E$102,Assumptions!$E$103)</f>
        <v/>
      </c>
      <c r="G87" s="14">
        <f>CHOOSE(G$3,Assumptions!$E$101,Assumptions!$E$102,Assumptions!$E$103)</f>
        <v/>
      </c>
      <c r="H87" s="14">
        <f>CHOOSE(H$3,Assumptions!$E$101,Assumptions!$E$102,Assumptions!$E$103)</f>
        <v/>
      </c>
      <c r="I87" s="14">
        <f>CHOOSE(I$3,Assumptions!$E$101,Assumptions!$E$102,Assumptions!$E$103)</f>
        <v/>
      </c>
      <c r="J87" s="14">
        <f>CHOOSE(J$3,Assumptions!$E$101,Assumptions!$E$102,Assumptions!$E$103)</f>
        <v/>
      </c>
      <c r="K87" s="14">
        <f>CHOOSE(K$3,Assumptions!$E$101,Assumptions!$E$102,Assumptions!$E$103)</f>
        <v/>
      </c>
      <c r="L87" s="14">
        <f>CHOOSE(L$3,Assumptions!$E$101,Assumptions!$E$102,Assumptions!$E$103)</f>
        <v/>
      </c>
      <c r="M87" s="14">
        <f>CHOOSE(M$3,Assumptions!$E$101,Assumptions!$E$102,Assumptions!$E$103)</f>
        <v/>
      </c>
      <c r="N87" s="14">
        <f>CHOOSE(N$3,Assumptions!$E$101,Assumptions!$E$102,Assumptions!$E$103)</f>
        <v/>
      </c>
      <c r="O87" s="14">
        <f>CHOOSE(O$3,Assumptions!$E$101,Assumptions!$E$102,Assumptions!$E$103)</f>
        <v/>
      </c>
      <c r="P87" s="14">
        <f>CHOOSE(P$3,Assumptions!$E$101,Assumptions!$E$102,Assumptions!$E$103)</f>
        <v/>
      </c>
      <c r="Q87" s="14">
        <f>CHOOSE(Q$3,Assumptions!$E$101,Assumptions!$E$102,Assumptions!$E$103)</f>
        <v/>
      </c>
      <c r="R87" s="14">
        <f>CHOOSE(R$3,Assumptions!$E$101,Assumptions!$E$102,Assumptions!$E$103)</f>
        <v/>
      </c>
      <c r="S87" s="14">
        <f>CHOOSE(S$3,Assumptions!$E$101,Assumptions!$E$102,Assumptions!$E$103)</f>
        <v/>
      </c>
      <c r="T87" s="14">
        <f>CHOOSE(T$3,Assumptions!$E$101,Assumptions!$E$102,Assumptions!$E$103)</f>
        <v/>
      </c>
      <c r="U87" s="14">
        <f>CHOOSE(U$3,Assumptions!$E$101,Assumptions!$E$102,Assumptions!$E$103)</f>
        <v/>
      </c>
      <c r="V87" s="14">
        <f>CHOOSE(V$3,Assumptions!$E$101,Assumptions!$E$102,Assumptions!$E$103)</f>
        <v/>
      </c>
      <c r="W87" s="14">
        <f>CHOOSE(W$3,Assumptions!$E$101,Assumptions!$E$102,Assumptions!$E$103)</f>
        <v/>
      </c>
      <c r="X87" s="14">
        <f>CHOOSE(X$3,Assumptions!$E$101,Assumptions!$E$102,Assumptions!$E$103)</f>
        <v/>
      </c>
      <c r="Y87" s="14">
        <f>CHOOSE(Y$3,Assumptions!$E$101,Assumptions!$E$102,Assumptions!$E$103)</f>
        <v/>
      </c>
      <c r="Z87" s="14">
        <f>CHOOSE(Z$3,Assumptions!$E$101,Assumptions!$E$102,Assumptions!$E$103)</f>
        <v/>
      </c>
      <c r="AA87" s="14">
        <f>CHOOSE(AA$3,Assumptions!$E$101,Assumptions!$E$102,Assumptions!$E$103)</f>
        <v/>
      </c>
      <c r="AB87" s="14">
        <f>CHOOSE(AB$3,Assumptions!$E$101,Assumptions!$E$102,Assumptions!$E$103)</f>
        <v/>
      </c>
      <c r="AC87" s="14">
        <f>CHOOSE(AC$3,Assumptions!$E$101,Assumptions!$E$102,Assumptions!$E$103)</f>
        <v/>
      </c>
      <c r="AD87" s="14">
        <f>CHOOSE(AD$3,Assumptions!$E$101,Assumptions!$E$102,Assumptions!$E$103)</f>
        <v/>
      </c>
      <c r="AE87" s="14">
        <f>CHOOSE(AE$3,Assumptions!$E$101,Assumptions!$E$102,Assumptions!$E$103)</f>
        <v/>
      </c>
      <c r="AF87" s="14">
        <f>CHOOSE(AF$3,Assumptions!$E$101,Assumptions!$E$102,Assumptions!$E$103)</f>
        <v/>
      </c>
      <c r="AG87" s="14">
        <f>CHOOSE(AG$3,Assumptions!$E$101,Assumptions!$E$102,Assumptions!$E$103)</f>
        <v/>
      </c>
      <c r="AH87" s="14">
        <f>CHOOSE(AH$3,Assumptions!$E$101,Assumptions!$E$102,Assumptions!$E$103)</f>
        <v/>
      </c>
      <c r="AI87" s="14">
        <f>CHOOSE(AI$3,Assumptions!$E$101,Assumptions!$E$102,Assumptions!$E$103)</f>
        <v/>
      </c>
      <c r="AJ87" s="14">
        <f>CHOOSE(AJ$3,Assumptions!$E$101,Assumptions!$E$102,Assumptions!$E$103)</f>
        <v/>
      </c>
      <c r="AK87" s="14">
        <f>CHOOSE(AK$3,Assumptions!$E$101,Assumptions!$E$102,Assumptions!$E$103)</f>
        <v/>
      </c>
      <c r="AL87" s="14">
        <f>CHOOSE(AL$3,Assumptions!$E$101,Assumptions!$E$102,Assumptions!$E$103)</f>
        <v/>
      </c>
    </row>
    <row r="88">
      <c r="A88" s="6" t="inlineStr">
        <is>
          <t>Apple / Google developer fees</t>
        </is>
      </c>
      <c r="B88" s="2" t="inlineStr">
        <is>
          <t>opex_stores</t>
        </is>
      </c>
      <c r="C88" s="14">
        <f>(IF((MOD((C$2-1),12)=0),Assumptions!$E$104,0)+IF((C$2=1),Assumptions!$E$105,0))</f>
        <v/>
      </c>
      <c r="D88" s="14">
        <f>(IF((MOD((D$2-1),12)=0),Assumptions!$E$104,0)+IF((D$2=1),Assumptions!$E$105,0))</f>
        <v/>
      </c>
      <c r="E88" s="14">
        <f>(IF((MOD((E$2-1),12)=0),Assumptions!$E$104,0)+IF((E$2=1),Assumptions!$E$105,0))</f>
        <v/>
      </c>
      <c r="F88" s="14">
        <f>(IF((MOD((F$2-1),12)=0),Assumptions!$E$104,0)+IF((F$2=1),Assumptions!$E$105,0))</f>
        <v/>
      </c>
      <c r="G88" s="14">
        <f>(IF((MOD((G$2-1),12)=0),Assumptions!$E$104,0)+IF((G$2=1),Assumptions!$E$105,0))</f>
        <v/>
      </c>
      <c r="H88" s="14">
        <f>(IF((MOD((H$2-1),12)=0),Assumptions!$E$104,0)+IF((H$2=1),Assumptions!$E$105,0))</f>
        <v/>
      </c>
      <c r="I88" s="14">
        <f>(IF((MOD((I$2-1),12)=0),Assumptions!$E$104,0)+IF((I$2=1),Assumptions!$E$105,0))</f>
        <v/>
      </c>
      <c r="J88" s="14">
        <f>(IF((MOD((J$2-1),12)=0),Assumptions!$E$104,0)+IF((J$2=1),Assumptions!$E$105,0))</f>
        <v/>
      </c>
      <c r="K88" s="14">
        <f>(IF((MOD((K$2-1),12)=0),Assumptions!$E$104,0)+IF((K$2=1),Assumptions!$E$105,0))</f>
        <v/>
      </c>
      <c r="L88" s="14">
        <f>(IF((MOD((L$2-1),12)=0),Assumptions!$E$104,0)+IF((L$2=1),Assumptions!$E$105,0))</f>
        <v/>
      </c>
      <c r="M88" s="14">
        <f>(IF((MOD((M$2-1),12)=0),Assumptions!$E$104,0)+IF((M$2=1),Assumptions!$E$105,0))</f>
        <v/>
      </c>
      <c r="N88" s="14">
        <f>(IF((MOD((N$2-1),12)=0),Assumptions!$E$104,0)+IF((N$2=1),Assumptions!$E$105,0))</f>
        <v/>
      </c>
      <c r="O88" s="14">
        <f>(IF((MOD((O$2-1),12)=0),Assumptions!$E$104,0)+IF((O$2=1),Assumptions!$E$105,0))</f>
        <v/>
      </c>
      <c r="P88" s="14">
        <f>(IF((MOD((P$2-1),12)=0),Assumptions!$E$104,0)+IF((P$2=1),Assumptions!$E$105,0))</f>
        <v/>
      </c>
      <c r="Q88" s="14">
        <f>(IF((MOD((Q$2-1),12)=0),Assumptions!$E$104,0)+IF((Q$2=1),Assumptions!$E$105,0))</f>
        <v/>
      </c>
      <c r="R88" s="14">
        <f>(IF((MOD((R$2-1),12)=0),Assumptions!$E$104,0)+IF((R$2=1),Assumptions!$E$105,0))</f>
        <v/>
      </c>
      <c r="S88" s="14">
        <f>(IF((MOD((S$2-1),12)=0),Assumptions!$E$104,0)+IF((S$2=1),Assumptions!$E$105,0))</f>
        <v/>
      </c>
      <c r="T88" s="14">
        <f>(IF((MOD((T$2-1),12)=0),Assumptions!$E$104,0)+IF((T$2=1),Assumptions!$E$105,0))</f>
        <v/>
      </c>
      <c r="U88" s="14">
        <f>(IF((MOD((U$2-1),12)=0),Assumptions!$E$104,0)+IF((U$2=1),Assumptions!$E$105,0))</f>
        <v/>
      </c>
      <c r="V88" s="14">
        <f>(IF((MOD((V$2-1),12)=0),Assumptions!$E$104,0)+IF((V$2=1),Assumptions!$E$105,0))</f>
        <v/>
      </c>
      <c r="W88" s="14">
        <f>(IF((MOD((W$2-1),12)=0),Assumptions!$E$104,0)+IF((W$2=1),Assumptions!$E$105,0))</f>
        <v/>
      </c>
      <c r="X88" s="14">
        <f>(IF((MOD((X$2-1),12)=0),Assumptions!$E$104,0)+IF((X$2=1),Assumptions!$E$105,0))</f>
        <v/>
      </c>
      <c r="Y88" s="14">
        <f>(IF((MOD((Y$2-1),12)=0),Assumptions!$E$104,0)+IF((Y$2=1),Assumptions!$E$105,0))</f>
        <v/>
      </c>
      <c r="Z88" s="14">
        <f>(IF((MOD((Z$2-1),12)=0),Assumptions!$E$104,0)+IF((Z$2=1),Assumptions!$E$105,0))</f>
        <v/>
      </c>
      <c r="AA88" s="14">
        <f>(IF((MOD((AA$2-1),12)=0),Assumptions!$E$104,0)+IF((AA$2=1),Assumptions!$E$105,0))</f>
        <v/>
      </c>
      <c r="AB88" s="14">
        <f>(IF((MOD((AB$2-1),12)=0),Assumptions!$E$104,0)+IF((AB$2=1),Assumptions!$E$105,0))</f>
        <v/>
      </c>
      <c r="AC88" s="14">
        <f>(IF((MOD((AC$2-1),12)=0),Assumptions!$E$104,0)+IF((AC$2=1),Assumptions!$E$105,0))</f>
        <v/>
      </c>
      <c r="AD88" s="14">
        <f>(IF((MOD((AD$2-1),12)=0),Assumptions!$E$104,0)+IF((AD$2=1),Assumptions!$E$105,0))</f>
        <v/>
      </c>
      <c r="AE88" s="14">
        <f>(IF((MOD((AE$2-1),12)=0),Assumptions!$E$104,0)+IF((AE$2=1),Assumptions!$E$105,0))</f>
        <v/>
      </c>
      <c r="AF88" s="14">
        <f>(IF((MOD((AF$2-1),12)=0),Assumptions!$E$104,0)+IF((AF$2=1),Assumptions!$E$105,0))</f>
        <v/>
      </c>
      <c r="AG88" s="14">
        <f>(IF((MOD((AG$2-1),12)=0),Assumptions!$E$104,0)+IF((AG$2=1),Assumptions!$E$105,0))</f>
        <v/>
      </c>
      <c r="AH88" s="14">
        <f>(IF((MOD((AH$2-1),12)=0),Assumptions!$E$104,0)+IF((AH$2=1),Assumptions!$E$105,0))</f>
        <v/>
      </c>
      <c r="AI88" s="14">
        <f>(IF((MOD((AI$2-1),12)=0),Assumptions!$E$104,0)+IF((AI$2=1),Assumptions!$E$105,0))</f>
        <v/>
      </c>
      <c r="AJ88" s="14">
        <f>(IF((MOD((AJ$2-1),12)=0),Assumptions!$E$104,0)+IF((AJ$2=1),Assumptions!$E$105,0))</f>
        <v/>
      </c>
      <c r="AK88" s="14">
        <f>(IF((MOD((AK$2-1),12)=0),Assumptions!$E$104,0)+IF((AK$2=1),Assumptions!$E$105,0))</f>
        <v/>
      </c>
      <c r="AL88" s="14">
        <f>(IF((MOD((AL$2-1),12)=0),Assumptions!$E$104,0)+IF((AL$2=1),Assumptions!$E$105,0))</f>
        <v/>
      </c>
    </row>
    <row r="89">
      <c r="A89" s="6" t="inlineStr">
        <is>
          <t>Insurance</t>
        </is>
      </c>
      <c r="B89" s="2" t="inlineStr">
        <is>
          <t>opex_insurance</t>
        </is>
      </c>
      <c r="C89" s="14">
        <f>Assumptions!$E$106</f>
        <v/>
      </c>
      <c r="D89" s="14">
        <f>Assumptions!$E$106</f>
        <v/>
      </c>
      <c r="E89" s="14">
        <f>Assumptions!$E$106</f>
        <v/>
      </c>
      <c r="F89" s="14">
        <f>Assumptions!$E$106</f>
        <v/>
      </c>
      <c r="G89" s="14">
        <f>Assumptions!$E$106</f>
        <v/>
      </c>
      <c r="H89" s="14">
        <f>Assumptions!$E$106</f>
        <v/>
      </c>
      <c r="I89" s="14">
        <f>Assumptions!$E$106</f>
        <v/>
      </c>
      <c r="J89" s="14">
        <f>Assumptions!$E$106</f>
        <v/>
      </c>
      <c r="K89" s="14">
        <f>Assumptions!$E$106</f>
        <v/>
      </c>
      <c r="L89" s="14">
        <f>Assumptions!$E$106</f>
        <v/>
      </c>
      <c r="M89" s="14">
        <f>Assumptions!$E$106</f>
        <v/>
      </c>
      <c r="N89" s="14">
        <f>Assumptions!$E$106</f>
        <v/>
      </c>
      <c r="O89" s="14">
        <f>Assumptions!$E$106</f>
        <v/>
      </c>
      <c r="P89" s="14">
        <f>Assumptions!$E$106</f>
        <v/>
      </c>
      <c r="Q89" s="14">
        <f>Assumptions!$E$106</f>
        <v/>
      </c>
      <c r="R89" s="14">
        <f>Assumptions!$E$106</f>
        <v/>
      </c>
      <c r="S89" s="14">
        <f>Assumptions!$E$106</f>
        <v/>
      </c>
      <c r="T89" s="14">
        <f>Assumptions!$E$106</f>
        <v/>
      </c>
      <c r="U89" s="14">
        <f>Assumptions!$E$106</f>
        <v/>
      </c>
      <c r="V89" s="14">
        <f>Assumptions!$E$106</f>
        <v/>
      </c>
      <c r="W89" s="14">
        <f>Assumptions!$E$106</f>
        <v/>
      </c>
      <c r="X89" s="14">
        <f>Assumptions!$E$106</f>
        <v/>
      </c>
      <c r="Y89" s="14">
        <f>Assumptions!$E$106</f>
        <v/>
      </c>
      <c r="Z89" s="14">
        <f>Assumptions!$E$106</f>
        <v/>
      </c>
      <c r="AA89" s="14">
        <f>Assumptions!$E$106</f>
        <v/>
      </c>
      <c r="AB89" s="14">
        <f>Assumptions!$E$106</f>
        <v/>
      </c>
      <c r="AC89" s="14">
        <f>Assumptions!$E$106</f>
        <v/>
      </c>
      <c r="AD89" s="14">
        <f>Assumptions!$E$106</f>
        <v/>
      </c>
      <c r="AE89" s="14">
        <f>Assumptions!$E$106</f>
        <v/>
      </c>
      <c r="AF89" s="14">
        <f>Assumptions!$E$106</f>
        <v/>
      </c>
      <c r="AG89" s="14">
        <f>Assumptions!$E$106</f>
        <v/>
      </c>
      <c r="AH89" s="14">
        <f>Assumptions!$E$106</f>
        <v/>
      </c>
      <c r="AI89" s="14">
        <f>Assumptions!$E$106</f>
        <v/>
      </c>
      <c r="AJ89" s="14">
        <f>Assumptions!$E$106</f>
        <v/>
      </c>
      <c r="AK89" s="14">
        <f>Assumptions!$E$106</f>
        <v/>
      </c>
      <c r="AL89" s="14">
        <f>Assumptions!$E$106</f>
        <v/>
      </c>
    </row>
    <row r="90">
      <c r="A90" s="21" t="inlineStr">
        <is>
          <t>Total operating expenses</t>
        </is>
      </c>
      <c r="B90" s="2" t="inlineStr">
        <is>
          <t>opex_total</t>
        </is>
      </c>
      <c r="C90" s="23">
        <f>((((((((C81+C82)+C83)+C84)+C85)+C86)+C87)+C88)+C89)</f>
        <v/>
      </c>
      <c r="D90" s="23">
        <f>((((((((D81+D82)+D83)+D84)+D85)+D86)+D87)+D88)+D89)</f>
        <v/>
      </c>
      <c r="E90" s="23">
        <f>((((((((E81+E82)+E83)+E84)+E85)+E86)+E87)+E88)+E89)</f>
        <v/>
      </c>
      <c r="F90" s="23">
        <f>((((((((F81+F82)+F83)+F84)+F85)+F86)+F87)+F88)+F89)</f>
        <v/>
      </c>
      <c r="G90" s="23">
        <f>((((((((G81+G82)+G83)+G84)+G85)+G86)+G87)+G88)+G89)</f>
        <v/>
      </c>
      <c r="H90" s="23">
        <f>((((((((H81+H82)+H83)+H84)+H85)+H86)+H87)+H88)+H89)</f>
        <v/>
      </c>
      <c r="I90" s="23">
        <f>((((((((I81+I82)+I83)+I84)+I85)+I86)+I87)+I88)+I89)</f>
        <v/>
      </c>
      <c r="J90" s="23">
        <f>((((((((J81+J82)+J83)+J84)+J85)+J86)+J87)+J88)+J89)</f>
        <v/>
      </c>
      <c r="K90" s="23">
        <f>((((((((K81+K82)+K83)+K84)+K85)+K86)+K87)+K88)+K89)</f>
        <v/>
      </c>
      <c r="L90" s="23">
        <f>((((((((L81+L82)+L83)+L84)+L85)+L86)+L87)+L88)+L89)</f>
        <v/>
      </c>
      <c r="M90" s="23">
        <f>((((((((M81+M82)+M83)+M84)+M85)+M86)+M87)+M88)+M89)</f>
        <v/>
      </c>
      <c r="N90" s="23">
        <f>((((((((N81+N82)+N83)+N84)+N85)+N86)+N87)+N88)+N89)</f>
        <v/>
      </c>
      <c r="O90" s="23">
        <f>((((((((O81+O82)+O83)+O84)+O85)+O86)+O87)+O88)+O89)</f>
        <v/>
      </c>
      <c r="P90" s="23">
        <f>((((((((P81+P82)+P83)+P84)+P85)+P86)+P87)+P88)+P89)</f>
        <v/>
      </c>
      <c r="Q90" s="23">
        <f>((((((((Q81+Q82)+Q83)+Q84)+Q85)+Q86)+Q87)+Q88)+Q89)</f>
        <v/>
      </c>
      <c r="R90" s="23">
        <f>((((((((R81+R82)+R83)+R84)+R85)+R86)+R87)+R88)+R89)</f>
        <v/>
      </c>
      <c r="S90" s="23">
        <f>((((((((S81+S82)+S83)+S84)+S85)+S86)+S87)+S88)+S89)</f>
        <v/>
      </c>
      <c r="T90" s="23">
        <f>((((((((T81+T82)+T83)+T84)+T85)+T86)+T87)+T88)+T89)</f>
        <v/>
      </c>
      <c r="U90" s="23">
        <f>((((((((U81+U82)+U83)+U84)+U85)+U86)+U87)+U88)+U89)</f>
        <v/>
      </c>
      <c r="V90" s="23">
        <f>((((((((V81+V82)+V83)+V84)+V85)+V86)+V87)+V88)+V89)</f>
        <v/>
      </c>
      <c r="W90" s="23">
        <f>((((((((W81+W82)+W83)+W84)+W85)+W86)+W87)+W88)+W89)</f>
        <v/>
      </c>
      <c r="X90" s="23">
        <f>((((((((X81+X82)+X83)+X84)+X85)+X86)+X87)+X88)+X89)</f>
        <v/>
      </c>
      <c r="Y90" s="23">
        <f>((((((((Y81+Y82)+Y83)+Y84)+Y85)+Y86)+Y87)+Y88)+Y89)</f>
        <v/>
      </c>
      <c r="Z90" s="23">
        <f>((((((((Z81+Z82)+Z83)+Z84)+Z85)+Z86)+Z87)+Z88)+Z89)</f>
        <v/>
      </c>
      <c r="AA90" s="23">
        <f>((((((((AA81+AA82)+AA83)+AA84)+AA85)+AA86)+AA87)+AA88)+AA89)</f>
        <v/>
      </c>
      <c r="AB90" s="23">
        <f>((((((((AB81+AB82)+AB83)+AB84)+AB85)+AB86)+AB87)+AB88)+AB89)</f>
        <v/>
      </c>
      <c r="AC90" s="23">
        <f>((((((((AC81+AC82)+AC83)+AC84)+AC85)+AC86)+AC87)+AC88)+AC89)</f>
        <v/>
      </c>
      <c r="AD90" s="23">
        <f>((((((((AD81+AD82)+AD83)+AD84)+AD85)+AD86)+AD87)+AD88)+AD89)</f>
        <v/>
      </c>
      <c r="AE90" s="23">
        <f>((((((((AE81+AE82)+AE83)+AE84)+AE85)+AE86)+AE87)+AE88)+AE89)</f>
        <v/>
      </c>
      <c r="AF90" s="23">
        <f>((((((((AF81+AF82)+AF83)+AF84)+AF85)+AF86)+AF87)+AF88)+AF89)</f>
        <v/>
      </c>
      <c r="AG90" s="23">
        <f>((((((((AG81+AG82)+AG83)+AG84)+AG85)+AG86)+AG87)+AG88)+AG89)</f>
        <v/>
      </c>
      <c r="AH90" s="23">
        <f>((((((((AH81+AH82)+AH83)+AH84)+AH85)+AH86)+AH87)+AH88)+AH89)</f>
        <v/>
      </c>
      <c r="AI90" s="23">
        <f>((((((((AI81+AI82)+AI83)+AI84)+AI85)+AI86)+AI87)+AI88)+AI89)</f>
        <v/>
      </c>
      <c r="AJ90" s="23">
        <f>((((((((AJ81+AJ82)+AJ83)+AJ84)+AJ85)+AJ86)+AJ87)+AJ88)+AJ89)</f>
        <v/>
      </c>
      <c r="AK90" s="23">
        <f>((((((((AK81+AK82)+AK83)+AK84)+AK85)+AK86)+AK87)+AK88)+AK89)</f>
        <v/>
      </c>
      <c r="AL90" s="23">
        <f>((((((((AL81+AL82)+AL83)+AL84)+AL85)+AL86)+AL87)+AL88)+AL89)</f>
        <v/>
      </c>
    </row>
    <row r="91">
      <c r="A91" s="21" t="inlineStr">
        <is>
          <t>OPERATING INCOME (EBIT)</t>
        </is>
      </c>
      <c r="B91" s="2" t="inlineStr">
        <is>
          <t>ebit</t>
        </is>
      </c>
      <c r="C91" s="23">
        <f>(C77-C90)</f>
        <v/>
      </c>
      <c r="D91" s="23">
        <f>(D77-D90)</f>
        <v/>
      </c>
      <c r="E91" s="23">
        <f>(E77-E90)</f>
        <v/>
      </c>
      <c r="F91" s="23">
        <f>(F77-F90)</f>
        <v/>
      </c>
      <c r="G91" s="23">
        <f>(G77-G90)</f>
        <v/>
      </c>
      <c r="H91" s="23">
        <f>(H77-H90)</f>
        <v/>
      </c>
      <c r="I91" s="23">
        <f>(I77-I90)</f>
        <v/>
      </c>
      <c r="J91" s="23">
        <f>(J77-J90)</f>
        <v/>
      </c>
      <c r="K91" s="23">
        <f>(K77-K90)</f>
        <v/>
      </c>
      <c r="L91" s="23">
        <f>(L77-L90)</f>
        <v/>
      </c>
      <c r="M91" s="23">
        <f>(M77-M90)</f>
        <v/>
      </c>
      <c r="N91" s="23">
        <f>(N77-N90)</f>
        <v/>
      </c>
      <c r="O91" s="23">
        <f>(O77-O90)</f>
        <v/>
      </c>
      <c r="P91" s="23">
        <f>(P77-P90)</f>
        <v/>
      </c>
      <c r="Q91" s="23">
        <f>(Q77-Q90)</f>
        <v/>
      </c>
      <c r="R91" s="23">
        <f>(R77-R90)</f>
        <v/>
      </c>
      <c r="S91" s="23">
        <f>(S77-S90)</f>
        <v/>
      </c>
      <c r="T91" s="23">
        <f>(T77-T90)</f>
        <v/>
      </c>
      <c r="U91" s="23">
        <f>(U77-U90)</f>
        <v/>
      </c>
      <c r="V91" s="23">
        <f>(V77-V90)</f>
        <v/>
      </c>
      <c r="W91" s="23">
        <f>(W77-W90)</f>
        <v/>
      </c>
      <c r="X91" s="23">
        <f>(X77-X90)</f>
        <v/>
      </c>
      <c r="Y91" s="23">
        <f>(Y77-Y90)</f>
        <v/>
      </c>
      <c r="Z91" s="23">
        <f>(Z77-Z90)</f>
        <v/>
      </c>
      <c r="AA91" s="23">
        <f>(AA77-AA90)</f>
        <v/>
      </c>
      <c r="AB91" s="23">
        <f>(AB77-AB90)</f>
        <v/>
      </c>
      <c r="AC91" s="23">
        <f>(AC77-AC90)</f>
        <v/>
      </c>
      <c r="AD91" s="23">
        <f>(AD77-AD90)</f>
        <v/>
      </c>
      <c r="AE91" s="23">
        <f>(AE77-AE90)</f>
        <v/>
      </c>
      <c r="AF91" s="23">
        <f>(AF77-AF90)</f>
        <v/>
      </c>
      <c r="AG91" s="23">
        <f>(AG77-AG90)</f>
        <v/>
      </c>
      <c r="AH91" s="23">
        <f>(AH77-AH90)</f>
        <v/>
      </c>
      <c r="AI91" s="23">
        <f>(AI77-AI90)</f>
        <v/>
      </c>
      <c r="AJ91" s="23">
        <f>(AJ77-AJ90)</f>
        <v/>
      </c>
      <c r="AK91" s="23">
        <f>(AK77-AK90)</f>
        <v/>
      </c>
      <c r="AL91" s="23">
        <f>(AL77-AL90)</f>
        <v/>
      </c>
    </row>
    <row r="92">
      <c r="A92" s="6" t="inlineStr">
        <is>
          <t>Operating margin</t>
        </is>
      </c>
      <c r="B92" s="2" t="inlineStr">
        <is>
          <t>ebit_margin</t>
        </is>
      </c>
      <c r="C92" s="16">
        <f>IF(C67=0,0,C91/C67)</f>
        <v/>
      </c>
      <c r="D92" s="16">
        <f>IF(D67=0,0,D91/D67)</f>
        <v/>
      </c>
      <c r="E92" s="16">
        <f>IF(E67=0,0,E91/E67)</f>
        <v/>
      </c>
      <c r="F92" s="16">
        <f>IF(F67=0,0,F91/F67)</f>
        <v/>
      </c>
      <c r="G92" s="16">
        <f>IF(G67=0,0,G91/G67)</f>
        <v/>
      </c>
      <c r="H92" s="16">
        <f>IF(H67=0,0,H91/H67)</f>
        <v/>
      </c>
      <c r="I92" s="16">
        <f>IF(I67=0,0,I91/I67)</f>
        <v/>
      </c>
      <c r="J92" s="16">
        <f>IF(J67=0,0,J91/J67)</f>
        <v/>
      </c>
      <c r="K92" s="16">
        <f>IF(K67=0,0,K91/K67)</f>
        <v/>
      </c>
      <c r="L92" s="16">
        <f>IF(L67=0,0,L91/L67)</f>
        <v/>
      </c>
      <c r="M92" s="16">
        <f>IF(M67=0,0,M91/M67)</f>
        <v/>
      </c>
      <c r="N92" s="16">
        <f>IF(N67=0,0,N91/N67)</f>
        <v/>
      </c>
      <c r="O92" s="16">
        <f>IF(O67=0,0,O91/O67)</f>
        <v/>
      </c>
      <c r="P92" s="16">
        <f>IF(P67=0,0,P91/P67)</f>
        <v/>
      </c>
      <c r="Q92" s="16">
        <f>IF(Q67=0,0,Q91/Q67)</f>
        <v/>
      </c>
      <c r="R92" s="16">
        <f>IF(R67=0,0,R91/R67)</f>
        <v/>
      </c>
      <c r="S92" s="16">
        <f>IF(S67=0,0,S91/S67)</f>
        <v/>
      </c>
      <c r="T92" s="16">
        <f>IF(T67=0,0,T91/T67)</f>
        <v/>
      </c>
      <c r="U92" s="16">
        <f>IF(U67=0,0,U91/U67)</f>
        <v/>
      </c>
      <c r="V92" s="16">
        <f>IF(V67=0,0,V91/V67)</f>
        <v/>
      </c>
      <c r="W92" s="16">
        <f>IF(W67=0,0,W91/W67)</f>
        <v/>
      </c>
      <c r="X92" s="16">
        <f>IF(X67=0,0,X91/X67)</f>
        <v/>
      </c>
      <c r="Y92" s="16">
        <f>IF(Y67=0,0,Y91/Y67)</f>
        <v/>
      </c>
      <c r="Z92" s="16">
        <f>IF(Z67=0,0,Z91/Z67)</f>
        <v/>
      </c>
      <c r="AA92" s="16">
        <f>IF(AA67=0,0,AA91/AA67)</f>
        <v/>
      </c>
      <c r="AB92" s="16">
        <f>IF(AB67=0,0,AB91/AB67)</f>
        <v/>
      </c>
      <c r="AC92" s="16">
        <f>IF(AC67=0,0,AC91/AC67)</f>
        <v/>
      </c>
      <c r="AD92" s="16">
        <f>IF(AD67=0,0,AD91/AD67)</f>
        <v/>
      </c>
      <c r="AE92" s="16">
        <f>IF(AE67=0,0,AE91/AE67)</f>
        <v/>
      </c>
      <c r="AF92" s="16">
        <f>IF(AF67=0,0,AF91/AF67)</f>
        <v/>
      </c>
      <c r="AG92" s="16">
        <f>IF(AG67=0,0,AG91/AG67)</f>
        <v/>
      </c>
      <c r="AH92" s="16">
        <f>IF(AH67=0,0,AH91/AH67)</f>
        <v/>
      </c>
      <c r="AI92" s="16">
        <f>IF(AI67=0,0,AI91/AI67)</f>
        <v/>
      </c>
      <c r="AJ92" s="16">
        <f>IF(AJ67=0,0,AJ91/AJ67)</f>
        <v/>
      </c>
      <c r="AK92" s="16">
        <f>IF(AK67=0,0,AK91/AK67)</f>
        <v/>
      </c>
      <c r="AL92" s="16">
        <f>IF(AL67=0,0,AL91/AL67)</f>
        <v/>
      </c>
    </row>
    <row r="94">
      <c r="A94" s="4" t="inlineStr">
        <is>
          <t>CASH</t>
        </is>
      </c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</row>
    <row r="95">
      <c r="A95" s="6" t="inlineStr">
        <is>
          <t>In-app billings net of refunds &amp; store fee</t>
        </is>
      </c>
      <c r="B95" s="2" t="inlineStr">
        <is>
          <t>bill_net</t>
        </is>
      </c>
      <c r="C95" s="14">
        <f>(C30*Assumptions!$E$112)</f>
        <v/>
      </c>
      <c r="D95" s="14">
        <f>(D30*Assumptions!$E$112)</f>
        <v/>
      </c>
      <c r="E95" s="14">
        <f>(E30*Assumptions!$E$112)</f>
        <v/>
      </c>
      <c r="F95" s="14">
        <f>(F30*Assumptions!$E$112)</f>
        <v/>
      </c>
      <c r="G95" s="14">
        <f>(G30*Assumptions!$E$112)</f>
        <v/>
      </c>
      <c r="H95" s="14">
        <f>(H30*Assumptions!$E$112)</f>
        <v/>
      </c>
      <c r="I95" s="14">
        <f>(I30*Assumptions!$E$112)</f>
        <v/>
      </c>
      <c r="J95" s="14">
        <f>(J30*Assumptions!$E$112)</f>
        <v/>
      </c>
      <c r="K95" s="14">
        <f>(K30*Assumptions!$E$112)</f>
        <v/>
      </c>
      <c r="L95" s="14">
        <f>(L30*Assumptions!$E$112)</f>
        <v/>
      </c>
      <c r="M95" s="14">
        <f>(M30*Assumptions!$E$112)</f>
        <v/>
      </c>
      <c r="N95" s="14">
        <f>(N30*Assumptions!$E$112)</f>
        <v/>
      </c>
      <c r="O95" s="14">
        <f>(O30*Assumptions!$E$112)</f>
        <v/>
      </c>
      <c r="P95" s="14">
        <f>(P30*Assumptions!$E$112)</f>
        <v/>
      </c>
      <c r="Q95" s="14">
        <f>(Q30*Assumptions!$E$112)</f>
        <v/>
      </c>
      <c r="R95" s="14">
        <f>(R30*Assumptions!$E$112)</f>
        <v/>
      </c>
      <c r="S95" s="14">
        <f>(S30*Assumptions!$E$112)</f>
        <v/>
      </c>
      <c r="T95" s="14">
        <f>(T30*Assumptions!$E$112)</f>
        <v/>
      </c>
      <c r="U95" s="14">
        <f>(U30*Assumptions!$E$112)</f>
        <v/>
      </c>
      <c r="V95" s="14">
        <f>(V30*Assumptions!$E$112)</f>
        <v/>
      </c>
      <c r="W95" s="14">
        <f>(W30*Assumptions!$E$112)</f>
        <v/>
      </c>
      <c r="X95" s="14">
        <f>(X30*Assumptions!$E$112)</f>
        <v/>
      </c>
      <c r="Y95" s="14">
        <f>(Y30*Assumptions!$E$112)</f>
        <v/>
      </c>
      <c r="Z95" s="14">
        <f>(Z30*Assumptions!$E$112)</f>
        <v/>
      </c>
      <c r="AA95" s="14">
        <f>(AA30*Assumptions!$E$112)</f>
        <v/>
      </c>
      <c r="AB95" s="14">
        <f>(AB30*Assumptions!$E$112)</f>
        <v/>
      </c>
      <c r="AC95" s="14">
        <f>(AC30*Assumptions!$E$112)</f>
        <v/>
      </c>
      <c r="AD95" s="14">
        <f>(AD30*Assumptions!$E$112)</f>
        <v/>
      </c>
      <c r="AE95" s="14">
        <f>(AE30*Assumptions!$E$112)</f>
        <v/>
      </c>
      <c r="AF95" s="14">
        <f>(AF30*Assumptions!$E$112)</f>
        <v/>
      </c>
      <c r="AG95" s="14">
        <f>(AG30*Assumptions!$E$112)</f>
        <v/>
      </c>
      <c r="AH95" s="14">
        <f>(AH30*Assumptions!$E$112)</f>
        <v/>
      </c>
      <c r="AI95" s="14">
        <f>(AI30*Assumptions!$E$112)</f>
        <v/>
      </c>
      <c r="AJ95" s="14">
        <f>(AJ30*Assumptions!$E$112)</f>
        <v/>
      </c>
      <c r="AK95" s="14">
        <f>(AK30*Assumptions!$E$112)</f>
        <v/>
      </c>
      <c r="AL95" s="14">
        <f>(AL30*Assumptions!$E$112)</f>
        <v/>
      </c>
    </row>
    <row r="96">
      <c r="A96" s="6" t="inlineStr">
        <is>
          <t>Change in deferred revenue (annual plans paid upfront)</t>
        </is>
      </c>
      <c r="B96" s="2" t="inlineStr">
        <is>
          <t>deferred_chg</t>
        </is>
      </c>
      <c r="C96" s="14">
        <f>(C95-C60)</f>
        <v/>
      </c>
      <c r="D96" s="14">
        <f>(D95-D60)</f>
        <v/>
      </c>
      <c r="E96" s="14">
        <f>(E95-E60)</f>
        <v/>
      </c>
      <c r="F96" s="14">
        <f>(F95-F60)</f>
        <v/>
      </c>
      <c r="G96" s="14">
        <f>(G95-G60)</f>
        <v/>
      </c>
      <c r="H96" s="14">
        <f>(H95-H60)</f>
        <v/>
      </c>
      <c r="I96" s="14">
        <f>(I95-I60)</f>
        <v/>
      </c>
      <c r="J96" s="14">
        <f>(J95-J60)</f>
        <v/>
      </c>
      <c r="K96" s="14">
        <f>(K95-K60)</f>
        <v/>
      </c>
      <c r="L96" s="14">
        <f>(L95-L60)</f>
        <v/>
      </c>
      <c r="M96" s="14">
        <f>(M95-M60)</f>
        <v/>
      </c>
      <c r="N96" s="14">
        <f>(N95-N60)</f>
        <v/>
      </c>
      <c r="O96" s="14">
        <f>(O95-O60)</f>
        <v/>
      </c>
      <c r="P96" s="14">
        <f>(P95-P60)</f>
        <v/>
      </c>
      <c r="Q96" s="14">
        <f>(Q95-Q60)</f>
        <v/>
      </c>
      <c r="R96" s="14">
        <f>(R95-R60)</f>
        <v/>
      </c>
      <c r="S96" s="14">
        <f>(S95-S60)</f>
        <v/>
      </c>
      <c r="T96" s="14">
        <f>(T95-T60)</f>
        <v/>
      </c>
      <c r="U96" s="14">
        <f>(U95-U60)</f>
        <v/>
      </c>
      <c r="V96" s="14">
        <f>(V95-V60)</f>
        <v/>
      </c>
      <c r="W96" s="14">
        <f>(W95-W60)</f>
        <v/>
      </c>
      <c r="X96" s="14">
        <f>(X95-X60)</f>
        <v/>
      </c>
      <c r="Y96" s="14">
        <f>(Y95-Y60)</f>
        <v/>
      </c>
      <c r="Z96" s="14">
        <f>(Z95-Z60)</f>
        <v/>
      </c>
      <c r="AA96" s="14">
        <f>(AA95-AA60)</f>
        <v/>
      </c>
      <c r="AB96" s="14">
        <f>(AB95-AB60)</f>
        <v/>
      </c>
      <c r="AC96" s="14">
        <f>(AC95-AC60)</f>
        <v/>
      </c>
      <c r="AD96" s="14">
        <f>(AD95-AD60)</f>
        <v/>
      </c>
      <c r="AE96" s="14">
        <f>(AE95-AE60)</f>
        <v/>
      </c>
      <c r="AF96" s="14">
        <f>(AF95-AF60)</f>
        <v/>
      </c>
      <c r="AG96" s="14">
        <f>(AG95-AG60)</f>
        <v/>
      </c>
      <c r="AH96" s="14">
        <f>(AH95-AH60)</f>
        <v/>
      </c>
      <c r="AI96" s="14">
        <f>(AI95-AI60)</f>
        <v/>
      </c>
      <c r="AJ96" s="14">
        <f>(AJ95-AJ60)</f>
        <v/>
      </c>
      <c r="AK96" s="14">
        <f>(AK95-AK60)</f>
        <v/>
      </c>
      <c r="AL96" s="14">
        <f>(AL95-AL60)</f>
        <v/>
      </c>
    </row>
    <row r="97">
      <c r="A97" s="21" t="inlineStr">
        <is>
          <t>Operating cash flow</t>
        </is>
      </c>
      <c r="B97" s="2" t="inlineStr">
        <is>
          <t>cash_flow</t>
        </is>
      </c>
      <c r="C97" s="23">
        <f>(C91+C96)</f>
        <v/>
      </c>
      <c r="D97" s="23">
        <f>(D91+D96)</f>
        <v/>
      </c>
      <c r="E97" s="23">
        <f>(E91+E96)</f>
        <v/>
      </c>
      <c r="F97" s="23">
        <f>(F91+F96)</f>
        <v/>
      </c>
      <c r="G97" s="23">
        <f>(G91+G96)</f>
        <v/>
      </c>
      <c r="H97" s="23">
        <f>(H91+H96)</f>
        <v/>
      </c>
      <c r="I97" s="23">
        <f>(I91+I96)</f>
        <v/>
      </c>
      <c r="J97" s="23">
        <f>(J91+J96)</f>
        <v/>
      </c>
      <c r="K97" s="23">
        <f>(K91+K96)</f>
        <v/>
      </c>
      <c r="L97" s="23">
        <f>(L91+L96)</f>
        <v/>
      </c>
      <c r="M97" s="23">
        <f>(M91+M96)</f>
        <v/>
      </c>
      <c r="N97" s="23">
        <f>(N91+N96)</f>
        <v/>
      </c>
      <c r="O97" s="23">
        <f>(O91+O96)</f>
        <v/>
      </c>
      <c r="P97" s="23">
        <f>(P91+P96)</f>
        <v/>
      </c>
      <c r="Q97" s="23">
        <f>(Q91+Q96)</f>
        <v/>
      </c>
      <c r="R97" s="23">
        <f>(R91+R96)</f>
        <v/>
      </c>
      <c r="S97" s="23">
        <f>(S91+S96)</f>
        <v/>
      </c>
      <c r="T97" s="23">
        <f>(T91+T96)</f>
        <v/>
      </c>
      <c r="U97" s="23">
        <f>(U91+U96)</f>
        <v/>
      </c>
      <c r="V97" s="23">
        <f>(V91+V96)</f>
        <v/>
      </c>
      <c r="W97" s="23">
        <f>(W91+W96)</f>
        <v/>
      </c>
      <c r="X97" s="23">
        <f>(X91+X96)</f>
        <v/>
      </c>
      <c r="Y97" s="23">
        <f>(Y91+Y96)</f>
        <v/>
      </c>
      <c r="Z97" s="23">
        <f>(Z91+Z96)</f>
        <v/>
      </c>
      <c r="AA97" s="23">
        <f>(AA91+AA96)</f>
        <v/>
      </c>
      <c r="AB97" s="23">
        <f>(AB91+AB96)</f>
        <v/>
      </c>
      <c r="AC97" s="23">
        <f>(AC91+AC96)</f>
        <v/>
      </c>
      <c r="AD97" s="23">
        <f>(AD91+AD96)</f>
        <v/>
      </c>
      <c r="AE97" s="23">
        <f>(AE91+AE96)</f>
        <v/>
      </c>
      <c r="AF97" s="23">
        <f>(AF91+AF96)</f>
        <v/>
      </c>
      <c r="AG97" s="23">
        <f>(AG91+AG96)</f>
        <v/>
      </c>
      <c r="AH97" s="23">
        <f>(AH91+AH96)</f>
        <v/>
      </c>
      <c r="AI97" s="23">
        <f>(AI91+AI96)</f>
        <v/>
      </c>
      <c r="AJ97" s="23">
        <f>(AJ91+AJ96)</f>
        <v/>
      </c>
      <c r="AK97" s="23">
        <f>(AK91+AK96)</f>
        <v/>
      </c>
      <c r="AL97" s="23">
        <f>(AL91+AL96)</f>
        <v/>
      </c>
    </row>
    <row r="98">
      <c r="A98" s="21" t="inlineStr">
        <is>
          <t>Cumulative cash (from $0 at launch)</t>
        </is>
      </c>
      <c r="B98" s="2" t="inlineStr">
        <is>
          <t>cash_cum</t>
        </is>
      </c>
      <c r="C98" s="23">
        <f>(0+C97)</f>
        <v/>
      </c>
      <c r="D98" s="23">
        <f>(C98+D97)</f>
        <v/>
      </c>
      <c r="E98" s="23">
        <f>(D98+E97)</f>
        <v/>
      </c>
      <c r="F98" s="23">
        <f>(E98+F97)</f>
        <v/>
      </c>
      <c r="G98" s="23">
        <f>(F98+G97)</f>
        <v/>
      </c>
      <c r="H98" s="23">
        <f>(G98+H97)</f>
        <v/>
      </c>
      <c r="I98" s="23">
        <f>(H98+I97)</f>
        <v/>
      </c>
      <c r="J98" s="23">
        <f>(I98+J97)</f>
        <v/>
      </c>
      <c r="K98" s="23">
        <f>(J98+K97)</f>
        <v/>
      </c>
      <c r="L98" s="23">
        <f>(K98+L97)</f>
        <v/>
      </c>
      <c r="M98" s="23">
        <f>(L98+M97)</f>
        <v/>
      </c>
      <c r="N98" s="23">
        <f>(M98+N97)</f>
        <v/>
      </c>
      <c r="O98" s="23">
        <f>(N98+O97)</f>
        <v/>
      </c>
      <c r="P98" s="23">
        <f>(O98+P97)</f>
        <v/>
      </c>
      <c r="Q98" s="23">
        <f>(P98+Q97)</f>
        <v/>
      </c>
      <c r="R98" s="23">
        <f>(Q98+R97)</f>
        <v/>
      </c>
      <c r="S98" s="23">
        <f>(R98+S97)</f>
        <v/>
      </c>
      <c r="T98" s="23">
        <f>(S98+T97)</f>
        <v/>
      </c>
      <c r="U98" s="23">
        <f>(T98+U97)</f>
        <v/>
      </c>
      <c r="V98" s="23">
        <f>(U98+V97)</f>
        <v/>
      </c>
      <c r="W98" s="23">
        <f>(V98+W97)</f>
        <v/>
      </c>
      <c r="X98" s="23">
        <f>(W98+X97)</f>
        <v/>
      </c>
      <c r="Y98" s="23">
        <f>(X98+Y97)</f>
        <v/>
      </c>
      <c r="Z98" s="23">
        <f>(Y98+Z97)</f>
        <v/>
      </c>
      <c r="AA98" s="23">
        <f>(Z98+AA97)</f>
        <v/>
      </c>
      <c r="AB98" s="23">
        <f>(AA98+AB97)</f>
        <v/>
      </c>
      <c r="AC98" s="23">
        <f>(AB98+AC97)</f>
        <v/>
      </c>
      <c r="AD98" s="23">
        <f>(AC98+AD97)</f>
        <v/>
      </c>
      <c r="AE98" s="23">
        <f>(AD98+AE97)</f>
        <v/>
      </c>
      <c r="AF98" s="23">
        <f>(AE98+AF97)</f>
        <v/>
      </c>
      <c r="AG98" s="23">
        <f>(AF98+AG97)</f>
        <v/>
      </c>
      <c r="AH98" s="23">
        <f>(AG98+AH97)</f>
        <v/>
      </c>
      <c r="AI98" s="23">
        <f>(AH98+AI97)</f>
        <v/>
      </c>
      <c r="AJ98" s="23">
        <f>(AI98+AJ97)</f>
        <v/>
      </c>
      <c r="AK98" s="23">
        <f>(AJ98+AK97)</f>
        <v/>
      </c>
      <c r="AL98" s="23">
        <f>(AK98+AL97)</f>
        <v/>
      </c>
    </row>
    <row r="99">
      <c r="A99" s="6" t="inlineStr">
        <is>
          <t>Cumulative operating income</t>
        </is>
      </c>
      <c r="B99" s="2" t="inlineStr">
        <is>
          <t>ebit_cum</t>
        </is>
      </c>
      <c r="C99" s="14">
        <f>(0+C91)</f>
        <v/>
      </c>
      <c r="D99" s="14">
        <f>(C99+D91)</f>
        <v/>
      </c>
      <c r="E99" s="14">
        <f>(D99+E91)</f>
        <v/>
      </c>
      <c r="F99" s="14">
        <f>(E99+F91)</f>
        <v/>
      </c>
      <c r="G99" s="14">
        <f>(F99+G91)</f>
        <v/>
      </c>
      <c r="H99" s="14">
        <f>(G99+H91)</f>
        <v/>
      </c>
      <c r="I99" s="14">
        <f>(H99+I91)</f>
        <v/>
      </c>
      <c r="J99" s="14">
        <f>(I99+J91)</f>
        <v/>
      </c>
      <c r="K99" s="14">
        <f>(J99+K91)</f>
        <v/>
      </c>
      <c r="L99" s="14">
        <f>(K99+L91)</f>
        <v/>
      </c>
      <c r="M99" s="14">
        <f>(L99+M91)</f>
        <v/>
      </c>
      <c r="N99" s="14">
        <f>(M99+N91)</f>
        <v/>
      </c>
      <c r="O99" s="14">
        <f>(N99+O91)</f>
        <v/>
      </c>
      <c r="P99" s="14">
        <f>(O99+P91)</f>
        <v/>
      </c>
      <c r="Q99" s="14">
        <f>(P99+Q91)</f>
        <v/>
      </c>
      <c r="R99" s="14">
        <f>(Q99+R91)</f>
        <v/>
      </c>
      <c r="S99" s="14">
        <f>(R99+S91)</f>
        <v/>
      </c>
      <c r="T99" s="14">
        <f>(S99+T91)</f>
        <v/>
      </c>
      <c r="U99" s="14">
        <f>(T99+U91)</f>
        <v/>
      </c>
      <c r="V99" s="14">
        <f>(U99+V91)</f>
        <v/>
      </c>
      <c r="W99" s="14">
        <f>(V99+W91)</f>
        <v/>
      </c>
      <c r="X99" s="14">
        <f>(W99+X91)</f>
        <v/>
      </c>
      <c r="Y99" s="14">
        <f>(X99+Y91)</f>
        <v/>
      </c>
      <c r="Z99" s="14">
        <f>(Y99+Z91)</f>
        <v/>
      </c>
      <c r="AA99" s="14">
        <f>(Z99+AA91)</f>
        <v/>
      </c>
      <c r="AB99" s="14">
        <f>(AA99+AB91)</f>
        <v/>
      </c>
      <c r="AC99" s="14">
        <f>(AB99+AC91)</f>
        <v/>
      </c>
      <c r="AD99" s="14">
        <f>(AC99+AD91)</f>
        <v/>
      </c>
      <c r="AE99" s="14">
        <f>(AD99+AE91)</f>
        <v/>
      </c>
      <c r="AF99" s="14">
        <f>(AE99+AF91)</f>
        <v/>
      </c>
      <c r="AG99" s="14">
        <f>(AF99+AG91)</f>
        <v/>
      </c>
      <c r="AH99" s="14">
        <f>(AG99+AH91)</f>
        <v/>
      </c>
      <c r="AI99" s="14">
        <f>(AH99+AI91)</f>
        <v/>
      </c>
      <c r="AJ99" s="14">
        <f>(AI99+AJ91)</f>
        <v/>
      </c>
      <c r="AK99" s="14">
        <f>(AJ99+AK91)</f>
        <v/>
      </c>
      <c r="AL99" s="14">
        <f>(AK99+AL91)</f>
        <v/>
      </c>
    </row>
    <row r="101">
      <c r="A101" s="4" t="inlineStr">
        <is>
          <t>KPIs</t>
        </is>
      </c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</row>
    <row r="102">
      <c r="A102" s="6" t="inlineStr">
        <is>
          <t>ARPU: total revenue / MAU</t>
        </is>
      </c>
      <c r="B102" s="2" t="inlineStr">
        <is>
          <t>arpu</t>
        </is>
      </c>
      <c r="C102" s="15">
        <f>IF(C36=0,0,C67/C36)</f>
        <v/>
      </c>
      <c r="D102" s="15">
        <f>IF(D36=0,0,D67/D36)</f>
        <v/>
      </c>
      <c r="E102" s="15">
        <f>IF(E36=0,0,E67/E36)</f>
        <v/>
      </c>
      <c r="F102" s="15">
        <f>IF(F36=0,0,F67/F36)</f>
        <v/>
      </c>
      <c r="G102" s="15">
        <f>IF(G36=0,0,G67/G36)</f>
        <v/>
      </c>
      <c r="H102" s="15">
        <f>IF(H36=0,0,H67/H36)</f>
        <v/>
      </c>
      <c r="I102" s="15">
        <f>IF(I36=0,0,I67/I36)</f>
        <v/>
      </c>
      <c r="J102" s="15">
        <f>IF(J36=0,0,J67/J36)</f>
        <v/>
      </c>
      <c r="K102" s="15">
        <f>IF(K36=0,0,K67/K36)</f>
        <v/>
      </c>
      <c r="L102" s="15">
        <f>IF(L36=0,0,L67/L36)</f>
        <v/>
      </c>
      <c r="M102" s="15">
        <f>IF(M36=0,0,M67/M36)</f>
        <v/>
      </c>
      <c r="N102" s="15">
        <f>IF(N36=0,0,N67/N36)</f>
        <v/>
      </c>
      <c r="O102" s="15">
        <f>IF(O36=0,0,O67/O36)</f>
        <v/>
      </c>
      <c r="P102" s="15">
        <f>IF(P36=0,0,P67/P36)</f>
        <v/>
      </c>
      <c r="Q102" s="15">
        <f>IF(Q36=0,0,Q67/Q36)</f>
        <v/>
      </c>
      <c r="R102" s="15">
        <f>IF(R36=0,0,R67/R36)</f>
        <v/>
      </c>
      <c r="S102" s="15">
        <f>IF(S36=0,0,S67/S36)</f>
        <v/>
      </c>
      <c r="T102" s="15">
        <f>IF(T36=0,0,T67/T36)</f>
        <v/>
      </c>
      <c r="U102" s="15">
        <f>IF(U36=0,0,U67/U36)</f>
        <v/>
      </c>
      <c r="V102" s="15">
        <f>IF(V36=0,0,V67/V36)</f>
        <v/>
      </c>
      <c r="W102" s="15">
        <f>IF(W36=0,0,W67/W36)</f>
        <v/>
      </c>
      <c r="X102" s="15">
        <f>IF(X36=0,0,X67/X36)</f>
        <v/>
      </c>
      <c r="Y102" s="15">
        <f>IF(Y36=0,0,Y67/Y36)</f>
        <v/>
      </c>
      <c r="Z102" s="15">
        <f>IF(Z36=0,0,Z67/Z36)</f>
        <v/>
      </c>
      <c r="AA102" s="15">
        <f>IF(AA36=0,0,AA67/AA36)</f>
        <v/>
      </c>
      <c r="AB102" s="15">
        <f>IF(AB36=0,0,AB67/AB36)</f>
        <v/>
      </c>
      <c r="AC102" s="15">
        <f>IF(AC36=0,0,AC67/AC36)</f>
        <v/>
      </c>
      <c r="AD102" s="15">
        <f>IF(AD36=0,0,AD67/AD36)</f>
        <v/>
      </c>
      <c r="AE102" s="15">
        <f>IF(AE36=0,0,AE67/AE36)</f>
        <v/>
      </c>
      <c r="AF102" s="15">
        <f>IF(AF36=0,0,AF67/AF36)</f>
        <v/>
      </c>
      <c r="AG102" s="15">
        <f>IF(AG36=0,0,AG67/AG36)</f>
        <v/>
      </c>
      <c r="AH102" s="15">
        <f>IF(AH36=0,0,AH67/AH36)</f>
        <v/>
      </c>
      <c r="AI102" s="15">
        <f>IF(AI36=0,0,AI67/AI36)</f>
        <v/>
      </c>
      <c r="AJ102" s="15">
        <f>IF(AJ36=0,0,AJ67/AJ36)</f>
        <v/>
      </c>
      <c r="AK102" s="15">
        <f>IF(AK36=0,0,AK67/AK36)</f>
        <v/>
      </c>
      <c r="AL102" s="15">
        <f>IF(AL36=0,0,AL67/AL36)</f>
        <v/>
      </c>
    </row>
    <row r="103">
      <c r="A103" s="6" t="inlineStr">
        <is>
          <t>ARPPU: net subscription revenue / paid subscriber</t>
        </is>
      </c>
      <c r="B103" s="2" t="inlineStr">
        <is>
          <t>arppu</t>
        </is>
      </c>
      <c r="C103" s="15">
        <f>IF(C29=0,0,C60/C29)</f>
        <v/>
      </c>
      <c r="D103" s="15">
        <f>IF(D29=0,0,D60/D29)</f>
        <v/>
      </c>
      <c r="E103" s="15">
        <f>IF(E29=0,0,E60/E29)</f>
        <v/>
      </c>
      <c r="F103" s="15">
        <f>IF(F29=0,0,F60/F29)</f>
        <v/>
      </c>
      <c r="G103" s="15">
        <f>IF(G29=0,0,G60/G29)</f>
        <v/>
      </c>
      <c r="H103" s="15">
        <f>IF(H29=0,0,H60/H29)</f>
        <v/>
      </c>
      <c r="I103" s="15">
        <f>IF(I29=0,0,I60/I29)</f>
        <v/>
      </c>
      <c r="J103" s="15">
        <f>IF(J29=0,0,J60/J29)</f>
        <v/>
      </c>
      <c r="K103" s="15">
        <f>IF(K29=0,0,K60/K29)</f>
        <v/>
      </c>
      <c r="L103" s="15">
        <f>IF(L29=0,0,L60/L29)</f>
        <v/>
      </c>
      <c r="M103" s="15">
        <f>IF(M29=0,0,M60/M29)</f>
        <v/>
      </c>
      <c r="N103" s="15">
        <f>IF(N29=0,0,N60/N29)</f>
        <v/>
      </c>
      <c r="O103" s="15">
        <f>IF(O29=0,0,O60/O29)</f>
        <v/>
      </c>
      <c r="P103" s="15">
        <f>IF(P29=0,0,P60/P29)</f>
        <v/>
      </c>
      <c r="Q103" s="15">
        <f>IF(Q29=0,0,Q60/Q29)</f>
        <v/>
      </c>
      <c r="R103" s="15">
        <f>IF(R29=0,0,R60/R29)</f>
        <v/>
      </c>
      <c r="S103" s="15">
        <f>IF(S29=0,0,S60/S29)</f>
        <v/>
      </c>
      <c r="T103" s="15">
        <f>IF(T29=0,0,T60/T29)</f>
        <v/>
      </c>
      <c r="U103" s="15">
        <f>IF(U29=0,0,U60/U29)</f>
        <v/>
      </c>
      <c r="V103" s="15">
        <f>IF(V29=0,0,V60/V29)</f>
        <v/>
      </c>
      <c r="W103" s="15">
        <f>IF(W29=0,0,W60/W29)</f>
        <v/>
      </c>
      <c r="X103" s="15">
        <f>IF(X29=0,0,X60/X29)</f>
        <v/>
      </c>
      <c r="Y103" s="15">
        <f>IF(Y29=0,0,Y60/Y29)</f>
        <v/>
      </c>
      <c r="Z103" s="15">
        <f>IF(Z29=0,0,Z60/Z29)</f>
        <v/>
      </c>
      <c r="AA103" s="15">
        <f>IF(AA29=0,0,AA60/AA29)</f>
        <v/>
      </c>
      <c r="AB103" s="15">
        <f>IF(AB29=0,0,AB60/AB29)</f>
        <v/>
      </c>
      <c r="AC103" s="15">
        <f>IF(AC29=0,0,AC60/AC29)</f>
        <v/>
      </c>
      <c r="AD103" s="15">
        <f>IF(AD29=0,0,AD60/AD29)</f>
        <v/>
      </c>
      <c r="AE103" s="15">
        <f>IF(AE29=0,0,AE60/AE29)</f>
        <v/>
      </c>
      <c r="AF103" s="15">
        <f>IF(AF29=0,0,AF60/AF29)</f>
        <v/>
      </c>
      <c r="AG103" s="15">
        <f>IF(AG29=0,0,AG60/AG29)</f>
        <v/>
      </c>
      <c r="AH103" s="15">
        <f>IF(AH29=0,0,AH60/AH29)</f>
        <v/>
      </c>
      <c r="AI103" s="15">
        <f>IF(AI29=0,0,AI60/AI29)</f>
        <v/>
      </c>
      <c r="AJ103" s="15">
        <f>IF(AJ29=0,0,AJ60/AJ29)</f>
        <v/>
      </c>
      <c r="AK103" s="15">
        <f>IF(AK29=0,0,AK60/AK29)</f>
        <v/>
      </c>
      <c r="AL103" s="15">
        <f>IF(AL29=0,0,AL60/AL29)</f>
        <v/>
      </c>
    </row>
    <row r="104">
      <c r="A104" s="6" t="inlineStr">
        <is>
          <t>CAC: paid channels (ASA + creators) per payer they bring</t>
        </is>
      </c>
      <c r="B104" s="2" t="inlineStr">
        <is>
          <t>cac_paid</t>
        </is>
      </c>
      <c r="C104" s="14">
        <f>IF(((C11+C9)*Assumptions!$E$111)=0,0,(C10+C8)/((C11+C9)*Assumptions!$E$111))</f>
        <v/>
      </c>
      <c r="D104" s="14">
        <f>IF(((D11+D9)*Assumptions!$E$111)=0,0,(D10+D8)/((D11+D9)*Assumptions!$E$111))</f>
        <v/>
      </c>
      <c r="E104" s="14">
        <f>IF(((E11+E9)*Assumptions!$E$111)=0,0,(E10+E8)/((E11+E9)*Assumptions!$E$111))</f>
        <v/>
      </c>
      <c r="F104" s="14">
        <f>IF(((F11+F9)*Assumptions!$E$111)=0,0,(F10+F8)/((F11+F9)*Assumptions!$E$111))</f>
        <v/>
      </c>
      <c r="G104" s="14">
        <f>IF(((G11+G9)*Assumptions!$E$111)=0,0,(G10+G8)/((G11+G9)*Assumptions!$E$111))</f>
        <v/>
      </c>
      <c r="H104" s="14">
        <f>IF(((H11+H9)*Assumptions!$E$111)=0,0,(H10+H8)/((H11+H9)*Assumptions!$E$111))</f>
        <v/>
      </c>
      <c r="I104" s="14">
        <f>IF(((I11+I9)*Assumptions!$E$111)=0,0,(I10+I8)/((I11+I9)*Assumptions!$E$111))</f>
        <v/>
      </c>
      <c r="J104" s="14">
        <f>IF(((J11+J9)*Assumptions!$E$111)=0,0,(J10+J8)/((J11+J9)*Assumptions!$E$111))</f>
        <v/>
      </c>
      <c r="K104" s="14">
        <f>IF(((K11+K9)*Assumptions!$E$111)=0,0,(K10+K8)/((K11+K9)*Assumptions!$E$111))</f>
        <v/>
      </c>
      <c r="L104" s="14">
        <f>IF(((L11+L9)*Assumptions!$E$111)=0,0,(L10+L8)/((L11+L9)*Assumptions!$E$111))</f>
        <v/>
      </c>
      <c r="M104" s="14">
        <f>IF(((M11+M9)*Assumptions!$E$111)=0,0,(M10+M8)/((M11+M9)*Assumptions!$E$111))</f>
        <v/>
      </c>
      <c r="N104" s="14">
        <f>IF(((N11+N9)*Assumptions!$E$111)=0,0,(N10+N8)/((N11+N9)*Assumptions!$E$111))</f>
        <v/>
      </c>
      <c r="O104" s="14">
        <f>IF(((O11+O9)*Assumptions!$E$111)=0,0,(O10+O8)/((O11+O9)*Assumptions!$E$111))</f>
        <v/>
      </c>
      <c r="P104" s="14">
        <f>IF(((P11+P9)*Assumptions!$E$111)=0,0,(P10+P8)/((P11+P9)*Assumptions!$E$111))</f>
        <v/>
      </c>
      <c r="Q104" s="14">
        <f>IF(((Q11+Q9)*Assumptions!$E$111)=0,0,(Q10+Q8)/((Q11+Q9)*Assumptions!$E$111))</f>
        <v/>
      </c>
      <c r="R104" s="14">
        <f>IF(((R11+R9)*Assumptions!$E$111)=0,0,(R10+R8)/((R11+R9)*Assumptions!$E$111))</f>
        <v/>
      </c>
      <c r="S104" s="14">
        <f>IF(((S11+S9)*Assumptions!$E$111)=0,0,(S10+S8)/((S11+S9)*Assumptions!$E$111))</f>
        <v/>
      </c>
      <c r="T104" s="14">
        <f>IF(((T11+T9)*Assumptions!$E$111)=0,0,(T10+T8)/((T11+T9)*Assumptions!$E$111))</f>
        <v/>
      </c>
      <c r="U104" s="14">
        <f>IF(((U11+U9)*Assumptions!$E$111)=0,0,(U10+U8)/((U11+U9)*Assumptions!$E$111))</f>
        <v/>
      </c>
      <c r="V104" s="14">
        <f>IF(((V11+V9)*Assumptions!$E$111)=0,0,(V10+V8)/((V11+V9)*Assumptions!$E$111))</f>
        <v/>
      </c>
      <c r="W104" s="14">
        <f>IF(((W11+W9)*Assumptions!$E$111)=0,0,(W10+W8)/((W11+W9)*Assumptions!$E$111))</f>
        <v/>
      </c>
      <c r="X104" s="14">
        <f>IF(((X11+X9)*Assumptions!$E$111)=0,0,(X10+X8)/((X11+X9)*Assumptions!$E$111))</f>
        <v/>
      </c>
      <c r="Y104" s="14">
        <f>IF(((Y11+Y9)*Assumptions!$E$111)=0,0,(Y10+Y8)/((Y11+Y9)*Assumptions!$E$111))</f>
        <v/>
      </c>
      <c r="Z104" s="14">
        <f>IF(((Z11+Z9)*Assumptions!$E$111)=0,0,(Z10+Z8)/((Z11+Z9)*Assumptions!$E$111))</f>
        <v/>
      </c>
      <c r="AA104" s="14">
        <f>IF(((AA11+AA9)*Assumptions!$E$111)=0,0,(AA10+AA8)/((AA11+AA9)*Assumptions!$E$111))</f>
        <v/>
      </c>
      <c r="AB104" s="14">
        <f>IF(((AB11+AB9)*Assumptions!$E$111)=0,0,(AB10+AB8)/((AB11+AB9)*Assumptions!$E$111))</f>
        <v/>
      </c>
      <c r="AC104" s="14">
        <f>IF(((AC11+AC9)*Assumptions!$E$111)=0,0,(AC10+AC8)/((AC11+AC9)*Assumptions!$E$111))</f>
        <v/>
      </c>
      <c r="AD104" s="14">
        <f>IF(((AD11+AD9)*Assumptions!$E$111)=0,0,(AD10+AD8)/((AD11+AD9)*Assumptions!$E$111))</f>
        <v/>
      </c>
      <c r="AE104" s="14">
        <f>IF(((AE11+AE9)*Assumptions!$E$111)=0,0,(AE10+AE8)/((AE11+AE9)*Assumptions!$E$111))</f>
        <v/>
      </c>
      <c r="AF104" s="14">
        <f>IF(((AF11+AF9)*Assumptions!$E$111)=0,0,(AF10+AF8)/((AF11+AF9)*Assumptions!$E$111))</f>
        <v/>
      </c>
      <c r="AG104" s="14">
        <f>IF(((AG11+AG9)*Assumptions!$E$111)=0,0,(AG10+AG8)/((AG11+AG9)*Assumptions!$E$111))</f>
        <v/>
      </c>
      <c r="AH104" s="14">
        <f>IF(((AH11+AH9)*Assumptions!$E$111)=0,0,(AH10+AH8)/((AH11+AH9)*Assumptions!$E$111))</f>
        <v/>
      </c>
      <c r="AI104" s="14">
        <f>IF(((AI11+AI9)*Assumptions!$E$111)=0,0,(AI10+AI8)/((AI11+AI9)*Assumptions!$E$111))</f>
        <v/>
      </c>
      <c r="AJ104" s="14">
        <f>IF(((AJ11+AJ9)*Assumptions!$E$111)=0,0,(AJ10+AJ8)/((AJ11+AJ9)*Assumptions!$E$111))</f>
        <v/>
      </c>
      <c r="AK104" s="14">
        <f>IF(((AK11+AK9)*Assumptions!$E$111)=0,0,(AK10+AK8)/((AK11+AK9)*Assumptions!$E$111))</f>
        <v/>
      </c>
      <c r="AL104" s="14">
        <f>IF(((AL11+AL9)*Assumptions!$E$111)=0,0,(AL10+AL8)/((AL11+AL9)*Assumptions!$E$111))</f>
        <v/>
      </c>
    </row>
    <row r="105">
      <c r="A105" s="6" t="inlineStr">
        <is>
          <t>EBIT &gt;= 0 this month (1 = yes)</t>
        </is>
      </c>
      <c r="B105" s="2" t="inlineStr">
        <is>
          <t>flag_be</t>
        </is>
      </c>
      <c r="C105" s="8">
        <f>IF((C91&gt;=0),1,0)</f>
        <v/>
      </c>
      <c r="D105" s="8">
        <f>IF((D91&gt;=0),1,0)</f>
        <v/>
      </c>
      <c r="E105" s="8">
        <f>IF((E91&gt;=0),1,0)</f>
        <v/>
      </c>
      <c r="F105" s="8">
        <f>IF((F91&gt;=0),1,0)</f>
        <v/>
      </c>
      <c r="G105" s="8">
        <f>IF((G91&gt;=0),1,0)</f>
        <v/>
      </c>
      <c r="H105" s="8">
        <f>IF((H91&gt;=0),1,0)</f>
        <v/>
      </c>
      <c r="I105" s="8">
        <f>IF((I91&gt;=0),1,0)</f>
        <v/>
      </c>
      <c r="J105" s="8">
        <f>IF((J91&gt;=0),1,0)</f>
        <v/>
      </c>
      <c r="K105" s="8">
        <f>IF((K91&gt;=0),1,0)</f>
        <v/>
      </c>
      <c r="L105" s="8">
        <f>IF((L91&gt;=0),1,0)</f>
        <v/>
      </c>
      <c r="M105" s="8">
        <f>IF((M91&gt;=0),1,0)</f>
        <v/>
      </c>
      <c r="N105" s="8">
        <f>IF((N91&gt;=0),1,0)</f>
        <v/>
      </c>
      <c r="O105" s="8">
        <f>IF((O91&gt;=0),1,0)</f>
        <v/>
      </c>
      <c r="P105" s="8">
        <f>IF((P91&gt;=0),1,0)</f>
        <v/>
      </c>
      <c r="Q105" s="8">
        <f>IF((Q91&gt;=0),1,0)</f>
        <v/>
      </c>
      <c r="R105" s="8">
        <f>IF((R91&gt;=0),1,0)</f>
        <v/>
      </c>
      <c r="S105" s="8">
        <f>IF((S91&gt;=0),1,0)</f>
        <v/>
      </c>
      <c r="T105" s="8">
        <f>IF((T91&gt;=0),1,0)</f>
        <v/>
      </c>
      <c r="U105" s="8">
        <f>IF((U91&gt;=0),1,0)</f>
        <v/>
      </c>
      <c r="V105" s="8">
        <f>IF((V91&gt;=0),1,0)</f>
        <v/>
      </c>
      <c r="W105" s="8">
        <f>IF((W91&gt;=0),1,0)</f>
        <v/>
      </c>
      <c r="X105" s="8">
        <f>IF((X91&gt;=0),1,0)</f>
        <v/>
      </c>
      <c r="Y105" s="8">
        <f>IF((Y91&gt;=0),1,0)</f>
        <v/>
      </c>
      <c r="Z105" s="8">
        <f>IF((Z91&gt;=0),1,0)</f>
        <v/>
      </c>
      <c r="AA105" s="8">
        <f>IF((AA91&gt;=0),1,0)</f>
        <v/>
      </c>
      <c r="AB105" s="8">
        <f>IF((AB91&gt;=0),1,0)</f>
        <v/>
      </c>
      <c r="AC105" s="8">
        <f>IF((AC91&gt;=0),1,0)</f>
        <v/>
      </c>
      <c r="AD105" s="8">
        <f>IF((AD91&gt;=0),1,0)</f>
        <v/>
      </c>
      <c r="AE105" s="8">
        <f>IF((AE91&gt;=0),1,0)</f>
        <v/>
      </c>
      <c r="AF105" s="8">
        <f>IF((AF91&gt;=0),1,0)</f>
        <v/>
      </c>
      <c r="AG105" s="8">
        <f>IF((AG91&gt;=0),1,0)</f>
        <v/>
      </c>
      <c r="AH105" s="8">
        <f>IF((AH91&gt;=0),1,0)</f>
        <v/>
      </c>
      <c r="AI105" s="8">
        <f>IF((AI91&gt;=0),1,0)</f>
        <v/>
      </c>
      <c r="AJ105" s="8">
        <f>IF((AJ91&gt;=0),1,0)</f>
        <v/>
      </c>
      <c r="AK105" s="8">
        <f>IF((AK91&gt;=0),1,0)</f>
        <v/>
      </c>
      <c r="AL105" s="8">
        <f>IF((AL91&gt;=0),1,0)</f>
        <v/>
      </c>
    </row>
    <row r="106">
      <c r="A106" s="6" t="inlineStr">
        <is>
          <t>EBIT &gt;= 0 this month and every month after</t>
        </is>
      </c>
      <c r="B106" s="2" t="inlineStr">
        <is>
          <t>flag_be_sus</t>
        </is>
      </c>
      <c r="C106" s="8">
        <f>IF(AND((C91&gt;=0),(D106=1)),1,0)</f>
        <v/>
      </c>
      <c r="D106" s="8">
        <f>IF(AND((D91&gt;=0),(E106=1)),1,0)</f>
        <v/>
      </c>
      <c r="E106" s="8">
        <f>IF(AND((E91&gt;=0),(F106=1)),1,0)</f>
        <v/>
      </c>
      <c r="F106" s="8">
        <f>IF(AND((F91&gt;=0),(G106=1)),1,0)</f>
        <v/>
      </c>
      <c r="G106" s="8">
        <f>IF(AND((G91&gt;=0),(H106=1)),1,0)</f>
        <v/>
      </c>
      <c r="H106" s="8">
        <f>IF(AND((H91&gt;=0),(I106=1)),1,0)</f>
        <v/>
      </c>
      <c r="I106" s="8">
        <f>IF(AND((I91&gt;=0),(J106=1)),1,0)</f>
        <v/>
      </c>
      <c r="J106" s="8">
        <f>IF(AND((J91&gt;=0),(K106=1)),1,0)</f>
        <v/>
      </c>
      <c r="K106" s="8">
        <f>IF(AND((K91&gt;=0),(L106=1)),1,0)</f>
        <v/>
      </c>
      <c r="L106" s="8">
        <f>IF(AND((L91&gt;=0),(M106=1)),1,0)</f>
        <v/>
      </c>
      <c r="M106" s="8">
        <f>IF(AND((M91&gt;=0),(N106=1)),1,0)</f>
        <v/>
      </c>
      <c r="N106" s="8">
        <f>IF(AND((N91&gt;=0),(O106=1)),1,0)</f>
        <v/>
      </c>
      <c r="O106" s="8">
        <f>IF(AND((O91&gt;=0),(P106=1)),1,0)</f>
        <v/>
      </c>
      <c r="P106" s="8">
        <f>IF(AND((P91&gt;=0),(Q106=1)),1,0)</f>
        <v/>
      </c>
      <c r="Q106" s="8">
        <f>IF(AND((Q91&gt;=0),(R106=1)),1,0)</f>
        <v/>
      </c>
      <c r="R106" s="8">
        <f>IF(AND((R91&gt;=0),(S106=1)),1,0)</f>
        <v/>
      </c>
      <c r="S106" s="8">
        <f>IF(AND((S91&gt;=0),(T106=1)),1,0)</f>
        <v/>
      </c>
      <c r="T106" s="8">
        <f>IF(AND((T91&gt;=0),(U106=1)),1,0)</f>
        <v/>
      </c>
      <c r="U106" s="8">
        <f>IF(AND((U91&gt;=0),(V106=1)),1,0)</f>
        <v/>
      </c>
      <c r="V106" s="8">
        <f>IF(AND((V91&gt;=0),(W106=1)),1,0)</f>
        <v/>
      </c>
      <c r="W106" s="8">
        <f>IF(AND((W91&gt;=0),(X106=1)),1,0)</f>
        <v/>
      </c>
      <c r="X106" s="8">
        <f>IF(AND((X91&gt;=0),(Y106=1)),1,0)</f>
        <v/>
      </c>
      <c r="Y106" s="8">
        <f>IF(AND((Y91&gt;=0),(Z106=1)),1,0)</f>
        <v/>
      </c>
      <c r="Z106" s="8">
        <f>IF(AND((Z91&gt;=0),(AA106=1)),1,0)</f>
        <v/>
      </c>
      <c r="AA106" s="8">
        <f>IF(AND((AA91&gt;=0),(AB106=1)),1,0)</f>
        <v/>
      </c>
      <c r="AB106" s="8">
        <f>IF(AND((AB91&gt;=0),(AC106=1)),1,0)</f>
        <v/>
      </c>
      <c r="AC106" s="8">
        <f>IF(AND((AC91&gt;=0),(AD106=1)),1,0)</f>
        <v/>
      </c>
      <c r="AD106" s="8">
        <f>IF(AND((AD91&gt;=0),(AE106=1)),1,0)</f>
        <v/>
      </c>
      <c r="AE106" s="8">
        <f>IF(AND((AE91&gt;=0),(AF106=1)),1,0)</f>
        <v/>
      </c>
      <c r="AF106" s="8">
        <f>IF(AND((AF91&gt;=0),(AG106=1)),1,0)</f>
        <v/>
      </c>
      <c r="AG106" s="8">
        <f>IF(AND((AG91&gt;=0),(AH106=1)),1,0)</f>
        <v/>
      </c>
      <c r="AH106" s="8">
        <f>IF(AND((AH91&gt;=0),(AI106=1)),1,0)</f>
        <v/>
      </c>
      <c r="AI106" s="8">
        <f>IF(AND((AI91&gt;=0),(AJ106=1)),1,0)</f>
        <v/>
      </c>
      <c r="AJ106" s="8">
        <f>IF(AND((AJ91&gt;=0),(AK106=1)),1,0)</f>
        <v/>
      </c>
      <c r="AK106" s="8">
        <f>IF(AND((AK91&gt;=0),(AL106=1)),1,0)</f>
        <v/>
      </c>
      <c r="AL106" s="8">
        <f>IF((AL91&gt;=0),1,0)</f>
        <v/>
      </c>
    </row>
    <row r="107">
      <c r="A107" s="6" t="inlineStr">
        <is>
          <t>Cumulative cash &gt;= 0 this month and every month after</t>
        </is>
      </c>
      <c r="B107" s="2" t="inlineStr">
        <is>
          <t>flag_cash_sus</t>
        </is>
      </c>
      <c r="C107" s="8">
        <f>IF(AND((C98&gt;=0),(D107=1)),1,0)</f>
        <v/>
      </c>
      <c r="D107" s="8">
        <f>IF(AND((D98&gt;=0),(E107=1)),1,0)</f>
        <v/>
      </c>
      <c r="E107" s="8">
        <f>IF(AND((E98&gt;=0),(F107=1)),1,0)</f>
        <v/>
      </c>
      <c r="F107" s="8">
        <f>IF(AND((F98&gt;=0),(G107=1)),1,0)</f>
        <v/>
      </c>
      <c r="G107" s="8">
        <f>IF(AND((G98&gt;=0),(H107=1)),1,0)</f>
        <v/>
      </c>
      <c r="H107" s="8">
        <f>IF(AND((H98&gt;=0),(I107=1)),1,0)</f>
        <v/>
      </c>
      <c r="I107" s="8">
        <f>IF(AND((I98&gt;=0),(J107=1)),1,0)</f>
        <v/>
      </c>
      <c r="J107" s="8">
        <f>IF(AND((J98&gt;=0),(K107=1)),1,0)</f>
        <v/>
      </c>
      <c r="K107" s="8">
        <f>IF(AND((K98&gt;=0),(L107=1)),1,0)</f>
        <v/>
      </c>
      <c r="L107" s="8">
        <f>IF(AND((L98&gt;=0),(M107=1)),1,0)</f>
        <v/>
      </c>
      <c r="M107" s="8">
        <f>IF(AND((M98&gt;=0),(N107=1)),1,0)</f>
        <v/>
      </c>
      <c r="N107" s="8">
        <f>IF(AND((N98&gt;=0),(O107=1)),1,0)</f>
        <v/>
      </c>
      <c r="O107" s="8">
        <f>IF(AND((O98&gt;=0),(P107=1)),1,0)</f>
        <v/>
      </c>
      <c r="P107" s="8">
        <f>IF(AND((P98&gt;=0),(Q107=1)),1,0)</f>
        <v/>
      </c>
      <c r="Q107" s="8">
        <f>IF(AND((Q98&gt;=0),(R107=1)),1,0)</f>
        <v/>
      </c>
      <c r="R107" s="8">
        <f>IF(AND((R98&gt;=0),(S107=1)),1,0)</f>
        <v/>
      </c>
      <c r="S107" s="8">
        <f>IF(AND((S98&gt;=0),(T107=1)),1,0)</f>
        <v/>
      </c>
      <c r="T107" s="8">
        <f>IF(AND((T98&gt;=0),(U107=1)),1,0)</f>
        <v/>
      </c>
      <c r="U107" s="8">
        <f>IF(AND((U98&gt;=0),(V107=1)),1,0)</f>
        <v/>
      </c>
      <c r="V107" s="8">
        <f>IF(AND((V98&gt;=0),(W107=1)),1,0)</f>
        <v/>
      </c>
      <c r="W107" s="8">
        <f>IF(AND((W98&gt;=0),(X107=1)),1,0)</f>
        <v/>
      </c>
      <c r="X107" s="8">
        <f>IF(AND((X98&gt;=0),(Y107=1)),1,0)</f>
        <v/>
      </c>
      <c r="Y107" s="8">
        <f>IF(AND((Y98&gt;=0),(Z107=1)),1,0)</f>
        <v/>
      </c>
      <c r="Z107" s="8">
        <f>IF(AND((Z98&gt;=0),(AA107=1)),1,0)</f>
        <v/>
      </c>
      <c r="AA107" s="8">
        <f>IF(AND((AA98&gt;=0),(AB107=1)),1,0)</f>
        <v/>
      </c>
      <c r="AB107" s="8">
        <f>IF(AND((AB98&gt;=0),(AC107=1)),1,0)</f>
        <v/>
      </c>
      <c r="AC107" s="8">
        <f>IF(AND((AC98&gt;=0),(AD107=1)),1,0)</f>
        <v/>
      </c>
      <c r="AD107" s="8">
        <f>IF(AND((AD98&gt;=0),(AE107=1)),1,0)</f>
        <v/>
      </c>
      <c r="AE107" s="8">
        <f>IF(AND((AE98&gt;=0),(AF107=1)),1,0)</f>
        <v/>
      </c>
      <c r="AF107" s="8">
        <f>IF(AND((AF98&gt;=0),(AG107=1)),1,0)</f>
        <v/>
      </c>
      <c r="AG107" s="8">
        <f>IF(AND((AG98&gt;=0),(AH107=1)),1,0)</f>
        <v/>
      </c>
      <c r="AH107" s="8">
        <f>IF(AND((AH98&gt;=0),(AI107=1)),1,0)</f>
        <v/>
      </c>
      <c r="AI107" s="8">
        <f>IF(AND((AI98&gt;=0),(AJ107=1)),1,0)</f>
        <v/>
      </c>
      <c r="AJ107" s="8">
        <f>IF(AND((AJ98&gt;=0),(AK107=1)),1,0)</f>
        <v/>
      </c>
      <c r="AK107" s="8">
        <f>IF(AND((AK98&gt;=0),(AL107=1)),1,0)</f>
        <v/>
      </c>
      <c r="AL107" s="8">
        <f>IF((AL98&gt;=0),1,0)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10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A1" s="1" t="inlineStr">
        <is>
          <t>Tenbagger: Bear case, monthly (USD). All cells are formulas driven by the Assumptions sheet.</t>
        </is>
      </c>
    </row>
    <row r="2">
      <c r="A2" s="3" t="inlineStr">
        <is>
          <t>Month</t>
        </is>
      </c>
      <c r="B2" s="19" t="n"/>
      <c r="C2" s="20" t="n">
        <v>1</v>
      </c>
      <c r="D2" s="20" t="n">
        <v>2</v>
      </c>
      <c r="E2" s="20" t="n">
        <v>3</v>
      </c>
      <c r="F2" s="20" t="n">
        <v>4</v>
      </c>
      <c r="G2" s="20" t="n">
        <v>5</v>
      </c>
      <c r="H2" s="20" t="n">
        <v>6</v>
      </c>
      <c r="I2" s="20" t="n">
        <v>7</v>
      </c>
      <c r="J2" s="20" t="n">
        <v>8</v>
      </c>
      <c r="K2" s="20" t="n">
        <v>9</v>
      </c>
      <c r="L2" s="20" t="n">
        <v>10</v>
      </c>
      <c r="M2" s="20" t="n">
        <v>11</v>
      </c>
      <c r="N2" s="20" t="n">
        <v>12</v>
      </c>
      <c r="O2" s="20" t="n">
        <v>13</v>
      </c>
      <c r="P2" s="20" t="n">
        <v>14</v>
      </c>
      <c r="Q2" s="20" t="n">
        <v>15</v>
      </c>
      <c r="R2" s="20" t="n">
        <v>16</v>
      </c>
      <c r="S2" s="20" t="n">
        <v>17</v>
      </c>
      <c r="T2" s="20" t="n">
        <v>18</v>
      </c>
      <c r="U2" s="20" t="n">
        <v>19</v>
      </c>
      <c r="V2" s="20" t="n">
        <v>20</v>
      </c>
      <c r="W2" s="20" t="n">
        <v>21</v>
      </c>
      <c r="X2" s="20" t="n">
        <v>22</v>
      </c>
      <c r="Y2" s="20" t="n">
        <v>23</v>
      </c>
      <c r="Z2" s="20" t="n">
        <v>24</v>
      </c>
      <c r="AA2" s="20" t="n">
        <v>25</v>
      </c>
      <c r="AB2" s="20" t="n">
        <v>26</v>
      </c>
      <c r="AC2" s="20" t="n">
        <v>27</v>
      </c>
      <c r="AD2" s="20" t="n">
        <v>28</v>
      </c>
      <c r="AE2" s="20" t="n">
        <v>29</v>
      </c>
      <c r="AF2" s="20" t="n">
        <v>30</v>
      </c>
      <c r="AG2" s="20" t="n">
        <v>31</v>
      </c>
      <c r="AH2" s="20" t="n">
        <v>32</v>
      </c>
      <c r="AI2" s="20" t="n">
        <v>33</v>
      </c>
      <c r="AJ2" s="20" t="n">
        <v>34</v>
      </c>
      <c r="AK2" s="20" t="n">
        <v>35</v>
      </c>
      <c r="AL2" s="20" t="n">
        <v>36</v>
      </c>
    </row>
    <row r="3">
      <c r="A3" s="3" t="inlineStr">
        <is>
          <t>Fiscal year</t>
        </is>
      </c>
      <c r="B3" s="19" t="n"/>
      <c r="C3" s="20" t="n">
        <v>1</v>
      </c>
      <c r="D3" s="20" t="n">
        <v>1</v>
      </c>
      <c r="E3" s="20" t="n">
        <v>1</v>
      </c>
      <c r="F3" s="20" t="n">
        <v>1</v>
      </c>
      <c r="G3" s="20" t="n">
        <v>1</v>
      </c>
      <c r="H3" s="20" t="n">
        <v>1</v>
      </c>
      <c r="I3" s="20" t="n">
        <v>1</v>
      </c>
      <c r="J3" s="20" t="n">
        <v>1</v>
      </c>
      <c r="K3" s="20" t="n">
        <v>1</v>
      </c>
      <c r="L3" s="20" t="n">
        <v>1</v>
      </c>
      <c r="M3" s="20" t="n">
        <v>1</v>
      </c>
      <c r="N3" s="20" t="n">
        <v>1</v>
      </c>
      <c r="O3" s="20" t="n">
        <v>2</v>
      </c>
      <c r="P3" s="20" t="n">
        <v>2</v>
      </c>
      <c r="Q3" s="20" t="n">
        <v>2</v>
      </c>
      <c r="R3" s="20" t="n">
        <v>2</v>
      </c>
      <c r="S3" s="20" t="n">
        <v>2</v>
      </c>
      <c r="T3" s="20" t="n">
        <v>2</v>
      </c>
      <c r="U3" s="20" t="n">
        <v>2</v>
      </c>
      <c r="V3" s="20" t="n">
        <v>2</v>
      </c>
      <c r="W3" s="20" t="n">
        <v>2</v>
      </c>
      <c r="X3" s="20" t="n">
        <v>2</v>
      </c>
      <c r="Y3" s="20" t="n">
        <v>2</v>
      </c>
      <c r="Z3" s="20" t="n">
        <v>2</v>
      </c>
      <c r="AA3" s="20" t="n">
        <v>3</v>
      </c>
      <c r="AB3" s="20" t="n">
        <v>3</v>
      </c>
      <c r="AC3" s="20" t="n">
        <v>3</v>
      </c>
      <c r="AD3" s="20" t="n">
        <v>3</v>
      </c>
      <c r="AE3" s="20" t="n">
        <v>3</v>
      </c>
      <c r="AF3" s="20" t="n">
        <v>3</v>
      </c>
      <c r="AG3" s="20" t="n">
        <v>3</v>
      </c>
      <c r="AH3" s="20" t="n">
        <v>3</v>
      </c>
      <c r="AI3" s="20" t="n">
        <v>3</v>
      </c>
      <c r="AJ3" s="20" t="n">
        <v>3</v>
      </c>
      <c r="AK3" s="20" t="n">
        <v>3</v>
      </c>
      <c r="AL3" s="20" t="n">
        <v>3</v>
      </c>
    </row>
    <row r="4">
      <c r="A4" s="3" t="inlineStr">
        <is>
          <t>Calendar month</t>
        </is>
      </c>
      <c r="B4" s="19" t="n"/>
      <c r="C4" s="20" t="inlineStr">
        <is>
          <t>Jan-27</t>
        </is>
      </c>
      <c r="D4" s="20" t="inlineStr">
        <is>
          <t>Feb-27</t>
        </is>
      </c>
      <c r="E4" s="20" t="inlineStr">
        <is>
          <t>Mar-27</t>
        </is>
      </c>
      <c r="F4" s="20" t="inlineStr">
        <is>
          <t>Apr-27</t>
        </is>
      </c>
      <c r="G4" s="20" t="inlineStr">
        <is>
          <t>May-27</t>
        </is>
      </c>
      <c r="H4" s="20" t="inlineStr">
        <is>
          <t>Jun-27</t>
        </is>
      </c>
      <c r="I4" s="20" t="inlineStr">
        <is>
          <t>Jul-27</t>
        </is>
      </c>
      <c r="J4" s="20" t="inlineStr">
        <is>
          <t>Aug-27</t>
        </is>
      </c>
      <c r="K4" s="20" t="inlineStr">
        <is>
          <t>Sep-27</t>
        </is>
      </c>
      <c r="L4" s="20" t="inlineStr">
        <is>
          <t>Oct-27</t>
        </is>
      </c>
      <c r="M4" s="20" t="inlineStr">
        <is>
          <t>Nov-27</t>
        </is>
      </c>
      <c r="N4" s="20" t="inlineStr">
        <is>
          <t>Dec-27</t>
        </is>
      </c>
      <c r="O4" s="20" t="inlineStr">
        <is>
          <t>Jan-28</t>
        </is>
      </c>
      <c r="P4" s="20" t="inlineStr">
        <is>
          <t>Feb-28</t>
        </is>
      </c>
      <c r="Q4" s="20" t="inlineStr">
        <is>
          <t>Mar-28</t>
        </is>
      </c>
      <c r="R4" s="20" t="inlineStr">
        <is>
          <t>Apr-28</t>
        </is>
      </c>
      <c r="S4" s="20" t="inlineStr">
        <is>
          <t>May-28</t>
        </is>
      </c>
      <c r="T4" s="20" t="inlineStr">
        <is>
          <t>Jun-28</t>
        </is>
      </c>
      <c r="U4" s="20" t="inlineStr">
        <is>
          <t>Jul-28</t>
        </is>
      </c>
      <c r="V4" s="20" t="inlineStr">
        <is>
          <t>Aug-28</t>
        </is>
      </c>
      <c r="W4" s="20" t="inlineStr">
        <is>
          <t>Sep-28</t>
        </is>
      </c>
      <c r="X4" s="20" t="inlineStr">
        <is>
          <t>Oct-28</t>
        </is>
      </c>
      <c r="Y4" s="20" t="inlineStr">
        <is>
          <t>Nov-28</t>
        </is>
      </c>
      <c r="Z4" s="20" t="inlineStr">
        <is>
          <t>Dec-28</t>
        </is>
      </c>
      <c r="AA4" s="20" t="inlineStr">
        <is>
          <t>Jan-29</t>
        </is>
      </c>
      <c r="AB4" s="20" t="inlineStr">
        <is>
          <t>Feb-29</t>
        </is>
      </c>
      <c r="AC4" s="20" t="inlineStr">
        <is>
          <t>Mar-29</t>
        </is>
      </c>
      <c r="AD4" s="20" t="inlineStr">
        <is>
          <t>Apr-29</t>
        </is>
      </c>
      <c r="AE4" s="20" t="inlineStr">
        <is>
          <t>May-29</t>
        </is>
      </c>
      <c r="AF4" s="20" t="inlineStr">
        <is>
          <t>Jun-29</t>
        </is>
      </c>
      <c r="AG4" s="20" t="inlineStr">
        <is>
          <t>Jul-29</t>
        </is>
      </c>
      <c r="AH4" s="20" t="inlineStr">
        <is>
          <t>Aug-29</t>
        </is>
      </c>
      <c r="AI4" s="20" t="inlineStr">
        <is>
          <t>Sep-29</t>
        </is>
      </c>
      <c r="AJ4" s="20" t="inlineStr">
        <is>
          <t>Oct-29</t>
        </is>
      </c>
      <c r="AK4" s="20" t="inlineStr">
        <is>
          <t>Nov-29</t>
        </is>
      </c>
      <c r="AL4" s="20" t="inlineStr">
        <is>
          <t>Dec-29</t>
        </is>
      </c>
    </row>
    <row r="5">
      <c r="A5" s="4" t="inlineStr">
        <is>
          <t>ACQUISITION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</row>
    <row r="6">
      <c r="A6" s="6" t="inlineStr">
        <is>
          <t>Installs: organic / SEO / ASO</t>
        </is>
      </c>
      <c r="B6" s="2" t="inlineStr">
        <is>
          <t>inst_org</t>
        </is>
      </c>
      <c r="C6" s="17">
        <f>(Assumptions!$F$13*((1+Assumptions!$F$14)^(C$2-1)))</f>
        <v/>
      </c>
      <c r="D6" s="17">
        <f>(Assumptions!$F$13*((1+Assumptions!$F$14)^(D$2-1)))</f>
        <v/>
      </c>
      <c r="E6" s="17">
        <f>(Assumptions!$F$13*((1+Assumptions!$F$14)^(E$2-1)))</f>
        <v/>
      </c>
      <c r="F6" s="17">
        <f>(Assumptions!$F$13*((1+Assumptions!$F$14)^(F$2-1)))</f>
        <v/>
      </c>
      <c r="G6" s="17">
        <f>(Assumptions!$F$13*((1+Assumptions!$F$14)^(G$2-1)))</f>
        <v/>
      </c>
      <c r="H6" s="17">
        <f>(Assumptions!$F$13*((1+Assumptions!$F$14)^(H$2-1)))</f>
        <v/>
      </c>
      <c r="I6" s="17">
        <f>(Assumptions!$F$13*((1+Assumptions!$F$14)^(I$2-1)))</f>
        <v/>
      </c>
      <c r="J6" s="17">
        <f>(Assumptions!$F$13*((1+Assumptions!$F$14)^(J$2-1)))</f>
        <v/>
      </c>
      <c r="K6" s="17">
        <f>(Assumptions!$F$13*((1+Assumptions!$F$14)^(K$2-1)))</f>
        <v/>
      </c>
      <c r="L6" s="17">
        <f>(Assumptions!$F$13*((1+Assumptions!$F$14)^(L$2-1)))</f>
        <v/>
      </c>
      <c r="M6" s="17">
        <f>(Assumptions!$F$13*((1+Assumptions!$F$14)^(M$2-1)))</f>
        <v/>
      </c>
      <c r="N6" s="17">
        <f>(Assumptions!$F$13*((1+Assumptions!$F$14)^(N$2-1)))</f>
        <v/>
      </c>
      <c r="O6" s="17">
        <f>(Assumptions!$F$13*((1+Assumptions!$F$14)^(O$2-1)))</f>
        <v/>
      </c>
      <c r="P6" s="17">
        <f>(Assumptions!$F$13*((1+Assumptions!$F$14)^(P$2-1)))</f>
        <v/>
      </c>
      <c r="Q6" s="17">
        <f>(Assumptions!$F$13*((1+Assumptions!$F$14)^(Q$2-1)))</f>
        <v/>
      </c>
      <c r="R6" s="17">
        <f>(Assumptions!$F$13*((1+Assumptions!$F$14)^(R$2-1)))</f>
        <v/>
      </c>
      <c r="S6" s="17">
        <f>(Assumptions!$F$13*((1+Assumptions!$F$14)^(S$2-1)))</f>
        <v/>
      </c>
      <c r="T6" s="17">
        <f>(Assumptions!$F$13*((1+Assumptions!$F$14)^(T$2-1)))</f>
        <v/>
      </c>
      <c r="U6" s="17">
        <f>(Assumptions!$F$13*((1+Assumptions!$F$14)^(U$2-1)))</f>
        <v/>
      </c>
      <c r="V6" s="17">
        <f>(Assumptions!$F$13*((1+Assumptions!$F$14)^(V$2-1)))</f>
        <v/>
      </c>
      <c r="W6" s="17">
        <f>(Assumptions!$F$13*((1+Assumptions!$F$14)^(W$2-1)))</f>
        <v/>
      </c>
      <c r="X6" s="17">
        <f>(Assumptions!$F$13*((1+Assumptions!$F$14)^(X$2-1)))</f>
        <v/>
      </c>
      <c r="Y6" s="17">
        <f>(Assumptions!$F$13*((1+Assumptions!$F$14)^(Y$2-1)))</f>
        <v/>
      </c>
      <c r="Z6" s="17">
        <f>(Assumptions!$F$13*((1+Assumptions!$F$14)^(Z$2-1)))</f>
        <v/>
      </c>
      <c r="AA6" s="17">
        <f>(Assumptions!$F$13*((1+Assumptions!$F$14)^(AA$2-1)))</f>
        <v/>
      </c>
      <c r="AB6" s="17">
        <f>(Assumptions!$F$13*((1+Assumptions!$F$14)^(AB$2-1)))</f>
        <v/>
      </c>
      <c r="AC6" s="17">
        <f>(Assumptions!$F$13*((1+Assumptions!$F$14)^(AC$2-1)))</f>
        <v/>
      </c>
      <c r="AD6" s="17">
        <f>(Assumptions!$F$13*((1+Assumptions!$F$14)^(AD$2-1)))</f>
        <v/>
      </c>
      <c r="AE6" s="17">
        <f>(Assumptions!$F$13*((1+Assumptions!$F$14)^(AE$2-1)))</f>
        <v/>
      </c>
      <c r="AF6" s="17">
        <f>(Assumptions!$F$13*((1+Assumptions!$F$14)^(AF$2-1)))</f>
        <v/>
      </c>
      <c r="AG6" s="17">
        <f>(Assumptions!$F$13*((1+Assumptions!$F$14)^(AG$2-1)))</f>
        <v/>
      </c>
      <c r="AH6" s="17">
        <f>(Assumptions!$F$13*((1+Assumptions!$F$14)^(AH$2-1)))</f>
        <v/>
      </c>
      <c r="AI6" s="17">
        <f>(Assumptions!$F$13*((1+Assumptions!$F$14)^(AI$2-1)))</f>
        <v/>
      </c>
      <c r="AJ6" s="17">
        <f>(Assumptions!$F$13*((1+Assumptions!$F$14)^(AJ$2-1)))</f>
        <v/>
      </c>
      <c r="AK6" s="17">
        <f>(Assumptions!$F$13*((1+Assumptions!$F$14)^(AK$2-1)))</f>
        <v/>
      </c>
      <c r="AL6" s="17">
        <f>(Assumptions!$F$13*((1+Assumptions!$F$14)^(AL$2-1)))</f>
        <v/>
      </c>
    </row>
    <row r="7">
      <c r="A7" s="6" t="inlineStr">
        <is>
          <t>Installs: referral (x prior-month MAU)</t>
        </is>
      </c>
      <c r="B7" s="2" t="inlineStr">
        <is>
          <t>inst_ref</t>
        </is>
      </c>
      <c r="C7" s="17">
        <f>(Assumptions!$F$15*0)</f>
        <v/>
      </c>
      <c r="D7" s="17">
        <f>(Assumptions!$F$15*C36)</f>
        <v/>
      </c>
      <c r="E7" s="17">
        <f>(Assumptions!$F$15*D36)</f>
        <v/>
      </c>
      <c r="F7" s="17">
        <f>(Assumptions!$F$15*E36)</f>
        <v/>
      </c>
      <c r="G7" s="17">
        <f>(Assumptions!$F$15*F36)</f>
        <v/>
      </c>
      <c r="H7" s="17">
        <f>(Assumptions!$F$15*G36)</f>
        <v/>
      </c>
      <c r="I7" s="17">
        <f>(Assumptions!$F$15*H36)</f>
        <v/>
      </c>
      <c r="J7" s="17">
        <f>(Assumptions!$F$15*I36)</f>
        <v/>
      </c>
      <c r="K7" s="17">
        <f>(Assumptions!$F$15*J36)</f>
        <v/>
      </c>
      <c r="L7" s="17">
        <f>(Assumptions!$F$15*K36)</f>
        <v/>
      </c>
      <c r="M7" s="17">
        <f>(Assumptions!$F$15*L36)</f>
        <v/>
      </c>
      <c r="N7" s="17">
        <f>(Assumptions!$F$15*M36)</f>
        <v/>
      </c>
      <c r="O7" s="17">
        <f>(Assumptions!$F$15*N36)</f>
        <v/>
      </c>
      <c r="P7" s="17">
        <f>(Assumptions!$F$15*O36)</f>
        <v/>
      </c>
      <c r="Q7" s="17">
        <f>(Assumptions!$F$15*P36)</f>
        <v/>
      </c>
      <c r="R7" s="17">
        <f>(Assumptions!$F$15*Q36)</f>
        <v/>
      </c>
      <c r="S7" s="17">
        <f>(Assumptions!$F$15*R36)</f>
        <v/>
      </c>
      <c r="T7" s="17">
        <f>(Assumptions!$F$15*S36)</f>
        <v/>
      </c>
      <c r="U7" s="17">
        <f>(Assumptions!$F$15*T36)</f>
        <v/>
      </c>
      <c r="V7" s="17">
        <f>(Assumptions!$F$15*U36)</f>
        <v/>
      </c>
      <c r="W7" s="17">
        <f>(Assumptions!$F$15*V36)</f>
        <v/>
      </c>
      <c r="X7" s="17">
        <f>(Assumptions!$F$15*W36)</f>
        <v/>
      </c>
      <c r="Y7" s="17">
        <f>(Assumptions!$F$15*X36)</f>
        <v/>
      </c>
      <c r="Z7" s="17">
        <f>(Assumptions!$F$15*Y36)</f>
        <v/>
      </c>
      <c r="AA7" s="17">
        <f>(Assumptions!$F$15*Z36)</f>
        <v/>
      </c>
      <c r="AB7" s="17">
        <f>(Assumptions!$F$15*AA36)</f>
        <v/>
      </c>
      <c r="AC7" s="17">
        <f>(Assumptions!$F$15*AB36)</f>
        <v/>
      </c>
      <c r="AD7" s="17">
        <f>(Assumptions!$F$15*AC36)</f>
        <v/>
      </c>
      <c r="AE7" s="17">
        <f>(Assumptions!$F$15*AD36)</f>
        <v/>
      </c>
      <c r="AF7" s="17">
        <f>(Assumptions!$F$15*AE36)</f>
        <v/>
      </c>
      <c r="AG7" s="17">
        <f>(Assumptions!$F$15*AF36)</f>
        <v/>
      </c>
      <c r="AH7" s="17">
        <f>(Assumptions!$F$15*AG36)</f>
        <v/>
      </c>
      <c r="AI7" s="17">
        <f>(Assumptions!$F$15*AH36)</f>
        <v/>
      </c>
      <c r="AJ7" s="17">
        <f>(Assumptions!$F$15*AI36)</f>
        <v/>
      </c>
      <c r="AK7" s="17">
        <f>(Assumptions!$F$15*AJ36)</f>
        <v/>
      </c>
      <c r="AL7" s="17">
        <f>(Assumptions!$F$15*AK36)</f>
        <v/>
      </c>
    </row>
    <row r="8">
      <c r="A8" s="6" t="inlineStr">
        <is>
          <t>Creator spend</t>
        </is>
      </c>
      <c r="B8" s="2" t="inlineStr">
        <is>
          <t>spend_creators</t>
        </is>
      </c>
      <c r="C8" s="14">
        <f>IF((C$2&gt;=Assumptions!$F$16),(Assumptions!$F$17*((1+Assumptions!$F$18)^(C$2-Assumptions!$F$16))),0)</f>
        <v/>
      </c>
      <c r="D8" s="14">
        <f>IF((D$2&gt;=Assumptions!$F$16),(Assumptions!$F$17*((1+Assumptions!$F$18)^(D$2-Assumptions!$F$16))),0)</f>
        <v/>
      </c>
      <c r="E8" s="14">
        <f>IF((E$2&gt;=Assumptions!$F$16),(Assumptions!$F$17*((1+Assumptions!$F$18)^(E$2-Assumptions!$F$16))),0)</f>
        <v/>
      </c>
      <c r="F8" s="14">
        <f>IF((F$2&gt;=Assumptions!$F$16),(Assumptions!$F$17*((1+Assumptions!$F$18)^(F$2-Assumptions!$F$16))),0)</f>
        <v/>
      </c>
      <c r="G8" s="14">
        <f>IF((G$2&gt;=Assumptions!$F$16),(Assumptions!$F$17*((1+Assumptions!$F$18)^(G$2-Assumptions!$F$16))),0)</f>
        <v/>
      </c>
      <c r="H8" s="14">
        <f>IF((H$2&gt;=Assumptions!$F$16),(Assumptions!$F$17*((1+Assumptions!$F$18)^(H$2-Assumptions!$F$16))),0)</f>
        <v/>
      </c>
      <c r="I8" s="14">
        <f>IF((I$2&gt;=Assumptions!$F$16),(Assumptions!$F$17*((1+Assumptions!$F$18)^(I$2-Assumptions!$F$16))),0)</f>
        <v/>
      </c>
      <c r="J8" s="14">
        <f>IF((J$2&gt;=Assumptions!$F$16),(Assumptions!$F$17*((1+Assumptions!$F$18)^(J$2-Assumptions!$F$16))),0)</f>
        <v/>
      </c>
      <c r="K8" s="14">
        <f>IF((K$2&gt;=Assumptions!$F$16),(Assumptions!$F$17*((1+Assumptions!$F$18)^(K$2-Assumptions!$F$16))),0)</f>
        <v/>
      </c>
      <c r="L8" s="14">
        <f>IF((L$2&gt;=Assumptions!$F$16),(Assumptions!$F$17*((1+Assumptions!$F$18)^(L$2-Assumptions!$F$16))),0)</f>
        <v/>
      </c>
      <c r="M8" s="14">
        <f>IF((M$2&gt;=Assumptions!$F$16),(Assumptions!$F$17*((1+Assumptions!$F$18)^(M$2-Assumptions!$F$16))),0)</f>
        <v/>
      </c>
      <c r="N8" s="14">
        <f>IF((N$2&gt;=Assumptions!$F$16),(Assumptions!$F$17*((1+Assumptions!$F$18)^(N$2-Assumptions!$F$16))),0)</f>
        <v/>
      </c>
      <c r="O8" s="14">
        <f>IF((O$2&gt;=Assumptions!$F$16),(Assumptions!$F$17*((1+Assumptions!$F$18)^(O$2-Assumptions!$F$16))),0)</f>
        <v/>
      </c>
      <c r="P8" s="14">
        <f>IF((P$2&gt;=Assumptions!$F$16),(Assumptions!$F$17*((1+Assumptions!$F$18)^(P$2-Assumptions!$F$16))),0)</f>
        <v/>
      </c>
      <c r="Q8" s="14">
        <f>IF((Q$2&gt;=Assumptions!$F$16),(Assumptions!$F$17*((1+Assumptions!$F$18)^(Q$2-Assumptions!$F$16))),0)</f>
        <v/>
      </c>
      <c r="R8" s="14">
        <f>IF((R$2&gt;=Assumptions!$F$16),(Assumptions!$F$17*((1+Assumptions!$F$18)^(R$2-Assumptions!$F$16))),0)</f>
        <v/>
      </c>
      <c r="S8" s="14">
        <f>IF((S$2&gt;=Assumptions!$F$16),(Assumptions!$F$17*((1+Assumptions!$F$18)^(S$2-Assumptions!$F$16))),0)</f>
        <v/>
      </c>
      <c r="T8" s="14">
        <f>IF((T$2&gt;=Assumptions!$F$16),(Assumptions!$F$17*((1+Assumptions!$F$18)^(T$2-Assumptions!$F$16))),0)</f>
        <v/>
      </c>
      <c r="U8" s="14">
        <f>IF((U$2&gt;=Assumptions!$F$16),(Assumptions!$F$17*((1+Assumptions!$F$18)^(U$2-Assumptions!$F$16))),0)</f>
        <v/>
      </c>
      <c r="V8" s="14">
        <f>IF((V$2&gt;=Assumptions!$F$16),(Assumptions!$F$17*((1+Assumptions!$F$18)^(V$2-Assumptions!$F$16))),0)</f>
        <v/>
      </c>
      <c r="W8" s="14">
        <f>IF((W$2&gt;=Assumptions!$F$16),(Assumptions!$F$17*((1+Assumptions!$F$18)^(W$2-Assumptions!$F$16))),0)</f>
        <v/>
      </c>
      <c r="X8" s="14">
        <f>IF((X$2&gt;=Assumptions!$F$16),(Assumptions!$F$17*((1+Assumptions!$F$18)^(X$2-Assumptions!$F$16))),0)</f>
        <v/>
      </c>
      <c r="Y8" s="14">
        <f>IF((Y$2&gt;=Assumptions!$F$16),(Assumptions!$F$17*((1+Assumptions!$F$18)^(Y$2-Assumptions!$F$16))),0)</f>
        <v/>
      </c>
      <c r="Z8" s="14">
        <f>IF((Z$2&gt;=Assumptions!$F$16),(Assumptions!$F$17*((1+Assumptions!$F$18)^(Z$2-Assumptions!$F$16))),0)</f>
        <v/>
      </c>
      <c r="AA8" s="14">
        <f>IF((AA$2&gt;=Assumptions!$F$16),(Assumptions!$F$17*((1+Assumptions!$F$18)^(AA$2-Assumptions!$F$16))),0)</f>
        <v/>
      </c>
      <c r="AB8" s="14">
        <f>IF((AB$2&gt;=Assumptions!$F$16),(Assumptions!$F$17*((1+Assumptions!$F$18)^(AB$2-Assumptions!$F$16))),0)</f>
        <v/>
      </c>
      <c r="AC8" s="14">
        <f>IF((AC$2&gt;=Assumptions!$F$16),(Assumptions!$F$17*((1+Assumptions!$F$18)^(AC$2-Assumptions!$F$16))),0)</f>
        <v/>
      </c>
      <c r="AD8" s="14">
        <f>IF((AD$2&gt;=Assumptions!$F$16),(Assumptions!$F$17*((1+Assumptions!$F$18)^(AD$2-Assumptions!$F$16))),0)</f>
        <v/>
      </c>
      <c r="AE8" s="14">
        <f>IF((AE$2&gt;=Assumptions!$F$16),(Assumptions!$F$17*((1+Assumptions!$F$18)^(AE$2-Assumptions!$F$16))),0)</f>
        <v/>
      </c>
      <c r="AF8" s="14">
        <f>IF((AF$2&gt;=Assumptions!$F$16),(Assumptions!$F$17*((1+Assumptions!$F$18)^(AF$2-Assumptions!$F$16))),0)</f>
        <v/>
      </c>
      <c r="AG8" s="14">
        <f>IF((AG$2&gt;=Assumptions!$F$16),(Assumptions!$F$17*((1+Assumptions!$F$18)^(AG$2-Assumptions!$F$16))),0)</f>
        <v/>
      </c>
      <c r="AH8" s="14">
        <f>IF((AH$2&gt;=Assumptions!$F$16),(Assumptions!$F$17*((1+Assumptions!$F$18)^(AH$2-Assumptions!$F$16))),0)</f>
        <v/>
      </c>
      <c r="AI8" s="14">
        <f>IF((AI$2&gt;=Assumptions!$F$16),(Assumptions!$F$17*((1+Assumptions!$F$18)^(AI$2-Assumptions!$F$16))),0)</f>
        <v/>
      </c>
      <c r="AJ8" s="14">
        <f>IF((AJ$2&gt;=Assumptions!$F$16),(Assumptions!$F$17*((1+Assumptions!$F$18)^(AJ$2-Assumptions!$F$16))),0)</f>
        <v/>
      </c>
      <c r="AK8" s="14">
        <f>IF((AK$2&gt;=Assumptions!$F$16),(Assumptions!$F$17*((1+Assumptions!$F$18)^(AK$2-Assumptions!$F$16))),0)</f>
        <v/>
      </c>
      <c r="AL8" s="14">
        <f>IF((AL$2&gt;=Assumptions!$F$16),(Assumptions!$F$17*((1+Assumptions!$F$18)^(AL$2-Assumptions!$F$16))),0)</f>
        <v/>
      </c>
    </row>
    <row r="9">
      <c r="A9" s="6" t="inlineStr">
        <is>
          <t>Installs: creators</t>
        </is>
      </c>
      <c r="B9" s="2" t="inlineStr">
        <is>
          <t>inst_creators</t>
        </is>
      </c>
      <c r="C9" s="17">
        <f>IF(Assumptions!$F$19=0,0,C8/Assumptions!$F$19)</f>
        <v/>
      </c>
      <c r="D9" s="17">
        <f>IF(Assumptions!$F$19=0,0,D8/Assumptions!$F$19)</f>
        <v/>
      </c>
      <c r="E9" s="17">
        <f>IF(Assumptions!$F$19=0,0,E8/Assumptions!$F$19)</f>
        <v/>
      </c>
      <c r="F9" s="17">
        <f>IF(Assumptions!$F$19=0,0,F8/Assumptions!$F$19)</f>
        <v/>
      </c>
      <c r="G9" s="17">
        <f>IF(Assumptions!$F$19=0,0,G8/Assumptions!$F$19)</f>
        <v/>
      </c>
      <c r="H9" s="17">
        <f>IF(Assumptions!$F$19=0,0,H8/Assumptions!$F$19)</f>
        <v/>
      </c>
      <c r="I9" s="17">
        <f>IF(Assumptions!$F$19=0,0,I8/Assumptions!$F$19)</f>
        <v/>
      </c>
      <c r="J9" s="17">
        <f>IF(Assumptions!$F$19=0,0,J8/Assumptions!$F$19)</f>
        <v/>
      </c>
      <c r="K9" s="17">
        <f>IF(Assumptions!$F$19=0,0,K8/Assumptions!$F$19)</f>
        <v/>
      </c>
      <c r="L9" s="17">
        <f>IF(Assumptions!$F$19=0,0,L8/Assumptions!$F$19)</f>
        <v/>
      </c>
      <c r="M9" s="17">
        <f>IF(Assumptions!$F$19=0,0,M8/Assumptions!$F$19)</f>
        <v/>
      </c>
      <c r="N9" s="17">
        <f>IF(Assumptions!$F$19=0,0,N8/Assumptions!$F$19)</f>
        <v/>
      </c>
      <c r="O9" s="17">
        <f>IF(Assumptions!$F$19=0,0,O8/Assumptions!$F$19)</f>
        <v/>
      </c>
      <c r="P9" s="17">
        <f>IF(Assumptions!$F$19=0,0,P8/Assumptions!$F$19)</f>
        <v/>
      </c>
      <c r="Q9" s="17">
        <f>IF(Assumptions!$F$19=0,0,Q8/Assumptions!$F$19)</f>
        <v/>
      </c>
      <c r="R9" s="17">
        <f>IF(Assumptions!$F$19=0,0,R8/Assumptions!$F$19)</f>
        <v/>
      </c>
      <c r="S9" s="17">
        <f>IF(Assumptions!$F$19=0,0,S8/Assumptions!$F$19)</f>
        <v/>
      </c>
      <c r="T9" s="17">
        <f>IF(Assumptions!$F$19=0,0,T8/Assumptions!$F$19)</f>
        <v/>
      </c>
      <c r="U9" s="17">
        <f>IF(Assumptions!$F$19=0,0,U8/Assumptions!$F$19)</f>
        <v/>
      </c>
      <c r="V9" s="17">
        <f>IF(Assumptions!$F$19=0,0,V8/Assumptions!$F$19)</f>
        <v/>
      </c>
      <c r="W9" s="17">
        <f>IF(Assumptions!$F$19=0,0,W8/Assumptions!$F$19)</f>
        <v/>
      </c>
      <c r="X9" s="17">
        <f>IF(Assumptions!$F$19=0,0,X8/Assumptions!$F$19)</f>
        <v/>
      </c>
      <c r="Y9" s="17">
        <f>IF(Assumptions!$F$19=0,0,Y8/Assumptions!$F$19)</f>
        <v/>
      </c>
      <c r="Z9" s="17">
        <f>IF(Assumptions!$F$19=0,0,Z8/Assumptions!$F$19)</f>
        <v/>
      </c>
      <c r="AA9" s="17">
        <f>IF(Assumptions!$F$19=0,0,AA8/Assumptions!$F$19)</f>
        <v/>
      </c>
      <c r="AB9" s="17">
        <f>IF(Assumptions!$F$19=0,0,AB8/Assumptions!$F$19)</f>
        <v/>
      </c>
      <c r="AC9" s="17">
        <f>IF(Assumptions!$F$19=0,0,AC8/Assumptions!$F$19)</f>
        <v/>
      </c>
      <c r="AD9" s="17">
        <f>IF(Assumptions!$F$19=0,0,AD8/Assumptions!$F$19)</f>
        <v/>
      </c>
      <c r="AE9" s="17">
        <f>IF(Assumptions!$F$19=0,0,AE8/Assumptions!$F$19)</f>
        <v/>
      </c>
      <c r="AF9" s="17">
        <f>IF(Assumptions!$F$19=0,0,AF8/Assumptions!$F$19)</f>
        <v/>
      </c>
      <c r="AG9" s="17">
        <f>IF(Assumptions!$F$19=0,0,AG8/Assumptions!$F$19)</f>
        <v/>
      </c>
      <c r="AH9" s="17">
        <f>IF(Assumptions!$F$19=0,0,AH8/Assumptions!$F$19)</f>
        <v/>
      </c>
      <c r="AI9" s="17">
        <f>IF(Assumptions!$F$19=0,0,AI8/Assumptions!$F$19)</f>
        <v/>
      </c>
      <c r="AJ9" s="17">
        <f>IF(Assumptions!$F$19=0,0,AJ8/Assumptions!$F$19)</f>
        <v/>
      </c>
      <c r="AK9" s="17">
        <f>IF(Assumptions!$F$19=0,0,AK8/Assumptions!$F$19)</f>
        <v/>
      </c>
      <c r="AL9" s="17">
        <f>IF(Assumptions!$F$19=0,0,AL8/Assumptions!$F$19)</f>
        <v/>
      </c>
    </row>
    <row r="10">
      <c r="A10" s="6" t="inlineStr">
        <is>
          <t>Apple Search Ads spend</t>
        </is>
      </c>
      <c r="B10" s="2" t="inlineStr">
        <is>
          <t>spend_asa</t>
        </is>
      </c>
      <c r="C10" s="14">
        <f>IF((C$2&gt;=Assumptions!$F$20),(Assumptions!$F$21*((1+Assumptions!$F$22)^(C$2-Assumptions!$F$20))),0)</f>
        <v/>
      </c>
      <c r="D10" s="14">
        <f>IF((D$2&gt;=Assumptions!$F$20),(Assumptions!$F$21*((1+Assumptions!$F$22)^(D$2-Assumptions!$F$20))),0)</f>
        <v/>
      </c>
      <c r="E10" s="14">
        <f>IF((E$2&gt;=Assumptions!$F$20),(Assumptions!$F$21*((1+Assumptions!$F$22)^(E$2-Assumptions!$F$20))),0)</f>
        <v/>
      </c>
      <c r="F10" s="14">
        <f>IF((F$2&gt;=Assumptions!$F$20),(Assumptions!$F$21*((1+Assumptions!$F$22)^(F$2-Assumptions!$F$20))),0)</f>
        <v/>
      </c>
      <c r="G10" s="14">
        <f>IF((G$2&gt;=Assumptions!$F$20),(Assumptions!$F$21*((1+Assumptions!$F$22)^(G$2-Assumptions!$F$20))),0)</f>
        <v/>
      </c>
      <c r="H10" s="14">
        <f>IF((H$2&gt;=Assumptions!$F$20),(Assumptions!$F$21*((1+Assumptions!$F$22)^(H$2-Assumptions!$F$20))),0)</f>
        <v/>
      </c>
      <c r="I10" s="14">
        <f>IF((I$2&gt;=Assumptions!$F$20),(Assumptions!$F$21*((1+Assumptions!$F$22)^(I$2-Assumptions!$F$20))),0)</f>
        <v/>
      </c>
      <c r="J10" s="14">
        <f>IF((J$2&gt;=Assumptions!$F$20),(Assumptions!$F$21*((1+Assumptions!$F$22)^(J$2-Assumptions!$F$20))),0)</f>
        <v/>
      </c>
      <c r="K10" s="14">
        <f>IF((K$2&gt;=Assumptions!$F$20),(Assumptions!$F$21*((1+Assumptions!$F$22)^(K$2-Assumptions!$F$20))),0)</f>
        <v/>
      </c>
      <c r="L10" s="14">
        <f>IF((L$2&gt;=Assumptions!$F$20),(Assumptions!$F$21*((1+Assumptions!$F$22)^(L$2-Assumptions!$F$20))),0)</f>
        <v/>
      </c>
      <c r="M10" s="14">
        <f>IF((M$2&gt;=Assumptions!$F$20),(Assumptions!$F$21*((1+Assumptions!$F$22)^(M$2-Assumptions!$F$20))),0)</f>
        <v/>
      </c>
      <c r="N10" s="14">
        <f>IF((N$2&gt;=Assumptions!$F$20),(Assumptions!$F$21*((1+Assumptions!$F$22)^(N$2-Assumptions!$F$20))),0)</f>
        <v/>
      </c>
      <c r="O10" s="14">
        <f>IF((O$2&gt;=Assumptions!$F$20),(Assumptions!$F$21*((1+Assumptions!$F$22)^(O$2-Assumptions!$F$20))),0)</f>
        <v/>
      </c>
      <c r="P10" s="14">
        <f>IF((P$2&gt;=Assumptions!$F$20),(Assumptions!$F$21*((1+Assumptions!$F$22)^(P$2-Assumptions!$F$20))),0)</f>
        <v/>
      </c>
      <c r="Q10" s="14">
        <f>IF((Q$2&gt;=Assumptions!$F$20),(Assumptions!$F$21*((1+Assumptions!$F$22)^(Q$2-Assumptions!$F$20))),0)</f>
        <v/>
      </c>
      <c r="R10" s="14">
        <f>IF((R$2&gt;=Assumptions!$F$20),(Assumptions!$F$21*((1+Assumptions!$F$22)^(R$2-Assumptions!$F$20))),0)</f>
        <v/>
      </c>
      <c r="S10" s="14">
        <f>IF((S$2&gt;=Assumptions!$F$20),(Assumptions!$F$21*((1+Assumptions!$F$22)^(S$2-Assumptions!$F$20))),0)</f>
        <v/>
      </c>
      <c r="T10" s="14">
        <f>IF((T$2&gt;=Assumptions!$F$20),(Assumptions!$F$21*((1+Assumptions!$F$22)^(T$2-Assumptions!$F$20))),0)</f>
        <v/>
      </c>
      <c r="U10" s="14">
        <f>IF((U$2&gt;=Assumptions!$F$20),(Assumptions!$F$21*((1+Assumptions!$F$22)^(U$2-Assumptions!$F$20))),0)</f>
        <v/>
      </c>
      <c r="V10" s="14">
        <f>IF((V$2&gt;=Assumptions!$F$20),(Assumptions!$F$21*((1+Assumptions!$F$22)^(V$2-Assumptions!$F$20))),0)</f>
        <v/>
      </c>
      <c r="W10" s="14">
        <f>IF((W$2&gt;=Assumptions!$F$20),(Assumptions!$F$21*((1+Assumptions!$F$22)^(W$2-Assumptions!$F$20))),0)</f>
        <v/>
      </c>
      <c r="X10" s="14">
        <f>IF((X$2&gt;=Assumptions!$F$20),(Assumptions!$F$21*((1+Assumptions!$F$22)^(X$2-Assumptions!$F$20))),0)</f>
        <v/>
      </c>
      <c r="Y10" s="14">
        <f>IF((Y$2&gt;=Assumptions!$F$20),(Assumptions!$F$21*((1+Assumptions!$F$22)^(Y$2-Assumptions!$F$20))),0)</f>
        <v/>
      </c>
      <c r="Z10" s="14">
        <f>IF((Z$2&gt;=Assumptions!$F$20),(Assumptions!$F$21*((1+Assumptions!$F$22)^(Z$2-Assumptions!$F$20))),0)</f>
        <v/>
      </c>
      <c r="AA10" s="14">
        <f>IF((AA$2&gt;=Assumptions!$F$20),(Assumptions!$F$21*((1+Assumptions!$F$22)^(AA$2-Assumptions!$F$20))),0)</f>
        <v/>
      </c>
      <c r="AB10" s="14">
        <f>IF((AB$2&gt;=Assumptions!$F$20),(Assumptions!$F$21*((1+Assumptions!$F$22)^(AB$2-Assumptions!$F$20))),0)</f>
        <v/>
      </c>
      <c r="AC10" s="14">
        <f>IF((AC$2&gt;=Assumptions!$F$20),(Assumptions!$F$21*((1+Assumptions!$F$22)^(AC$2-Assumptions!$F$20))),0)</f>
        <v/>
      </c>
      <c r="AD10" s="14">
        <f>IF((AD$2&gt;=Assumptions!$F$20),(Assumptions!$F$21*((1+Assumptions!$F$22)^(AD$2-Assumptions!$F$20))),0)</f>
        <v/>
      </c>
      <c r="AE10" s="14">
        <f>IF((AE$2&gt;=Assumptions!$F$20),(Assumptions!$F$21*((1+Assumptions!$F$22)^(AE$2-Assumptions!$F$20))),0)</f>
        <v/>
      </c>
      <c r="AF10" s="14">
        <f>IF((AF$2&gt;=Assumptions!$F$20),(Assumptions!$F$21*((1+Assumptions!$F$22)^(AF$2-Assumptions!$F$20))),0)</f>
        <v/>
      </c>
      <c r="AG10" s="14">
        <f>IF((AG$2&gt;=Assumptions!$F$20),(Assumptions!$F$21*((1+Assumptions!$F$22)^(AG$2-Assumptions!$F$20))),0)</f>
        <v/>
      </c>
      <c r="AH10" s="14">
        <f>IF((AH$2&gt;=Assumptions!$F$20),(Assumptions!$F$21*((1+Assumptions!$F$22)^(AH$2-Assumptions!$F$20))),0)</f>
        <v/>
      </c>
      <c r="AI10" s="14">
        <f>IF((AI$2&gt;=Assumptions!$F$20),(Assumptions!$F$21*((1+Assumptions!$F$22)^(AI$2-Assumptions!$F$20))),0)</f>
        <v/>
      </c>
      <c r="AJ10" s="14">
        <f>IF((AJ$2&gt;=Assumptions!$F$20),(Assumptions!$F$21*((1+Assumptions!$F$22)^(AJ$2-Assumptions!$F$20))),0)</f>
        <v/>
      </c>
      <c r="AK10" s="14">
        <f>IF((AK$2&gt;=Assumptions!$F$20),(Assumptions!$F$21*((1+Assumptions!$F$22)^(AK$2-Assumptions!$F$20))),0)</f>
        <v/>
      </c>
      <c r="AL10" s="14">
        <f>IF((AL$2&gt;=Assumptions!$F$20),(Assumptions!$F$21*((1+Assumptions!$F$22)^(AL$2-Assumptions!$F$20))),0)</f>
        <v/>
      </c>
    </row>
    <row r="11">
      <c r="A11" s="6" t="inlineStr">
        <is>
          <t>Installs: paid Apple Search Ads</t>
        </is>
      </c>
      <c r="B11" s="2" t="inlineStr">
        <is>
          <t>inst_asa</t>
        </is>
      </c>
      <c r="C11" s="17">
        <f>IF(Assumptions!$F$23=0,0,C10/Assumptions!$F$23)</f>
        <v/>
      </c>
      <c r="D11" s="17">
        <f>IF(Assumptions!$F$23=0,0,D10/Assumptions!$F$23)</f>
        <v/>
      </c>
      <c r="E11" s="17">
        <f>IF(Assumptions!$F$23=0,0,E10/Assumptions!$F$23)</f>
        <v/>
      </c>
      <c r="F11" s="17">
        <f>IF(Assumptions!$F$23=0,0,F10/Assumptions!$F$23)</f>
        <v/>
      </c>
      <c r="G11" s="17">
        <f>IF(Assumptions!$F$23=0,0,G10/Assumptions!$F$23)</f>
        <v/>
      </c>
      <c r="H11" s="17">
        <f>IF(Assumptions!$F$23=0,0,H10/Assumptions!$F$23)</f>
        <v/>
      </c>
      <c r="I11" s="17">
        <f>IF(Assumptions!$F$23=0,0,I10/Assumptions!$F$23)</f>
        <v/>
      </c>
      <c r="J11" s="17">
        <f>IF(Assumptions!$F$23=0,0,J10/Assumptions!$F$23)</f>
        <v/>
      </c>
      <c r="K11" s="17">
        <f>IF(Assumptions!$F$23=0,0,K10/Assumptions!$F$23)</f>
        <v/>
      </c>
      <c r="L11" s="17">
        <f>IF(Assumptions!$F$23=0,0,L10/Assumptions!$F$23)</f>
        <v/>
      </c>
      <c r="M11" s="17">
        <f>IF(Assumptions!$F$23=0,0,M10/Assumptions!$F$23)</f>
        <v/>
      </c>
      <c r="N11" s="17">
        <f>IF(Assumptions!$F$23=0,0,N10/Assumptions!$F$23)</f>
        <v/>
      </c>
      <c r="O11" s="17">
        <f>IF(Assumptions!$F$23=0,0,O10/Assumptions!$F$23)</f>
        <v/>
      </c>
      <c r="P11" s="17">
        <f>IF(Assumptions!$F$23=0,0,P10/Assumptions!$F$23)</f>
        <v/>
      </c>
      <c r="Q11" s="17">
        <f>IF(Assumptions!$F$23=0,0,Q10/Assumptions!$F$23)</f>
        <v/>
      </c>
      <c r="R11" s="17">
        <f>IF(Assumptions!$F$23=0,0,R10/Assumptions!$F$23)</f>
        <v/>
      </c>
      <c r="S11" s="17">
        <f>IF(Assumptions!$F$23=0,0,S10/Assumptions!$F$23)</f>
        <v/>
      </c>
      <c r="T11" s="17">
        <f>IF(Assumptions!$F$23=0,0,T10/Assumptions!$F$23)</f>
        <v/>
      </c>
      <c r="U11" s="17">
        <f>IF(Assumptions!$F$23=0,0,U10/Assumptions!$F$23)</f>
        <v/>
      </c>
      <c r="V11" s="17">
        <f>IF(Assumptions!$F$23=0,0,V10/Assumptions!$F$23)</f>
        <v/>
      </c>
      <c r="W11" s="17">
        <f>IF(Assumptions!$F$23=0,0,W10/Assumptions!$F$23)</f>
        <v/>
      </c>
      <c r="X11" s="17">
        <f>IF(Assumptions!$F$23=0,0,X10/Assumptions!$F$23)</f>
        <v/>
      </c>
      <c r="Y11" s="17">
        <f>IF(Assumptions!$F$23=0,0,Y10/Assumptions!$F$23)</f>
        <v/>
      </c>
      <c r="Z11" s="17">
        <f>IF(Assumptions!$F$23=0,0,Z10/Assumptions!$F$23)</f>
        <v/>
      </c>
      <c r="AA11" s="17">
        <f>IF(Assumptions!$F$23=0,0,AA10/Assumptions!$F$23)</f>
        <v/>
      </c>
      <c r="AB11" s="17">
        <f>IF(Assumptions!$F$23=0,0,AB10/Assumptions!$F$23)</f>
        <v/>
      </c>
      <c r="AC11" s="17">
        <f>IF(Assumptions!$F$23=0,0,AC10/Assumptions!$F$23)</f>
        <v/>
      </c>
      <c r="AD11" s="17">
        <f>IF(Assumptions!$F$23=0,0,AD10/Assumptions!$F$23)</f>
        <v/>
      </c>
      <c r="AE11" s="17">
        <f>IF(Assumptions!$F$23=0,0,AE10/Assumptions!$F$23)</f>
        <v/>
      </c>
      <c r="AF11" s="17">
        <f>IF(Assumptions!$F$23=0,0,AF10/Assumptions!$F$23)</f>
        <v/>
      </c>
      <c r="AG11" s="17">
        <f>IF(Assumptions!$F$23=0,0,AG10/Assumptions!$F$23)</f>
        <v/>
      </c>
      <c r="AH11" s="17">
        <f>IF(Assumptions!$F$23=0,0,AH10/Assumptions!$F$23)</f>
        <v/>
      </c>
      <c r="AI11" s="17">
        <f>IF(Assumptions!$F$23=0,0,AI10/Assumptions!$F$23)</f>
        <v/>
      </c>
      <c r="AJ11" s="17">
        <f>IF(Assumptions!$F$23=0,0,AJ10/Assumptions!$F$23)</f>
        <v/>
      </c>
      <c r="AK11" s="17">
        <f>IF(Assumptions!$F$23=0,0,AK10/Assumptions!$F$23)</f>
        <v/>
      </c>
      <c r="AL11" s="17">
        <f>IF(Assumptions!$F$23=0,0,AL10/Assumptions!$F$23)</f>
        <v/>
      </c>
    </row>
    <row r="12">
      <c r="A12" s="21" t="inlineStr">
        <is>
          <t>Total installs</t>
        </is>
      </c>
      <c r="B12" s="2" t="inlineStr">
        <is>
          <t>inst_total</t>
        </is>
      </c>
      <c r="C12" s="22">
        <f>(((C6+C7)+C9)+C11)</f>
        <v/>
      </c>
      <c r="D12" s="22">
        <f>(((D6+D7)+D9)+D11)</f>
        <v/>
      </c>
      <c r="E12" s="22">
        <f>(((E6+E7)+E9)+E11)</f>
        <v/>
      </c>
      <c r="F12" s="22">
        <f>(((F6+F7)+F9)+F11)</f>
        <v/>
      </c>
      <c r="G12" s="22">
        <f>(((G6+G7)+G9)+G11)</f>
        <v/>
      </c>
      <c r="H12" s="22">
        <f>(((H6+H7)+H9)+H11)</f>
        <v/>
      </c>
      <c r="I12" s="22">
        <f>(((I6+I7)+I9)+I11)</f>
        <v/>
      </c>
      <c r="J12" s="22">
        <f>(((J6+J7)+J9)+J11)</f>
        <v/>
      </c>
      <c r="K12" s="22">
        <f>(((K6+K7)+K9)+K11)</f>
        <v/>
      </c>
      <c r="L12" s="22">
        <f>(((L6+L7)+L9)+L11)</f>
        <v/>
      </c>
      <c r="M12" s="22">
        <f>(((M6+M7)+M9)+M11)</f>
        <v/>
      </c>
      <c r="N12" s="22">
        <f>(((N6+N7)+N9)+N11)</f>
        <v/>
      </c>
      <c r="O12" s="22">
        <f>(((O6+O7)+O9)+O11)</f>
        <v/>
      </c>
      <c r="P12" s="22">
        <f>(((P6+P7)+P9)+P11)</f>
        <v/>
      </c>
      <c r="Q12" s="22">
        <f>(((Q6+Q7)+Q9)+Q11)</f>
        <v/>
      </c>
      <c r="R12" s="22">
        <f>(((R6+R7)+R9)+R11)</f>
        <v/>
      </c>
      <c r="S12" s="22">
        <f>(((S6+S7)+S9)+S11)</f>
        <v/>
      </c>
      <c r="T12" s="22">
        <f>(((T6+T7)+T9)+T11)</f>
        <v/>
      </c>
      <c r="U12" s="22">
        <f>(((U6+U7)+U9)+U11)</f>
        <v/>
      </c>
      <c r="V12" s="22">
        <f>(((V6+V7)+V9)+V11)</f>
        <v/>
      </c>
      <c r="W12" s="22">
        <f>(((W6+W7)+W9)+W11)</f>
        <v/>
      </c>
      <c r="X12" s="22">
        <f>(((X6+X7)+X9)+X11)</f>
        <v/>
      </c>
      <c r="Y12" s="22">
        <f>(((Y6+Y7)+Y9)+Y11)</f>
        <v/>
      </c>
      <c r="Z12" s="22">
        <f>(((Z6+Z7)+Z9)+Z11)</f>
        <v/>
      </c>
      <c r="AA12" s="22">
        <f>(((AA6+AA7)+AA9)+AA11)</f>
        <v/>
      </c>
      <c r="AB12" s="22">
        <f>(((AB6+AB7)+AB9)+AB11)</f>
        <v/>
      </c>
      <c r="AC12" s="22">
        <f>(((AC6+AC7)+AC9)+AC11)</f>
        <v/>
      </c>
      <c r="AD12" s="22">
        <f>(((AD6+AD7)+AD9)+AD11)</f>
        <v/>
      </c>
      <c r="AE12" s="22">
        <f>(((AE6+AE7)+AE9)+AE11)</f>
        <v/>
      </c>
      <c r="AF12" s="22">
        <f>(((AF6+AF7)+AF9)+AF11)</f>
        <v/>
      </c>
      <c r="AG12" s="22">
        <f>(((AG6+AG7)+AG9)+AG11)</f>
        <v/>
      </c>
      <c r="AH12" s="22">
        <f>(((AH6+AH7)+AH9)+AH11)</f>
        <v/>
      </c>
      <c r="AI12" s="22">
        <f>(((AI6+AI7)+AI9)+AI11)</f>
        <v/>
      </c>
      <c r="AJ12" s="22">
        <f>(((AJ6+AJ7)+AJ9)+AJ11)</f>
        <v/>
      </c>
      <c r="AK12" s="22">
        <f>(((AK6+AK7)+AK9)+AK11)</f>
        <v/>
      </c>
      <c r="AL12" s="22">
        <f>(((AL6+AL7)+AL9)+AL11)</f>
        <v/>
      </c>
    </row>
    <row r="14">
      <c r="A14" s="4" t="inlineStr">
        <is>
          <t>FUNNEL (free -&gt; trial -&gt; paid)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</row>
    <row r="15">
      <c r="A15" s="6" t="inlineStr">
        <is>
          <t>Activated users</t>
        </is>
      </c>
      <c r="B15" s="2" t="inlineStr">
        <is>
          <t>activated</t>
        </is>
      </c>
      <c r="C15" s="17">
        <f>(C12*Assumptions!$F$25)</f>
        <v/>
      </c>
      <c r="D15" s="17">
        <f>(D12*Assumptions!$F$25)</f>
        <v/>
      </c>
      <c r="E15" s="17">
        <f>(E12*Assumptions!$F$25)</f>
        <v/>
      </c>
      <c r="F15" s="17">
        <f>(F12*Assumptions!$F$25)</f>
        <v/>
      </c>
      <c r="G15" s="17">
        <f>(G12*Assumptions!$F$25)</f>
        <v/>
      </c>
      <c r="H15" s="17">
        <f>(H12*Assumptions!$F$25)</f>
        <v/>
      </c>
      <c r="I15" s="17">
        <f>(I12*Assumptions!$F$25)</f>
        <v/>
      </c>
      <c r="J15" s="17">
        <f>(J12*Assumptions!$F$25)</f>
        <v/>
      </c>
      <c r="K15" s="17">
        <f>(K12*Assumptions!$F$25)</f>
        <v/>
      </c>
      <c r="L15" s="17">
        <f>(L12*Assumptions!$F$25)</f>
        <v/>
      </c>
      <c r="M15" s="17">
        <f>(M12*Assumptions!$F$25)</f>
        <v/>
      </c>
      <c r="N15" s="17">
        <f>(N12*Assumptions!$F$25)</f>
        <v/>
      </c>
      <c r="O15" s="17">
        <f>(O12*Assumptions!$F$25)</f>
        <v/>
      </c>
      <c r="P15" s="17">
        <f>(P12*Assumptions!$F$25)</f>
        <v/>
      </c>
      <c r="Q15" s="17">
        <f>(Q12*Assumptions!$F$25)</f>
        <v/>
      </c>
      <c r="R15" s="17">
        <f>(R12*Assumptions!$F$25)</f>
        <v/>
      </c>
      <c r="S15" s="17">
        <f>(S12*Assumptions!$F$25)</f>
        <v/>
      </c>
      <c r="T15" s="17">
        <f>(T12*Assumptions!$F$25)</f>
        <v/>
      </c>
      <c r="U15" s="17">
        <f>(U12*Assumptions!$F$25)</f>
        <v/>
      </c>
      <c r="V15" s="17">
        <f>(V12*Assumptions!$F$25)</f>
        <v/>
      </c>
      <c r="W15" s="17">
        <f>(W12*Assumptions!$F$25)</f>
        <v/>
      </c>
      <c r="X15" s="17">
        <f>(X12*Assumptions!$F$25)</f>
        <v/>
      </c>
      <c r="Y15" s="17">
        <f>(Y12*Assumptions!$F$25)</f>
        <v/>
      </c>
      <c r="Z15" s="17">
        <f>(Z12*Assumptions!$F$25)</f>
        <v/>
      </c>
      <c r="AA15" s="17">
        <f>(AA12*Assumptions!$F$25)</f>
        <v/>
      </c>
      <c r="AB15" s="17">
        <f>(AB12*Assumptions!$F$25)</f>
        <v/>
      </c>
      <c r="AC15" s="17">
        <f>(AC12*Assumptions!$F$25)</f>
        <v/>
      </c>
      <c r="AD15" s="17">
        <f>(AD12*Assumptions!$F$25)</f>
        <v/>
      </c>
      <c r="AE15" s="17">
        <f>(AE12*Assumptions!$F$25)</f>
        <v/>
      </c>
      <c r="AF15" s="17">
        <f>(AF12*Assumptions!$F$25)</f>
        <v/>
      </c>
      <c r="AG15" s="17">
        <f>(AG12*Assumptions!$F$25)</f>
        <v/>
      </c>
      <c r="AH15" s="17">
        <f>(AH12*Assumptions!$F$25)</f>
        <v/>
      </c>
      <c r="AI15" s="17">
        <f>(AI12*Assumptions!$F$25)</f>
        <v/>
      </c>
      <c r="AJ15" s="17">
        <f>(AJ12*Assumptions!$F$25)</f>
        <v/>
      </c>
      <c r="AK15" s="17">
        <f>(AK12*Assumptions!$F$25)</f>
        <v/>
      </c>
      <c r="AL15" s="17">
        <f>(AL12*Assumptions!$F$25)</f>
        <v/>
      </c>
    </row>
    <row r="16">
      <c r="A16" s="6" t="inlineStr">
        <is>
          <t>Trial / paywall starts</t>
        </is>
      </c>
      <c r="B16" s="2" t="inlineStr">
        <is>
          <t>trial_starts</t>
        </is>
      </c>
      <c r="C16" s="17">
        <f>(C15*Assumptions!$F$29)</f>
        <v/>
      </c>
      <c r="D16" s="17">
        <f>(D15*Assumptions!$F$29)</f>
        <v/>
      </c>
      <c r="E16" s="17">
        <f>(E15*Assumptions!$F$29)</f>
        <v/>
      </c>
      <c r="F16" s="17">
        <f>(F15*Assumptions!$F$29)</f>
        <v/>
      </c>
      <c r="G16" s="17">
        <f>(G15*Assumptions!$F$29)</f>
        <v/>
      </c>
      <c r="H16" s="17">
        <f>(H15*Assumptions!$F$29)</f>
        <v/>
      </c>
      <c r="I16" s="17">
        <f>(I15*Assumptions!$F$29)</f>
        <v/>
      </c>
      <c r="J16" s="17">
        <f>(J15*Assumptions!$F$29)</f>
        <v/>
      </c>
      <c r="K16" s="17">
        <f>(K15*Assumptions!$F$29)</f>
        <v/>
      </c>
      <c r="L16" s="17">
        <f>(L15*Assumptions!$F$29)</f>
        <v/>
      </c>
      <c r="M16" s="17">
        <f>(M15*Assumptions!$F$29)</f>
        <v/>
      </c>
      <c r="N16" s="17">
        <f>(N15*Assumptions!$F$29)</f>
        <v/>
      </c>
      <c r="O16" s="17">
        <f>(O15*Assumptions!$F$29)</f>
        <v/>
      </c>
      <c r="P16" s="17">
        <f>(P15*Assumptions!$F$29)</f>
        <v/>
      </c>
      <c r="Q16" s="17">
        <f>(Q15*Assumptions!$F$29)</f>
        <v/>
      </c>
      <c r="R16" s="17">
        <f>(R15*Assumptions!$F$29)</f>
        <v/>
      </c>
      <c r="S16" s="17">
        <f>(S15*Assumptions!$F$29)</f>
        <v/>
      </c>
      <c r="T16" s="17">
        <f>(T15*Assumptions!$F$29)</f>
        <v/>
      </c>
      <c r="U16" s="17">
        <f>(U15*Assumptions!$F$29)</f>
        <v/>
      </c>
      <c r="V16" s="17">
        <f>(V15*Assumptions!$F$29)</f>
        <v/>
      </c>
      <c r="W16" s="17">
        <f>(W15*Assumptions!$F$29)</f>
        <v/>
      </c>
      <c r="X16" s="17">
        <f>(X15*Assumptions!$F$29)</f>
        <v/>
      </c>
      <c r="Y16" s="17">
        <f>(Y15*Assumptions!$F$29)</f>
        <v/>
      </c>
      <c r="Z16" s="17">
        <f>(Z15*Assumptions!$F$29)</f>
        <v/>
      </c>
      <c r="AA16" s="17">
        <f>(AA15*Assumptions!$F$29)</f>
        <v/>
      </c>
      <c r="AB16" s="17">
        <f>(AB15*Assumptions!$F$29)</f>
        <v/>
      </c>
      <c r="AC16" s="17">
        <f>(AC15*Assumptions!$F$29)</f>
        <v/>
      </c>
      <c r="AD16" s="17">
        <f>(AD15*Assumptions!$F$29)</f>
        <v/>
      </c>
      <c r="AE16" s="17">
        <f>(AE15*Assumptions!$F$29)</f>
        <v/>
      </c>
      <c r="AF16" s="17">
        <f>(AF15*Assumptions!$F$29)</f>
        <v/>
      </c>
      <c r="AG16" s="17">
        <f>(AG15*Assumptions!$F$29)</f>
        <v/>
      </c>
      <c r="AH16" s="17">
        <f>(AH15*Assumptions!$F$29)</f>
        <v/>
      </c>
      <c r="AI16" s="17">
        <f>(AI15*Assumptions!$F$29)</f>
        <v/>
      </c>
      <c r="AJ16" s="17">
        <f>(AJ15*Assumptions!$F$29)</f>
        <v/>
      </c>
      <c r="AK16" s="17">
        <f>(AK15*Assumptions!$F$29)</f>
        <v/>
      </c>
      <c r="AL16" s="17">
        <f>(AL15*Assumptions!$F$29)</f>
        <v/>
      </c>
    </row>
    <row r="17">
      <c r="A17" s="21" t="inlineStr">
        <is>
          <t>New paid subscribers</t>
        </is>
      </c>
      <c r="B17" s="2" t="inlineStr">
        <is>
          <t>new_paid</t>
        </is>
      </c>
      <c r="C17" s="22">
        <f>(C16*Assumptions!$F$30)</f>
        <v/>
      </c>
      <c r="D17" s="22">
        <f>(D16*Assumptions!$F$30)</f>
        <v/>
      </c>
      <c r="E17" s="22">
        <f>(E16*Assumptions!$F$30)</f>
        <v/>
      </c>
      <c r="F17" s="22">
        <f>(F16*Assumptions!$F$30)</f>
        <v/>
      </c>
      <c r="G17" s="22">
        <f>(G16*Assumptions!$F$30)</f>
        <v/>
      </c>
      <c r="H17" s="22">
        <f>(H16*Assumptions!$F$30)</f>
        <v/>
      </c>
      <c r="I17" s="22">
        <f>(I16*Assumptions!$F$30)</f>
        <v/>
      </c>
      <c r="J17" s="22">
        <f>(J16*Assumptions!$F$30)</f>
        <v/>
      </c>
      <c r="K17" s="22">
        <f>(K16*Assumptions!$F$30)</f>
        <v/>
      </c>
      <c r="L17" s="22">
        <f>(L16*Assumptions!$F$30)</f>
        <v/>
      </c>
      <c r="M17" s="22">
        <f>(M16*Assumptions!$F$30)</f>
        <v/>
      </c>
      <c r="N17" s="22">
        <f>(N16*Assumptions!$F$30)</f>
        <v/>
      </c>
      <c r="O17" s="22">
        <f>(O16*Assumptions!$F$30)</f>
        <v/>
      </c>
      <c r="P17" s="22">
        <f>(P16*Assumptions!$F$30)</f>
        <v/>
      </c>
      <c r="Q17" s="22">
        <f>(Q16*Assumptions!$F$30)</f>
        <v/>
      </c>
      <c r="R17" s="22">
        <f>(R16*Assumptions!$F$30)</f>
        <v/>
      </c>
      <c r="S17" s="22">
        <f>(S16*Assumptions!$F$30)</f>
        <v/>
      </c>
      <c r="T17" s="22">
        <f>(T16*Assumptions!$F$30)</f>
        <v/>
      </c>
      <c r="U17" s="22">
        <f>(U16*Assumptions!$F$30)</f>
        <v/>
      </c>
      <c r="V17" s="22">
        <f>(V16*Assumptions!$F$30)</f>
        <v/>
      </c>
      <c r="W17" s="22">
        <f>(W16*Assumptions!$F$30)</f>
        <v/>
      </c>
      <c r="X17" s="22">
        <f>(X16*Assumptions!$F$30)</f>
        <v/>
      </c>
      <c r="Y17" s="22">
        <f>(Y16*Assumptions!$F$30)</f>
        <v/>
      </c>
      <c r="Z17" s="22">
        <f>(Z16*Assumptions!$F$30)</f>
        <v/>
      </c>
      <c r="AA17" s="22">
        <f>(AA16*Assumptions!$F$30)</f>
        <v/>
      </c>
      <c r="AB17" s="22">
        <f>(AB16*Assumptions!$F$30)</f>
        <v/>
      </c>
      <c r="AC17" s="22">
        <f>(AC16*Assumptions!$F$30)</f>
        <v/>
      </c>
      <c r="AD17" s="22">
        <f>(AD16*Assumptions!$F$30)</f>
        <v/>
      </c>
      <c r="AE17" s="22">
        <f>(AE16*Assumptions!$F$30)</f>
        <v/>
      </c>
      <c r="AF17" s="22">
        <f>(AF16*Assumptions!$F$30)</f>
        <v/>
      </c>
      <c r="AG17" s="22">
        <f>(AG16*Assumptions!$F$30)</f>
        <v/>
      </c>
      <c r="AH17" s="22">
        <f>(AH16*Assumptions!$F$30)</f>
        <v/>
      </c>
      <c r="AI17" s="22">
        <f>(AI16*Assumptions!$F$30)</f>
        <v/>
      </c>
      <c r="AJ17" s="22">
        <f>(AJ16*Assumptions!$F$30)</f>
        <v/>
      </c>
      <c r="AK17" s="22">
        <f>(AK16*Assumptions!$F$30)</f>
        <v/>
      </c>
      <c r="AL17" s="22">
        <f>(AL16*Assumptions!$F$30)</f>
        <v/>
      </c>
    </row>
    <row r="18">
      <c r="A18" s="6" t="inlineStr">
        <is>
          <t xml:space="preserve">  of which monthly plan</t>
        </is>
      </c>
      <c r="B18" s="2" t="inlineStr">
        <is>
          <t>new_monthly</t>
        </is>
      </c>
      <c r="C18" s="17">
        <f>(C17*Assumptions!$F$31)</f>
        <v/>
      </c>
      <c r="D18" s="17">
        <f>(D17*Assumptions!$F$31)</f>
        <v/>
      </c>
      <c r="E18" s="17">
        <f>(E17*Assumptions!$F$31)</f>
        <v/>
      </c>
      <c r="F18" s="17">
        <f>(F17*Assumptions!$F$31)</f>
        <v/>
      </c>
      <c r="G18" s="17">
        <f>(G17*Assumptions!$F$31)</f>
        <v/>
      </c>
      <c r="H18" s="17">
        <f>(H17*Assumptions!$F$31)</f>
        <v/>
      </c>
      <c r="I18" s="17">
        <f>(I17*Assumptions!$F$31)</f>
        <v/>
      </c>
      <c r="J18" s="17">
        <f>(J17*Assumptions!$F$31)</f>
        <v/>
      </c>
      <c r="K18" s="17">
        <f>(K17*Assumptions!$F$31)</f>
        <v/>
      </c>
      <c r="L18" s="17">
        <f>(L17*Assumptions!$F$31)</f>
        <v/>
      </c>
      <c r="M18" s="17">
        <f>(M17*Assumptions!$F$31)</f>
        <v/>
      </c>
      <c r="N18" s="17">
        <f>(N17*Assumptions!$F$31)</f>
        <v/>
      </c>
      <c r="O18" s="17">
        <f>(O17*Assumptions!$F$31)</f>
        <v/>
      </c>
      <c r="P18" s="17">
        <f>(P17*Assumptions!$F$31)</f>
        <v/>
      </c>
      <c r="Q18" s="17">
        <f>(Q17*Assumptions!$F$31)</f>
        <v/>
      </c>
      <c r="R18" s="17">
        <f>(R17*Assumptions!$F$31)</f>
        <v/>
      </c>
      <c r="S18" s="17">
        <f>(S17*Assumptions!$F$31)</f>
        <v/>
      </c>
      <c r="T18" s="17">
        <f>(T17*Assumptions!$F$31)</f>
        <v/>
      </c>
      <c r="U18" s="17">
        <f>(U17*Assumptions!$F$31)</f>
        <v/>
      </c>
      <c r="V18" s="17">
        <f>(V17*Assumptions!$F$31)</f>
        <v/>
      </c>
      <c r="W18" s="17">
        <f>(W17*Assumptions!$F$31)</f>
        <v/>
      </c>
      <c r="X18" s="17">
        <f>(X17*Assumptions!$F$31)</f>
        <v/>
      </c>
      <c r="Y18" s="17">
        <f>(Y17*Assumptions!$F$31)</f>
        <v/>
      </c>
      <c r="Z18" s="17">
        <f>(Z17*Assumptions!$F$31)</f>
        <v/>
      </c>
      <c r="AA18" s="17">
        <f>(AA17*Assumptions!$F$31)</f>
        <v/>
      </c>
      <c r="AB18" s="17">
        <f>(AB17*Assumptions!$F$31)</f>
        <v/>
      </c>
      <c r="AC18" s="17">
        <f>(AC17*Assumptions!$F$31)</f>
        <v/>
      </c>
      <c r="AD18" s="17">
        <f>(AD17*Assumptions!$F$31)</f>
        <v/>
      </c>
      <c r="AE18" s="17">
        <f>(AE17*Assumptions!$F$31)</f>
        <v/>
      </c>
      <c r="AF18" s="17">
        <f>(AF17*Assumptions!$F$31)</f>
        <v/>
      </c>
      <c r="AG18" s="17">
        <f>(AG17*Assumptions!$F$31)</f>
        <v/>
      </c>
      <c r="AH18" s="17">
        <f>(AH17*Assumptions!$F$31)</f>
        <v/>
      </c>
      <c r="AI18" s="17">
        <f>(AI17*Assumptions!$F$31)</f>
        <v/>
      </c>
      <c r="AJ18" s="17">
        <f>(AJ17*Assumptions!$F$31)</f>
        <v/>
      </c>
      <c r="AK18" s="17">
        <f>(AK17*Assumptions!$F$31)</f>
        <v/>
      </c>
      <c r="AL18" s="17">
        <f>(AL17*Assumptions!$F$31)</f>
        <v/>
      </c>
    </row>
    <row r="19">
      <c r="A19" s="6" t="inlineStr">
        <is>
          <t xml:space="preserve">  of which annual plan</t>
        </is>
      </c>
      <c r="B19" s="2" t="inlineStr">
        <is>
          <t>new_annual</t>
        </is>
      </c>
      <c r="C19" s="17">
        <f>(C17*Assumptions!$F$32)</f>
        <v/>
      </c>
      <c r="D19" s="17">
        <f>(D17*Assumptions!$F$32)</f>
        <v/>
      </c>
      <c r="E19" s="17">
        <f>(E17*Assumptions!$F$32)</f>
        <v/>
      </c>
      <c r="F19" s="17">
        <f>(F17*Assumptions!$F$32)</f>
        <v/>
      </c>
      <c r="G19" s="17">
        <f>(G17*Assumptions!$F$32)</f>
        <v/>
      </c>
      <c r="H19" s="17">
        <f>(H17*Assumptions!$F$32)</f>
        <v/>
      </c>
      <c r="I19" s="17">
        <f>(I17*Assumptions!$F$32)</f>
        <v/>
      </c>
      <c r="J19" s="17">
        <f>(J17*Assumptions!$F$32)</f>
        <v/>
      </c>
      <c r="K19" s="17">
        <f>(K17*Assumptions!$F$32)</f>
        <v/>
      </c>
      <c r="L19" s="17">
        <f>(L17*Assumptions!$F$32)</f>
        <v/>
      </c>
      <c r="M19" s="17">
        <f>(M17*Assumptions!$F$32)</f>
        <v/>
      </c>
      <c r="N19" s="17">
        <f>(N17*Assumptions!$F$32)</f>
        <v/>
      </c>
      <c r="O19" s="17">
        <f>(O17*Assumptions!$F$32)</f>
        <v/>
      </c>
      <c r="P19" s="17">
        <f>(P17*Assumptions!$F$32)</f>
        <v/>
      </c>
      <c r="Q19" s="17">
        <f>(Q17*Assumptions!$F$32)</f>
        <v/>
      </c>
      <c r="R19" s="17">
        <f>(R17*Assumptions!$F$32)</f>
        <v/>
      </c>
      <c r="S19" s="17">
        <f>(S17*Assumptions!$F$32)</f>
        <v/>
      </c>
      <c r="T19" s="17">
        <f>(T17*Assumptions!$F$32)</f>
        <v/>
      </c>
      <c r="U19" s="17">
        <f>(U17*Assumptions!$F$32)</f>
        <v/>
      </c>
      <c r="V19" s="17">
        <f>(V17*Assumptions!$F$32)</f>
        <v/>
      </c>
      <c r="W19" s="17">
        <f>(W17*Assumptions!$F$32)</f>
        <v/>
      </c>
      <c r="X19" s="17">
        <f>(X17*Assumptions!$F$32)</f>
        <v/>
      </c>
      <c r="Y19" s="17">
        <f>(Y17*Assumptions!$F$32)</f>
        <v/>
      </c>
      <c r="Z19" s="17">
        <f>(Z17*Assumptions!$F$32)</f>
        <v/>
      </c>
      <c r="AA19" s="17">
        <f>(AA17*Assumptions!$F$32)</f>
        <v/>
      </c>
      <c r="AB19" s="17">
        <f>(AB17*Assumptions!$F$32)</f>
        <v/>
      </c>
      <c r="AC19" s="17">
        <f>(AC17*Assumptions!$F$32)</f>
        <v/>
      </c>
      <c r="AD19" s="17">
        <f>(AD17*Assumptions!$F$32)</f>
        <v/>
      </c>
      <c r="AE19" s="17">
        <f>(AE17*Assumptions!$F$32)</f>
        <v/>
      </c>
      <c r="AF19" s="17">
        <f>(AF17*Assumptions!$F$32)</f>
        <v/>
      </c>
      <c r="AG19" s="17">
        <f>(AG17*Assumptions!$F$32)</f>
        <v/>
      </c>
      <c r="AH19" s="17">
        <f>(AH17*Assumptions!$F$32)</f>
        <v/>
      </c>
      <c r="AI19" s="17">
        <f>(AI17*Assumptions!$F$32)</f>
        <v/>
      </c>
      <c r="AJ19" s="17">
        <f>(AJ17*Assumptions!$F$32)</f>
        <v/>
      </c>
      <c r="AK19" s="17">
        <f>(AK17*Assumptions!$F$32)</f>
        <v/>
      </c>
      <c r="AL19" s="17">
        <f>(AL17*Assumptions!$F$32)</f>
        <v/>
      </c>
    </row>
    <row r="20">
      <c r="A20" s="6" t="inlineStr">
        <is>
          <t xml:space="preserve">  of which student plan</t>
        </is>
      </c>
      <c r="B20" s="2" t="inlineStr">
        <is>
          <t>new_student</t>
        </is>
      </c>
      <c r="C20" s="17">
        <f>(C17*Assumptions!$F$109)</f>
        <v/>
      </c>
      <c r="D20" s="17">
        <f>(D17*Assumptions!$F$109)</f>
        <v/>
      </c>
      <c r="E20" s="17">
        <f>(E17*Assumptions!$F$109)</f>
        <v/>
      </c>
      <c r="F20" s="17">
        <f>(F17*Assumptions!$F$109)</f>
        <v/>
      </c>
      <c r="G20" s="17">
        <f>(G17*Assumptions!$F$109)</f>
        <v/>
      </c>
      <c r="H20" s="17">
        <f>(H17*Assumptions!$F$109)</f>
        <v/>
      </c>
      <c r="I20" s="17">
        <f>(I17*Assumptions!$F$109)</f>
        <v/>
      </c>
      <c r="J20" s="17">
        <f>(J17*Assumptions!$F$109)</f>
        <v/>
      </c>
      <c r="K20" s="17">
        <f>(K17*Assumptions!$F$109)</f>
        <v/>
      </c>
      <c r="L20" s="17">
        <f>(L17*Assumptions!$F$109)</f>
        <v/>
      </c>
      <c r="M20" s="17">
        <f>(M17*Assumptions!$F$109)</f>
        <v/>
      </c>
      <c r="N20" s="17">
        <f>(N17*Assumptions!$F$109)</f>
        <v/>
      </c>
      <c r="O20" s="17">
        <f>(O17*Assumptions!$F$109)</f>
        <v/>
      </c>
      <c r="P20" s="17">
        <f>(P17*Assumptions!$F$109)</f>
        <v/>
      </c>
      <c r="Q20" s="17">
        <f>(Q17*Assumptions!$F$109)</f>
        <v/>
      </c>
      <c r="R20" s="17">
        <f>(R17*Assumptions!$F$109)</f>
        <v/>
      </c>
      <c r="S20" s="17">
        <f>(S17*Assumptions!$F$109)</f>
        <v/>
      </c>
      <c r="T20" s="17">
        <f>(T17*Assumptions!$F$109)</f>
        <v/>
      </c>
      <c r="U20" s="17">
        <f>(U17*Assumptions!$F$109)</f>
        <v/>
      </c>
      <c r="V20" s="17">
        <f>(V17*Assumptions!$F$109)</f>
        <v/>
      </c>
      <c r="W20" s="17">
        <f>(W17*Assumptions!$F$109)</f>
        <v/>
      </c>
      <c r="X20" s="17">
        <f>(X17*Assumptions!$F$109)</f>
        <v/>
      </c>
      <c r="Y20" s="17">
        <f>(Y17*Assumptions!$F$109)</f>
        <v/>
      </c>
      <c r="Z20" s="17">
        <f>(Z17*Assumptions!$F$109)</f>
        <v/>
      </c>
      <c r="AA20" s="17">
        <f>(AA17*Assumptions!$F$109)</f>
        <v/>
      </c>
      <c r="AB20" s="17">
        <f>(AB17*Assumptions!$F$109)</f>
        <v/>
      </c>
      <c r="AC20" s="17">
        <f>(AC17*Assumptions!$F$109)</f>
        <v/>
      </c>
      <c r="AD20" s="17">
        <f>(AD17*Assumptions!$F$109)</f>
        <v/>
      </c>
      <c r="AE20" s="17">
        <f>(AE17*Assumptions!$F$109)</f>
        <v/>
      </c>
      <c r="AF20" s="17">
        <f>(AF17*Assumptions!$F$109)</f>
        <v/>
      </c>
      <c r="AG20" s="17">
        <f>(AG17*Assumptions!$F$109)</f>
        <v/>
      </c>
      <c r="AH20" s="17">
        <f>(AH17*Assumptions!$F$109)</f>
        <v/>
      </c>
      <c r="AI20" s="17">
        <f>(AI17*Assumptions!$F$109)</f>
        <v/>
      </c>
      <c r="AJ20" s="17">
        <f>(AJ17*Assumptions!$F$109)</f>
        <v/>
      </c>
      <c r="AK20" s="17">
        <f>(AK17*Assumptions!$F$109)</f>
        <v/>
      </c>
      <c r="AL20" s="17">
        <f>(AL17*Assumptions!$F$109)</f>
        <v/>
      </c>
    </row>
    <row r="21">
      <c r="A21" s="6" t="inlineStr">
        <is>
          <t>Recruiting Pass purchases (one-time)</t>
        </is>
      </c>
      <c r="B21" s="2" t="inlineStr">
        <is>
          <t>pass_sales</t>
        </is>
      </c>
      <c r="C21" s="17">
        <f>(C15*Assumptions!$F$33)</f>
        <v/>
      </c>
      <c r="D21" s="17">
        <f>(D15*Assumptions!$F$33)</f>
        <v/>
      </c>
      <c r="E21" s="17">
        <f>(E15*Assumptions!$F$33)</f>
        <v/>
      </c>
      <c r="F21" s="17">
        <f>(F15*Assumptions!$F$33)</f>
        <v/>
      </c>
      <c r="G21" s="17">
        <f>(G15*Assumptions!$F$33)</f>
        <v/>
      </c>
      <c r="H21" s="17">
        <f>(H15*Assumptions!$F$33)</f>
        <v/>
      </c>
      <c r="I21" s="17">
        <f>(I15*Assumptions!$F$33)</f>
        <v/>
      </c>
      <c r="J21" s="17">
        <f>(J15*Assumptions!$F$33)</f>
        <v/>
      </c>
      <c r="K21" s="17">
        <f>(K15*Assumptions!$F$33)</f>
        <v/>
      </c>
      <c r="L21" s="17">
        <f>(L15*Assumptions!$F$33)</f>
        <v/>
      </c>
      <c r="M21" s="17">
        <f>(M15*Assumptions!$F$33)</f>
        <v/>
      </c>
      <c r="N21" s="17">
        <f>(N15*Assumptions!$F$33)</f>
        <v/>
      </c>
      <c r="O21" s="17">
        <f>(O15*Assumptions!$F$33)</f>
        <v/>
      </c>
      <c r="P21" s="17">
        <f>(P15*Assumptions!$F$33)</f>
        <v/>
      </c>
      <c r="Q21" s="17">
        <f>(Q15*Assumptions!$F$33)</f>
        <v/>
      </c>
      <c r="R21" s="17">
        <f>(R15*Assumptions!$F$33)</f>
        <v/>
      </c>
      <c r="S21" s="17">
        <f>(S15*Assumptions!$F$33)</f>
        <v/>
      </c>
      <c r="T21" s="17">
        <f>(T15*Assumptions!$F$33)</f>
        <v/>
      </c>
      <c r="U21" s="17">
        <f>(U15*Assumptions!$F$33)</f>
        <v/>
      </c>
      <c r="V21" s="17">
        <f>(V15*Assumptions!$F$33)</f>
        <v/>
      </c>
      <c r="W21" s="17">
        <f>(W15*Assumptions!$F$33)</f>
        <v/>
      </c>
      <c r="X21" s="17">
        <f>(X15*Assumptions!$F$33)</f>
        <v/>
      </c>
      <c r="Y21" s="17">
        <f>(Y15*Assumptions!$F$33)</f>
        <v/>
      </c>
      <c r="Z21" s="17">
        <f>(Z15*Assumptions!$F$33)</f>
        <v/>
      </c>
      <c r="AA21" s="17">
        <f>(AA15*Assumptions!$F$33)</f>
        <v/>
      </c>
      <c r="AB21" s="17">
        <f>(AB15*Assumptions!$F$33)</f>
        <v/>
      </c>
      <c r="AC21" s="17">
        <f>(AC15*Assumptions!$F$33)</f>
        <v/>
      </c>
      <c r="AD21" s="17">
        <f>(AD15*Assumptions!$F$33)</f>
        <v/>
      </c>
      <c r="AE21" s="17">
        <f>(AE15*Assumptions!$F$33)</f>
        <v/>
      </c>
      <c r="AF21" s="17">
        <f>(AF15*Assumptions!$F$33)</f>
        <v/>
      </c>
      <c r="AG21" s="17">
        <f>(AG15*Assumptions!$F$33)</f>
        <v/>
      </c>
      <c r="AH21" s="17">
        <f>(AH15*Assumptions!$F$33)</f>
        <v/>
      </c>
      <c r="AI21" s="17">
        <f>(AI15*Assumptions!$F$33)</f>
        <v/>
      </c>
      <c r="AJ21" s="17">
        <f>(AJ15*Assumptions!$F$33)</f>
        <v/>
      </c>
      <c r="AK21" s="17">
        <f>(AK15*Assumptions!$F$33)</f>
        <v/>
      </c>
      <c r="AL21" s="17">
        <f>(AL15*Assumptions!$F$33)</f>
        <v/>
      </c>
    </row>
    <row r="23">
      <c r="A23" s="4" t="inlineStr">
        <is>
          <t>SUBSCRIBERS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</row>
    <row r="24">
      <c r="A24" s="6" t="inlineStr">
        <is>
          <t>Monthly-plan subscribers (end of month)</t>
        </is>
      </c>
      <c r="B24" s="2" t="inlineStr">
        <is>
          <t>subs_monthly</t>
        </is>
      </c>
      <c r="C24" s="17">
        <f>((0*(1-Assumptions!$F$110))+C18)</f>
        <v/>
      </c>
      <c r="D24" s="17">
        <f>((C24*(1-Assumptions!$F$110))+D18)</f>
        <v/>
      </c>
      <c r="E24" s="17">
        <f>((D24*(1-Assumptions!$F$110))+E18)</f>
        <v/>
      </c>
      <c r="F24" s="17">
        <f>((E24*(1-Assumptions!$F$110))+F18)</f>
        <v/>
      </c>
      <c r="G24" s="17">
        <f>((F24*(1-Assumptions!$F$110))+G18)</f>
        <v/>
      </c>
      <c r="H24" s="17">
        <f>((G24*(1-Assumptions!$F$110))+H18)</f>
        <v/>
      </c>
      <c r="I24" s="17">
        <f>((H24*(1-Assumptions!$F$110))+I18)</f>
        <v/>
      </c>
      <c r="J24" s="17">
        <f>((I24*(1-Assumptions!$F$110))+J18)</f>
        <v/>
      </c>
      <c r="K24" s="17">
        <f>((J24*(1-Assumptions!$F$110))+K18)</f>
        <v/>
      </c>
      <c r="L24" s="17">
        <f>((K24*(1-Assumptions!$F$110))+L18)</f>
        <v/>
      </c>
      <c r="M24" s="17">
        <f>((L24*(1-Assumptions!$F$110))+M18)</f>
        <v/>
      </c>
      <c r="N24" s="17">
        <f>((M24*(1-Assumptions!$F$110))+N18)</f>
        <v/>
      </c>
      <c r="O24" s="17">
        <f>((N24*(1-Assumptions!$F$110))+O18)</f>
        <v/>
      </c>
      <c r="P24" s="17">
        <f>((O24*(1-Assumptions!$F$110))+P18)</f>
        <v/>
      </c>
      <c r="Q24" s="17">
        <f>((P24*(1-Assumptions!$F$110))+Q18)</f>
        <v/>
      </c>
      <c r="R24" s="17">
        <f>((Q24*(1-Assumptions!$F$110))+R18)</f>
        <v/>
      </c>
      <c r="S24" s="17">
        <f>((R24*(1-Assumptions!$F$110))+S18)</f>
        <v/>
      </c>
      <c r="T24" s="17">
        <f>((S24*(1-Assumptions!$F$110))+T18)</f>
        <v/>
      </c>
      <c r="U24" s="17">
        <f>((T24*(1-Assumptions!$F$110))+U18)</f>
        <v/>
      </c>
      <c r="V24" s="17">
        <f>((U24*(1-Assumptions!$F$110))+V18)</f>
        <v/>
      </c>
      <c r="W24" s="17">
        <f>((V24*(1-Assumptions!$F$110))+W18)</f>
        <v/>
      </c>
      <c r="X24" s="17">
        <f>((W24*(1-Assumptions!$F$110))+X18)</f>
        <v/>
      </c>
      <c r="Y24" s="17">
        <f>((X24*(1-Assumptions!$F$110))+Y18)</f>
        <v/>
      </c>
      <c r="Z24" s="17">
        <f>((Y24*(1-Assumptions!$F$110))+Z18)</f>
        <v/>
      </c>
      <c r="AA24" s="17">
        <f>((Z24*(1-Assumptions!$F$110))+AA18)</f>
        <v/>
      </c>
      <c r="AB24" s="17">
        <f>((AA24*(1-Assumptions!$F$110))+AB18)</f>
        <v/>
      </c>
      <c r="AC24" s="17">
        <f>((AB24*(1-Assumptions!$F$110))+AC18)</f>
        <v/>
      </c>
      <c r="AD24" s="17">
        <f>((AC24*(1-Assumptions!$F$110))+AD18)</f>
        <v/>
      </c>
      <c r="AE24" s="17">
        <f>((AD24*(1-Assumptions!$F$110))+AE18)</f>
        <v/>
      </c>
      <c r="AF24" s="17">
        <f>((AE24*(1-Assumptions!$F$110))+AF18)</f>
        <v/>
      </c>
      <c r="AG24" s="17">
        <f>((AF24*(1-Assumptions!$F$110))+AG18)</f>
        <v/>
      </c>
      <c r="AH24" s="17">
        <f>((AG24*(1-Assumptions!$F$110))+AH18)</f>
        <v/>
      </c>
      <c r="AI24" s="17">
        <f>((AH24*(1-Assumptions!$F$110))+AI18)</f>
        <v/>
      </c>
      <c r="AJ24" s="17">
        <f>((AI24*(1-Assumptions!$F$110))+AJ18)</f>
        <v/>
      </c>
      <c r="AK24" s="17">
        <f>((AJ24*(1-Assumptions!$F$110))+AK18)</f>
        <v/>
      </c>
      <c r="AL24" s="17">
        <f>((AK24*(1-Assumptions!$F$110))+AL18)</f>
        <v/>
      </c>
    </row>
    <row r="25">
      <c r="A25" s="6" t="inlineStr">
        <is>
          <t>Annual plans billed (new + renewals)</t>
        </is>
      </c>
      <c r="B25" s="2" t="inlineStr">
        <is>
          <t>bill_annual</t>
        </is>
      </c>
      <c r="C25" s="17">
        <f>(C19+0)</f>
        <v/>
      </c>
      <c r="D25" s="17">
        <f>(D19+0)</f>
        <v/>
      </c>
      <c r="E25" s="17">
        <f>(E19+0)</f>
        <v/>
      </c>
      <c r="F25" s="17">
        <f>(F19+0)</f>
        <v/>
      </c>
      <c r="G25" s="17">
        <f>(G19+0)</f>
        <v/>
      </c>
      <c r="H25" s="17">
        <f>(H19+0)</f>
        <v/>
      </c>
      <c r="I25" s="17">
        <f>(I19+0)</f>
        <v/>
      </c>
      <c r="J25" s="17">
        <f>(J19+0)</f>
        <v/>
      </c>
      <c r="K25" s="17">
        <f>(K19+0)</f>
        <v/>
      </c>
      <c r="L25" s="17">
        <f>(L19+0)</f>
        <v/>
      </c>
      <c r="M25" s="17">
        <f>(M19+0)</f>
        <v/>
      </c>
      <c r="N25" s="17">
        <f>(N19+0)</f>
        <v/>
      </c>
      <c r="O25" s="17">
        <f>(O19+(Assumptions!$F$43*C25))</f>
        <v/>
      </c>
      <c r="P25" s="17">
        <f>(P19+(Assumptions!$F$43*D25))</f>
        <v/>
      </c>
      <c r="Q25" s="17">
        <f>(Q19+(Assumptions!$F$43*E25))</f>
        <v/>
      </c>
      <c r="R25" s="17">
        <f>(R19+(Assumptions!$F$43*F25))</f>
        <v/>
      </c>
      <c r="S25" s="17">
        <f>(S19+(Assumptions!$F$43*G25))</f>
        <v/>
      </c>
      <c r="T25" s="17">
        <f>(T19+(Assumptions!$F$43*H25))</f>
        <v/>
      </c>
      <c r="U25" s="17">
        <f>(U19+(Assumptions!$F$43*I25))</f>
        <v/>
      </c>
      <c r="V25" s="17">
        <f>(V19+(Assumptions!$F$43*J25))</f>
        <v/>
      </c>
      <c r="W25" s="17">
        <f>(W19+(Assumptions!$F$43*K25))</f>
        <v/>
      </c>
      <c r="X25" s="17">
        <f>(X19+(Assumptions!$F$43*L25))</f>
        <v/>
      </c>
      <c r="Y25" s="17">
        <f>(Y19+(Assumptions!$F$43*M25))</f>
        <v/>
      </c>
      <c r="Z25" s="17">
        <f>(Z19+(Assumptions!$F$43*N25))</f>
        <v/>
      </c>
      <c r="AA25" s="17">
        <f>(AA19+(Assumptions!$F$43*O25))</f>
        <v/>
      </c>
      <c r="AB25" s="17">
        <f>(AB19+(Assumptions!$F$43*P25))</f>
        <v/>
      </c>
      <c r="AC25" s="17">
        <f>(AC19+(Assumptions!$F$43*Q25))</f>
        <v/>
      </c>
      <c r="AD25" s="17">
        <f>(AD19+(Assumptions!$F$43*R25))</f>
        <v/>
      </c>
      <c r="AE25" s="17">
        <f>(AE19+(Assumptions!$F$43*S25))</f>
        <v/>
      </c>
      <c r="AF25" s="17">
        <f>(AF19+(Assumptions!$F$43*T25))</f>
        <v/>
      </c>
      <c r="AG25" s="17">
        <f>(AG19+(Assumptions!$F$43*U25))</f>
        <v/>
      </c>
      <c r="AH25" s="17">
        <f>(AH19+(Assumptions!$F$43*V25))</f>
        <v/>
      </c>
      <c r="AI25" s="17">
        <f>(AI19+(Assumptions!$F$43*W25))</f>
        <v/>
      </c>
      <c r="AJ25" s="17">
        <f>(AJ19+(Assumptions!$F$43*X25))</f>
        <v/>
      </c>
      <c r="AK25" s="17">
        <f>(AK19+(Assumptions!$F$43*Y25))</f>
        <v/>
      </c>
      <c r="AL25" s="17">
        <f>(AL19+(Assumptions!$F$43*Z25))</f>
        <v/>
      </c>
    </row>
    <row r="26">
      <c r="A26" s="6" t="inlineStr">
        <is>
          <t>Annual-plan subscribers (billed in last 12 months)</t>
        </is>
      </c>
      <c r="B26" s="2" t="inlineStr">
        <is>
          <t>subs_annual</t>
        </is>
      </c>
      <c r="C26" s="17">
        <f>SUM(C25:C25)</f>
        <v/>
      </c>
      <c r="D26" s="17">
        <f>SUM(C25:D25)</f>
        <v/>
      </c>
      <c r="E26" s="17">
        <f>SUM(C25:E25)</f>
        <v/>
      </c>
      <c r="F26" s="17">
        <f>SUM(C25:F25)</f>
        <v/>
      </c>
      <c r="G26" s="17">
        <f>SUM(C25:G25)</f>
        <v/>
      </c>
      <c r="H26" s="17">
        <f>SUM(C25:H25)</f>
        <v/>
      </c>
      <c r="I26" s="17">
        <f>SUM(C25:I25)</f>
        <v/>
      </c>
      <c r="J26" s="17">
        <f>SUM(C25:J25)</f>
        <v/>
      </c>
      <c r="K26" s="17">
        <f>SUM(C25:K25)</f>
        <v/>
      </c>
      <c r="L26" s="17">
        <f>SUM(C25:L25)</f>
        <v/>
      </c>
      <c r="M26" s="17">
        <f>SUM(C25:M25)</f>
        <v/>
      </c>
      <c r="N26" s="17">
        <f>SUM(C25:N25)</f>
        <v/>
      </c>
      <c r="O26" s="17">
        <f>SUM(D25:O25)</f>
        <v/>
      </c>
      <c r="P26" s="17">
        <f>SUM(E25:P25)</f>
        <v/>
      </c>
      <c r="Q26" s="17">
        <f>SUM(F25:Q25)</f>
        <v/>
      </c>
      <c r="R26" s="17">
        <f>SUM(G25:R25)</f>
        <v/>
      </c>
      <c r="S26" s="17">
        <f>SUM(H25:S25)</f>
        <v/>
      </c>
      <c r="T26" s="17">
        <f>SUM(I25:T25)</f>
        <v/>
      </c>
      <c r="U26" s="17">
        <f>SUM(J25:U25)</f>
        <v/>
      </c>
      <c r="V26" s="17">
        <f>SUM(K25:V25)</f>
        <v/>
      </c>
      <c r="W26" s="17">
        <f>SUM(L25:W25)</f>
        <v/>
      </c>
      <c r="X26" s="17">
        <f>SUM(M25:X25)</f>
        <v/>
      </c>
      <c r="Y26" s="17">
        <f>SUM(N25:Y25)</f>
        <v/>
      </c>
      <c r="Z26" s="17">
        <f>SUM(O25:Z25)</f>
        <v/>
      </c>
      <c r="AA26" s="17">
        <f>SUM(P25:AA25)</f>
        <v/>
      </c>
      <c r="AB26" s="17">
        <f>SUM(Q25:AB25)</f>
        <v/>
      </c>
      <c r="AC26" s="17">
        <f>SUM(R25:AC25)</f>
        <v/>
      </c>
      <c r="AD26" s="17">
        <f>SUM(S25:AD25)</f>
        <v/>
      </c>
      <c r="AE26" s="17">
        <f>SUM(T25:AE25)</f>
        <v/>
      </c>
      <c r="AF26" s="17">
        <f>SUM(U25:AF25)</f>
        <v/>
      </c>
      <c r="AG26" s="17">
        <f>SUM(V25:AG25)</f>
        <v/>
      </c>
      <c r="AH26" s="17">
        <f>SUM(W25:AH25)</f>
        <v/>
      </c>
      <c r="AI26" s="17">
        <f>SUM(X25:AI25)</f>
        <v/>
      </c>
      <c r="AJ26" s="17">
        <f>SUM(Y25:AJ25)</f>
        <v/>
      </c>
      <c r="AK26" s="17">
        <f>SUM(Z25:AK25)</f>
        <v/>
      </c>
      <c r="AL26" s="17">
        <f>SUM(AA25:AL25)</f>
        <v/>
      </c>
    </row>
    <row r="27">
      <c r="A27" s="6" t="inlineStr">
        <is>
          <t>Student plans billed (new + renewals)</t>
        </is>
      </c>
      <c r="B27" s="2" t="inlineStr">
        <is>
          <t>bill_student</t>
        </is>
      </c>
      <c r="C27" s="17">
        <f>(C20+0)</f>
        <v/>
      </c>
      <c r="D27" s="17">
        <f>(D20+0)</f>
        <v/>
      </c>
      <c r="E27" s="17">
        <f>(E20+0)</f>
        <v/>
      </c>
      <c r="F27" s="17">
        <f>(F20+0)</f>
        <v/>
      </c>
      <c r="G27" s="17">
        <f>(G20+0)</f>
        <v/>
      </c>
      <c r="H27" s="17">
        <f>(H20+0)</f>
        <v/>
      </c>
      <c r="I27" s="17">
        <f>(I20+0)</f>
        <v/>
      </c>
      <c r="J27" s="17">
        <f>(J20+0)</f>
        <v/>
      </c>
      <c r="K27" s="17">
        <f>(K20+0)</f>
        <v/>
      </c>
      <c r="L27" s="17">
        <f>(L20+0)</f>
        <v/>
      </c>
      <c r="M27" s="17">
        <f>(M20+0)</f>
        <v/>
      </c>
      <c r="N27" s="17">
        <f>(N20+0)</f>
        <v/>
      </c>
      <c r="O27" s="17">
        <f>(O20+(Assumptions!$F$44*C27))</f>
        <v/>
      </c>
      <c r="P27" s="17">
        <f>(P20+(Assumptions!$F$44*D27))</f>
        <v/>
      </c>
      <c r="Q27" s="17">
        <f>(Q20+(Assumptions!$F$44*E27))</f>
        <v/>
      </c>
      <c r="R27" s="17">
        <f>(R20+(Assumptions!$F$44*F27))</f>
        <v/>
      </c>
      <c r="S27" s="17">
        <f>(S20+(Assumptions!$F$44*G27))</f>
        <v/>
      </c>
      <c r="T27" s="17">
        <f>(T20+(Assumptions!$F$44*H27))</f>
        <v/>
      </c>
      <c r="U27" s="17">
        <f>(U20+(Assumptions!$F$44*I27))</f>
        <v/>
      </c>
      <c r="V27" s="17">
        <f>(V20+(Assumptions!$F$44*J27))</f>
        <v/>
      </c>
      <c r="W27" s="17">
        <f>(W20+(Assumptions!$F$44*K27))</f>
        <v/>
      </c>
      <c r="X27" s="17">
        <f>(X20+(Assumptions!$F$44*L27))</f>
        <v/>
      </c>
      <c r="Y27" s="17">
        <f>(Y20+(Assumptions!$F$44*M27))</f>
        <v/>
      </c>
      <c r="Z27" s="17">
        <f>(Z20+(Assumptions!$F$44*N27))</f>
        <v/>
      </c>
      <c r="AA27" s="17">
        <f>(AA20+(Assumptions!$F$44*O27))</f>
        <v/>
      </c>
      <c r="AB27" s="17">
        <f>(AB20+(Assumptions!$F$44*P27))</f>
        <v/>
      </c>
      <c r="AC27" s="17">
        <f>(AC20+(Assumptions!$F$44*Q27))</f>
        <v/>
      </c>
      <c r="AD27" s="17">
        <f>(AD20+(Assumptions!$F$44*R27))</f>
        <v/>
      </c>
      <c r="AE27" s="17">
        <f>(AE20+(Assumptions!$F$44*S27))</f>
        <v/>
      </c>
      <c r="AF27" s="17">
        <f>(AF20+(Assumptions!$F$44*T27))</f>
        <v/>
      </c>
      <c r="AG27" s="17">
        <f>(AG20+(Assumptions!$F$44*U27))</f>
        <v/>
      </c>
      <c r="AH27" s="17">
        <f>(AH20+(Assumptions!$F$44*V27))</f>
        <v/>
      </c>
      <c r="AI27" s="17">
        <f>(AI20+(Assumptions!$F$44*W27))</f>
        <v/>
      </c>
      <c r="AJ27" s="17">
        <f>(AJ20+(Assumptions!$F$44*X27))</f>
        <v/>
      </c>
      <c r="AK27" s="17">
        <f>(AK20+(Assumptions!$F$44*Y27))</f>
        <v/>
      </c>
      <c r="AL27" s="17">
        <f>(AL20+(Assumptions!$F$44*Z27))</f>
        <v/>
      </c>
    </row>
    <row r="28">
      <c r="A28" s="6" t="inlineStr">
        <is>
          <t>Student-plan subscribers</t>
        </is>
      </c>
      <c r="B28" s="2" t="inlineStr">
        <is>
          <t>subs_student</t>
        </is>
      </c>
      <c r="C28" s="17">
        <f>SUM(C27:C27)</f>
        <v/>
      </c>
      <c r="D28" s="17">
        <f>SUM(C27:D27)</f>
        <v/>
      </c>
      <c r="E28" s="17">
        <f>SUM(C27:E27)</f>
        <v/>
      </c>
      <c r="F28" s="17">
        <f>SUM(C27:F27)</f>
        <v/>
      </c>
      <c r="G28" s="17">
        <f>SUM(C27:G27)</f>
        <v/>
      </c>
      <c r="H28" s="17">
        <f>SUM(C27:H27)</f>
        <v/>
      </c>
      <c r="I28" s="17">
        <f>SUM(C27:I27)</f>
        <v/>
      </c>
      <c r="J28" s="17">
        <f>SUM(C27:J27)</f>
        <v/>
      </c>
      <c r="K28" s="17">
        <f>SUM(C27:K27)</f>
        <v/>
      </c>
      <c r="L28" s="17">
        <f>SUM(C27:L27)</f>
        <v/>
      </c>
      <c r="M28" s="17">
        <f>SUM(C27:M27)</f>
        <v/>
      </c>
      <c r="N28" s="17">
        <f>SUM(C27:N27)</f>
        <v/>
      </c>
      <c r="O28" s="17">
        <f>SUM(D27:O27)</f>
        <v/>
      </c>
      <c r="P28" s="17">
        <f>SUM(E27:P27)</f>
        <v/>
      </c>
      <c r="Q28" s="17">
        <f>SUM(F27:Q27)</f>
        <v/>
      </c>
      <c r="R28" s="17">
        <f>SUM(G27:R27)</f>
        <v/>
      </c>
      <c r="S28" s="17">
        <f>SUM(H27:S27)</f>
        <v/>
      </c>
      <c r="T28" s="17">
        <f>SUM(I27:T27)</f>
        <v/>
      </c>
      <c r="U28" s="17">
        <f>SUM(J27:U27)</f>
        <v/>
      </c>
      <c r="V28" s="17">
        <f>SUM(K27:V27)</f>
        <v/>
      </c>
      <c r="W28" s="17">
        <f>SUM(L27:W27)</f>
        <v/>
      </c>
      <c r="X28" s="17">
        <f>SUM(M27:X27)</f>
        <v/>
      </c>
      <c r="Y28" s="17">
        <f>SUM(N27:Y27)</f>
        <v/>
      </c>
      <c r="Z28" s="17">
        <f>SUM(O27:Z27)</f>
        <v/>
      </c>
      <c r="AA28" s="17">
        <f>SUM(P27:AA27)</f>
        <v/>
      </c>
      <c r="AB28" s="17">
        <f>SUM(Q27:AB27)</f>
        <v/>
      </c>
      <c r="AC28" s="17">
        <f>SUM(R27:AC27)</f>
        <v/>
      </c>
      <c r="AD28" s="17">
        <f>SUM(S27:AD27)</f>
        <v/>
      </c>
      <c r="AE28" s="17">
        <f>SUM(T27:AE27)</f>
        <v/>
      </c>
      <c r="AF28" s="17">
        <f>SUM(U27:AF27)</f>
        <v/>
      </c>
      <c r="AG28" s="17">
        <f>SUM(V27:AG27)</f>
        <v/>
      </c>
      <c r="AH28" s="17">
        <f>SUM(W27:AH27)</f>
        <v/>
      </c>
      <c r="AI28" s="17">
        <f>SUM(X27:AI27)</f>
        <v/>
      </c>
      <c r="AJ28" s="17">
        <f>SUM(Y27:AJ27)</f>
        <v/>
      </c>
      <c r="AK28" s="17">
        <f>SUM(Z27:AK27)</f>
        <v/>
      </c>
      <c r="AL28" s="17">
        <f>SUM(AA27:AL27)</f>
        <v/>
      </c>
    </row>
    <row r="29">
      <c r="A29" s="21" t="inlineStr">
        <is>
          <t>Paid subscribers (end of month)</t>
        </is>
      </c>
      <c r="B29" s="2" t="inlineStr">
        <is>
          <t>subs_paid</t>
        </is>
      </c>
      <c r="C29" s="22">
        <f>((C24+C26)+C28)</f>
        <v/>
      </c>
      <c r="D29" s="22">
        <f>((D24+D26)+D28)</f>
        <v/>
      </c>
      <c r="E29" s="22">
        <f>((E24+E26)+E28)</f>
        <v/>
      </c>
      <c r="F29" s="22">
        <f>((F24+F26)+F28)</f>
        <v/>
      </c>
      <c r="G29" s="22">
        <f>((G24+G26)+G28)</f>
        <v/>
      </c>
      <c r="H29" s="22">
        <f>((H24+H26)+H28)</f>
        <v/>
      </c>
      <c r="I29" s="22">
        <f>((I24+I26)+I28)</f>
        <v/>
      </c>
      <c r="J29" s="22">
        <f>((J24+J26)+J28)</f>
        <v/>
      </c>
      <c r="K29" s="22">
        <f>((K24+K26)+K28)</f>
        <v/>
      </c>
      <c r="L29" s="22">
        <f>((L24+L26)+L28)</f>
        <v/>
      </c>
      <c r="M29" s="22">
        <f>((M24+M26)+M28)</f>
        <v/>
      </c>
      <c r="N29" s="22">
        <f>((N24+N26)+N28)</f>
        <v/>
      </c>
      <c r="O29" s="22">
        <f>((O24+O26)+O28)</f>
        <v/>
      </c>
      <c r="P29" s="22">
        <f>((P24+P26)+P28)</f>
        <v/>
      </c>
      <c r="Q29" s="22">
        <f>((Q24+Q26)+Q28)</f>
        <v/>
      </c>
      <c r="R29" s="22">
        <f>((R24+R26)+R28)</f>
        <v/>
      </c>
      <c r="S29" s="22">
        <f>((S24+S26)+S28)</f>
        <v/>
      </c>
      <c r="T29" s="22">
        <f>((T24+T26)+T28)</f>
        <v/>
      </c>
      <c r="U29" s="22">
        <f>((U24+U26)+U28)</f>
        <v/>
      </c>
      <c r="V29" s="22">
        <f>((V24+V26)+V28)</f>
        <v/>
      </c>
      <c r="W29" s="22">
        <f>((W24+W26)+W28)</f>
        <v/>
      </c>
      <c r="X29" s="22">
        <f>((X24+X26)+X28)</f>
        <v/>
      </c>
      <c r="Y29" s="22">
        <f>((Y24+Y26)+Y28)</f>
        <v/>
      </c>
      <c r="Z29" s="22">
        <f>((Z24+Z26)+Z28)</f>
        <v/>
      </c>
      <c r="AA29" s="22">
        <f>((AA24+AA26)+AA28)</f>
        <v/>
      </c>
      <c r="AB29" s="22">
        <f>((AB24+AB26)+AB28)</f>
        <v/>
      </c>
      <c r="AC29" s="22">
        <f>((AC24+AC26)+AC28)</f>
        <v/>
      </c>
      <c r="AD29" s="22">
        <f>((AD24+AD26)+AD28)</f>
        <v/>
      </c>
      <c r="AE29" s="22">
        <f>((AE24+AE26)+AE28)</f>
        <v/>
      </c>
      <c r="AF29" s="22">
        <f>((AF24+AF26)+AF28)</f>
        <v/>
      </c>
      <c r="AG29" s="22">
        <f>((AG24+AG26)+AG28)</f>
        <v/>
      </c>
      <c r="AH29" s="22">
        <f>((AH24+AH26)+AH28)</f>
        <v/>
      </c>
      <c r="AI29" s="22">
        <f>((AI24+AI26)+AI28)</f>
        <v/>
      </c>
      <c r="AJ29" s="22">
        <f>((AJ24+AJ26)+AJ28)</f>
        <v/>
      </c>
      <c r="AK29" s="22">
        <f>((AK24+AK26)+AK28)</f>
        <v/>
      </c>
      <c r="AL29" s="22">
        <f>((AL24+AL26)+AL28)</f>
        <v/>
      </c>
    </row>
    <row r="30">
      <c r="A30" s="6" t="inlineStr">
        <is>
          <t>Gross in-app billings, cash basis (= RevenueCat MTR)</t>
        </is>
      </c>
      <c r="B30" s="2" t="inlineStr">
        <is>
          <t>bill_gross</t>
        </is>
      </c>
      <c r="C30" s="14">
        <f>((((C24*Assumptions!$F$35)+(C25*Assumptions!$F$36))+(C27*Assumptions!$F$37))+(C21*Assumptions!$F$38))</f>
        <v/>
      </c>
      <c r="D30" s="14">
        <f>((((D24*Assumptions!$F$35)+(D25*Assumptions!$F$36))+(D27*Assumptions!$F$37))+(D21*Assumptions!$F$38))</f>
        <v/>
      </c>
      <c r="E30" s="14">
        <f>((((E24*Assumptions!$F$35)+(E25*Assumptions!$F$36))+(E27*Assumptions!$F$37))+(E21*Assumptions!$F$38))</f>
        <v/>
      </c>
      <c r="F30" s="14">
        <f>((((F24*Assumptions!$F$35)+(F25*Assumptions!$F$36))+(F27*Assumptions!$F$37))+(F21*Assumptions!$F$38))</f>
        <v/>
      </c>
      <c r="G30" s="14">
        <f>((((G24*Assumptions!$F$35)+(G25*Assumptions!$F$36))+(G27*Assumptions!$F$37))+(G21*Assumptions!$F$38))</f>
        <v/>
      </c>
      <c r="H30" s="14">
        <f>((((H24*Assumptions!$F$35)+(H25*Assumptions!$F$36))+(H27*Assumptions!$F$37))+(H21*Assumptions!$F$38))</f>
        <v/>
      </c>
      <c r="I30" s="14">
        <f>((((I24*Assumptions!$F$35)+(I25*Assumptions!$F$36))+(I27*Assumptions!$F$37))+(I21*Assumptions!$F$38))</f>
        <v/>
      </c>
      <c r="J30" s="14">
        <f>((((J24*Assumptions!$F$35)+(J25*Assumptions!$F$36))+(J27*Assumptions!$F$37))+(J21*Assumptions!$F$38))</f>
        <v/>
      </c>
      <c r="K30" s="14">
        <f>((((K24*Assumptions!$F$35)+(K25*Assumptions!$F$36))+(K27*Assumptions!$F$37))+(K21*Assumptions!$F$38))</f>
        <v/>
      </c>
      <c r="L30" s="14">
        <f>((((L24*Assumptions!$F$35)+(L25*Assumptions!$F$36))+(L27*Assumptions!$F$37))+(L21*Assumptions!$F$38))</f>
        <v/>
      </c>
      <c r="M30" s="14">
        <f>((((M24*Assumptions!$F$35)+(M25*Assumptions!$F$36))+(M27*Assumptions!$F$37))+(M21*Assumptions!$F$38))</f>
        <v/>
      </c>
      <c r="N30" s="14">
        <f>((((N24*Assumptions!$F$35)+(N25*Assumptions!$F$36))+(N27*Assumptions!$F$37))+(N21*Assumptions!$F$38))</f>
        <v/>
      </c>
      <c r="O30" s="14">
        <f>((((O24*Assumptions!$F$35)+(O25*Assumptions!$F$36))+(O27*Assumptions!$F$37))+(O21*Assumptions!$F$38))</f>
        <v/>
      </c>
      <c r="P30" s="14">
        <f>((((P24*Assumptions!$F$35)+(P25*Assumptions!$F$36))+(P27*Assumptions!$F$37))+(P21*Assumptions!$F$38))</f>
        <v/>
      </c>
      <c r="Q30" s="14">
        <f>((((Q24*Assumptions!$F$35)+(Q25*Assumptions!$F$36))+(Q27*Assumptions!$F$37))+(Q21*Assumptions!$F$38))</f>
        <v/>
      </c>
      <c r="R30" s="14">
        <f>((((R24*Assumptions!$F$35)+(R25*Assumptions!$F$36))+(R27*Assumptions!$F$37))+(R21*Assumptions!$F$38))</f>
        <v/>
      </c>
      <c r="S30" s="14">
        <f>((((S24*Assumptions!$F$35)+(S25*Assumptions!$F$36))+(S27*Assumptions!$F$37))+(S21*Assumptions!$F$38))</f>
        <v/>
      </c>
      <c r="T30" s="14">
        <f>((((T24*Assumptions!$F$35)+(T25*Assumptions!$F$36))+(T27*Assumptions!$F$37))+(T21*Assumptions!$F$38))</f>
        <v/>
      </c>
      <c r="U30" s="14">
        <f>((((U24*Assumptions!$F$35)+(U25*Assumptions!$F$36))+(U27*Assumptions!$F$37))+(U21*Assumptions!$F$38))</f>
        <v/>
      </c>
      <c r="V30" s="14">
        <f>((((V24*Assumptions!$F$35)+(V25*Assumptions!$F$36))+(V27*Assumptions!$F$37))+(V21*Assumptions!$F$38))</f>
        <v/>
      </c>
      <c r="W30" s="14">
        <f>((((W24*Assumptions!$F$35)+(W25*Assumptions!$F$36))+(W27*Assumptions!$F$37))+(W21*Assumptions!$F$38))</f>
        <v/>
      </c>
      <c r="X30" s="14">
        <f>((((X24*Assumptions!$F$35)+(X25*Assumptions!$F$36))+(X27*Assumptions!$F$37))+(X21*Assumptions!$F$38))</f>
        <v/>
      </c>
      <c r="Y30" s="14">
        <f>((((Y24*Assumptions!$F$35)+(Y25*Assumptions!$F$36))+(Y27*Assumptions!$F$37))+(Y21*Assumptions!$F$38))</f>
        <v/>
      </c>
      <c r="Z30" s="14">
        <f>((((Z24*Assumptions!$F$35)+(Z25*Assumptions!$F$36))+(Z27*Assumptions!$F$37))+(Z21*Assumptions!$F$38))</f>
        <v/>
      </c>
      <c r="AA30" s="14">
        <f>((((AA24*Assumptions!$F$35)+(AA25*Assumptions!$F$36))+(AA27*Assumptions!$F$37))+(AA21*Assumptions!$F$38))</f>
        <v/>
      </c>
      <c r="AB30" s="14">
        <f>((((AB24*Assumptions!$F$35)+(AB25*Assumptions!$F$36))+(AB27*Assumptions!$F$37))+(AB21*Assumptions!$F$38))</f>
        <v/>
      </c>
      <c r="AC30" s="14">
        <f>((((AC24*Assumptions!$F$35)+(AC25*Assumptions!$F$36))+(AC27*Assumptions!$F$37))+(AC21*Assumptions!$F$38))</f>
        <v/>
      </c>
      <c r="AD30" s="14">
        <f>((((AD24*Assumptions!$F$35)+(AD25*Assumptions!$F$36))+(AD27*Assumptions!$F$37))+(AD21*Assumptions!$F$38))</f>
        <v/>
      </c>
      <c r="AE30" s="14">
        <f>((((AE24*Assumptions!$F$35)+(AE25*Assumptions!$F$36))+(AE27*Assumptions!$F$37))+(AE21*Assumptions!$F$38))</f>
        <v/>
      </c>
      <c r="AF30" s="14">
        <f>((((AF24*Assumptions!$F$35)+(AF25*Assumptions!$F$36))+(AF27*Assumptions!$F$37))+(AF21*Assumptions!$F$38))</f>
        <v/>
      </c>
      <c r="AG30" s="14">
        <f>((((AG24*Assumptions!$F$35)+(AG25*Assumptions!$F$36))+(AG27*Assumptions!$F$37))+(AG21*Assumptions!$F$38))</f>
        <v/>
      </c>
      <c r="AH30" s="14">
        <f>((((AH24*Assumptions!$F$35)+(AH25*Assumptions!$F$36))+(AH27*Assumptions!$F$37))+(AH21*Assumptions!$F$38))</f>
        <v/>
      </c>
      <c r="AI30" s="14">
        <f>((((AI24*Assumptions!$F$35)+(AI25*Assumptions!$F$36))+(AI27*Assumptions!$F$37))+(AI21*Assumptions!$F$38))</f>
        <v/>
      </c>
      <c r="AJ30" s="14">
        <f>((((AJ24*Assumptions!$F$35)+(AJ25*Assumptions!$F$36))+(AJ27*Assumptions!$F$37))+(AJ21*Assumptions!$F$38))</f>
        <v/>
      </c>
      <c r="AK30" s="14">
        <f>((((AK24*Assumptions!$F$35)+(AK25*Assumptions!$F$36))+(AK27*Assumptions!$F$37))+(AK21*Assumptions!$F$38))</f>
        <v/>
      </c>
      <c r="AL30" s="14">
        <f>((((AL24*Assumptions!$F$35)+(AL25*Assumptions!$F$36))+(AL27*Assumptions!$F$37))+(AL21*Assumptions!$F$38))</f>
        <v/>
      </c>
    </row>
    <row r="32">
      <c r="A32" s="4" t="inlineStr">
        <is>
          <t>ACTIVE USERS</t>
        </is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</row>
    <row r="33">
      <c r="A33" s="6" t="inlineStr">
        <is>
          <t>New free users this month</t>
        </is>
      </c>
      <c r="B33" s="2" t="inlineStr">
        <is>
          <t>free_new</t>
        </is>
      </c>
      <c r="C33" s="17">
        <f>(C12-C17)</f>
        <v/>
      </c>
      <c r="D33" s="17">
        <f>(D12-D17)</f>
        <v/>
      </c>
      <c r="E33" s="17">
        <f>(E12-E17)</f>
        <v/>
      </c>
      <c r="F33" s="17">
        <f>(F12-F17)</f>
        <v/>
      </c>
      <c r="G33" s="17">
        <f>(G12-G17)</f>
        <v/>
      </c>
      <c r="H33" s="17">
        <f>(H12-H17)</f>
        <v/>
      </c>
      <c r="I33" s="17">
        <f>(I12-I17)</f>
        <v/>
      </c>
      <c r="J33" s="17">
        <f>(J12-J17)</f>
        <v/>
      </c>
      <c r="K33" s="17">
        <f>(K12-K17)</f>
        <v/>
      </c>
      <c r="L33" s="17">
        <f>(L12-L17)</f>
        <v/>
      </c>
      <c r="M33" s="17">
        <f>(M12-M17)</f>
        <v/>
      </c>
      <c r="N33" s="17">
        <f>(N12-N17)</f>
        <v/>
      </c>
      <c r="O33" s="17">
        <f>(O12-O17)</f>
        <v/>
      </c>
      <c r="P33" s="17">
        <f>(P12-P17)</f>
        <v/>
      </c>
      <c r="Q33" s="17">
        <f>(Q12-Q17)</f>
        <v/>
      </c>
      <c r="R33" s="17">
        <f>(R12-R17)</f>
        <v/>
      </c>
      <c r="S33" s="17">
        <f>(S12-S17)</f>
        <v/>
      </c>
      <c r="T33" s="17">
        <f>(T12-T17)</f>
        <v/>
      </c>
      <c r="U33" s="17">
        <f>(U12-U17)</f>
        <v/>
      </c>
      <c r="V33" s="17">
        <f>(V12-V17)</f>
        <v/>
      </c>
      <c r="W33" s="17">
        <f>(W12-W17)</f>
        <v/>
      </c>
      <c r="X33" s="17">
        <f>(X12-X17)</f>
        <v/>
      </c>
      <c r="Y33" s="17">
        <f>(Y12-Y17)</f>
        <v/>
      </c>
      <c r="Z33" s="17">
        <f>(Z12-Z17)</f>
        <v/>
      </c>
      <c r="AA33" s="17">
        <f>(AA12-AA17)</f>
        <v/>
      </c>
      <c r="AB33" s="17">
        <f>(AB12-AB17)</f>
        <v/>
      </c>
      <c r="AC33" s="17">
        <f>(AC12-AC17)</f>
        <v/>
      </c>
      <c r="AD33" s="17">
        <f>(AD12-AD17)</f>
        <v/>
      </c>
      <c r="AE33" s="17">
        <f>(AE12-AE17)</f>
        <v/>
      </c>
      <c r="AF33" s="17">
        <f>(AF12-AF17)</f>
        <v/>
      </c>
      <c r="AG33" s="17">
        <f>(AG12-AG17)</f>
        <v/>
      </c>
      <c r="AH33" s="17">
        <f>(AH12-AH17)</f>
        <v/>
      </c>
      <c r="AI33" s="17">
        <f>(AI12-AI17)</f>
        <v/>
      </c>
      <c r="AJ33" s="17">
        <f>(AJ12-AJ17)</f>
        <v/>
      </c>
      <c r="AK33" s="17">
        <f>(AK12-AK17)</f>
        <v/>
      </c>
      <c r="AL33" s="17">
        <f>(AL12-AL17)</f>
        <v/>
      </c>
    </row>
    <row r="34">
      <c r="A34" s="6" t="inlineStr">
        <is>
          <t>Retained free users from earlier months</t>
        </is>
      </c>
      <c r="B34" s="2" t="inlineStr">
        <is>
          <t>free_pool</t>
        </is>
      </c>
      <c r="C34" s="17">
        <f>((0*(1-Assumptions!$F$27))+(0*Assumptions!$F$26))</f>
        <v/>
      </c>
      <c r="D34" s="17">
        <f>((C34*(1-Assumptions!$F$27))+(C33*Assumptions!$F$26))</f>
        <v/>
      </c>
      <c r="E34" s="17">
        <f>((D34*(1-Assumptions!$F$27))+(D33*Assumptions!$F$26))</f>
        <v/>
      </c>
      <c r="F34" s="17">
        <f>((E34*(1-Assumptions!$F$27))+(E33*Assumptions!$F$26))</f>
        <v/>
      </c>
      <c r="G34" s="17">
        <f>((F34*(1-Assumptions!$F$27))+(F33*Assumptions!$F$26))</f>
        <v/>
      </c>
      <c r="H34" s="17">
        <f>((G34*(1-Assumptions!$F$27))+(G33*Assumptions!$F$26))</f>
        <v/>
      </c>
      <c r="I34" s="17">
        <f>((H34*(1-Assumptions!$F$27))+(H33*Assumptions!$F$26))</f>
        <v/>
      </c>
      <c r="J34" s="17">
        <f>((I34*(1-Assumptions!$F$27))+(I33*Assumptions!$F$26))</f>
        <v/>
      </c>
      <c r="K34" s="17">
        <f>((J34*(1-Assumptions!$F$27))+(J33*Assumptions!$F$26))</f>
        <v/>
      </c>
      <c r="L34" s="17">
        <f>((K34*(1-Assumptions!$F$27))+(K33*Assumptions!$F$26))</f>
        <v/>
      </c>
      <c r="M34" s="17">
        <f>((L34*(1-Assumptions!$F$27))+(L33*Assumptions!$F$26))</f>
        <v/>
      </c>
      <c r="N34" s="17">
        <f>((M34*(1-Assumptions!$F$27))+(M33*Assumptions!$F$26))</f>
        <v/>
      </c>
      <c r="O34" s="17">
        <f>((N34*(1-Assumptions!$F$27))+(N33*Assumptions!$F$26))</f>
        <v/>
      </c>
      <c r="P34" s="17">
        <f>((O34*(1-Assumptions!$F$27))+(O33*Assumptions!$F$26))</f>
        <v/>
      </c>
      <c r="Q34" s="17">
        <f>((P34*(1-Assumptions!$F$27))+(P33*Assumptions!$F$26))</f>
        <v/>
      </c>
      <c r="R34" s="17">
        <f>((Q34*(1-Assumptions!$F$27))+(Q33*Assumptions!$F$26))</f>
        <v/>
      </c>
      <c r="S34" s="17">
        <f>((R34*(1-Assumptions!$F$27))+(R33*Assumptions!$F$26))</f>
        <v/>
      </c>
      <c r="T34" s="17">
        <f>((S34*(1-Assumptions!$F$27))+(S33*Assumptions!$F$26))</f>
        <v/>
      </c>
      <c r="U34" s="17">
        <f>((T34*(1-Assumptions!$F$27))+(T33*Assumptions!$F$26))</f>
        <v/>
      </c>
      <c r="V34" s="17">
        <f>((U34*(1-Assumptions!$F$27))+(U33*Assumptions!$F$26))</f>
        <v/>
      </c>
      <c r="W34" s="17">
        <f>((V34*(1-Assumptions!$F$27))+(V33*Assumptions!$F$26))</f>
        <v/>
      </c>
      <c r="X34" s="17">
        <f>((W34*(1-Assumptions!$F$27))+(W33*Assumptions!$F$26))</f>
        <v/>
      </c>
      <c r="Y34" s="17">
        <f>((X34*(1-Assumptions!$F$27))+(X33*Assumptions!$F$26))</f>
        <v/>
      </c>
      <c r="Z34" s="17">
        <f>((Y34*(1-Assumptions!$F$27))+(Y33*Assumptions!$F$26))</f>
        <v/>
      </c>
      <c r="AA34" s="17">
        <f>((Z34*(1-Assumptions!$F$27))+(Z33*Assumptions!$F$26))</f>
        <v/>
      </c>
      <c r="AB34" s="17">
        <f>((AA34*(1-Assumptions!$F$27))+(AA33*Assumptions!$F$26))</f>
        <v/>
      </c>
      <c r="AC34" s="17">
        <f>((AB34*(1-Assumptions!$F$27))+(AB33*Assumptions!$F$26))</f>
        <v/>
      </c>
      <c r="AD34" s="17">
        <f>((AC34*(1-Assumptions!$F$27))+(AC33*Assumptions!$F$26))</f>
        <v/>
      </c>
      <c r="AE34" s="17">
        <f>((AD34*(1-Assumptions!$F$27))+(AD33*Assumptions!$F$26))</f>
        <v/>
      </c>
      <c r="AF34" s="17">
        <f>((AE34*(1-Assumptions!$F$27))+(AE33*Assumptions!$F$26))</f>
        <v/>
      </c>
      <c r="AG34" s="17">
        <f>((AF34*(1-Assumptions!$F$27))+(AF33*Assumptions!$F$26))</f>
        <v/>
      </c>
      <c r="AH34" s="17">
        <f>((AG34*(1-Assumptions!$F$27))+(AG33*Assumptions!$F$26))</f>
        <v/>
      </c>
      <c r="AI34" s="17">
        <f>((AH34*(1-Assumptions!$F$27))+(AH33*Assumptions!$F$26))</f>
        <v/>
      </c>
      <c r="AJ34" s="17">
        <f>((AI34*(1-Assumptions!$F$27))+(AI33*Assumptions!$F$26))</f>
        <v/>
      </c>
      <c r="AK34" s="17">
        <f>((AJ34*(1-Assumptions!$F$27))+(AJ33*Assumptions!$F$26))</f>
        <v/>
      </c>
      <c r="AL34" s="17">
        <f>((AK34*(1-Assumptions!$F$27))+(AK33*Assumptions!$F$26))</f>
        <v/>
      </c>
    </row>
    <row r="35">
      <c r="A35" s="6" t="inlineStr">
        <is>
          <t>Free MAU</t>
        </is>
      </c>
      <c r="B35" s="2" t="inlineStr">
        <is>
          <t>mau_free</t>
        </is>
      </c>
      <c r="C35" s="17">
        <f>(C33+C34)</f>
        <v/>
      </c>
      <c r="D35" s="17">
        <f>(D33+D34)</f>
        <v/>
      </c>
      <c r="E35" s="17">
        <f>(E33+E34)</f>
        <v/>
      </c>
      <c r="F35" s="17">
        <f>(F33+F34)</f>
        <v/>
      </c>
      <c r="G35" s="17">
        <f>(G33+G34)</f>
        <v/>
      </c>
      <c r="H35" s="17">
        <f>(H33+H34)</f>
        <v/>
      </c>
      <c r="I35" s="17">
        <f>(I33+I34)</f>
        <v/>
      </c>
      <c r="J35" s="17">
        <f>(J33+J34)</f>
        <v/>
      </c>
      <c r="K35" s="17">
        <f>(K33+K34)</f>
        <v/>
      </c>
      <c r="L35" s="17">
        <f>(L33+L34)</f>
        <v/>
      </c>
      <c r="M35" s="17">
        <f>(M33+M34)</f>
        <v/>
      </c>
      <c r="N35" s="17">
        <f>(N33+N34)</f>
        <v/>
      </c>
      <c r="O35" s="17">
        <f>(O33+O34)</f>
        <v/>
      </c>
      <c r="P35" s="17">
        <f>(P33+P34)</f>
        <v/>
      </c>
      <c r="Q35" s="17">
        <f>(Q33+Q34)</f>
        <v/>
      </c>
      <c r="R35" s="17">
        <f>(R33+R34)</f>
        <v/>
      </c>
      <c r="S35" s="17">
        <f>(S33+S34)</f>
        <v/>
      </c>
      <c r="T35" s="17">
        <f>(T33+T34)</f>
        <v/>
      </c>
      <c r="U35" s="17">
        <f>(U33+U34)</f>
        <v/>
      </c>
      <c r="V35" s="17">
        <f>(V33+V34)</f>
        <v/>
      </c>
      <c r="W35" s="17">
        <f>(W33+W34)</f>
        <v/>
      </c>
      <c r="X35" s="17">
        <f>(X33+X34)</f>
        <v/>
      </c>
      <c r="Y35" s="17">
        <f>(Y33+Y34)</f>
        <v/>
      </c>
      <c r="Z35" s="17">
        <f>(Z33+Z34)</f>
        <v/>
      </c>
      <c r="AA35" s="17">
        <f>(AA33+AA34)</f>
        <v/>
      </c>
      <c r="AB35" s="17">
        <f>(AB33+AB34)</f>
        <v/>
      </c>
      <c r="AC35" s="17">
        <f>(AC33+AC34)</f>
        <v/>
      </c>
      <c r="AD35" s="17">
        <f>(AD33+AD34)</f>
        <v/>
      </c>
      <c r="AE35" s="17">
        <f>(AE33+AE34)</f>
        <v/>
      </c>
      <c r="AF35" s="17">
        <f>(AF33+AF34)</f>
        <v/>
      </c>
      <c r="AG35" s="17">
        <f>(AG33+AG34)</f>
        <v/>
      </c>
      <c r="AH35" s="17">
        <f>(AH33+AH34)</f>
        <v/>
      </c>
      <c r="AI35" s="17">
        <f>(AI33+AI34)</f>
        <v/>
      </c>
      <c r="AJ35" s="17">
        <f>(AJ33+AJ34)</f>
        <v/>
      </c>
      <c r="AK35" s="17">
        <f>(AK33+AK34)</f>
        <v/>
      </c>
      <c r="AL35" s="17">
        <f>(AL33+AL34)</f>
        <v/>
      </c>
    </row>
    <row r="36">
      <c r="A36" s="21" t="inlineStr">
        <is>
          <t>Total MAU (free + paid)</t>
        </is>
      </c>
      <c r="B36" s="2" t="inlineStr">
        <is>
          <t>mau_total</t>
        </is>
      </c>
      <c r="C36" s="22">
        <f>(C35+C29)</f>
        <v/>
      </c>
      <c r="D36" s="22">
        <f>(D35+D29)</f>
        <v/>
      </c>
      <c r="E36" s="22">
        <f>(E35+E29)</f>
        <v/>
      </c>
      <c r="F36" s="22">
        <f>(F35+F29)</f>
        <v/>
      </c>
      <c r="G36" s="22">
        <f>(G35+G29)</f>
        <v/>
      </c>
      <c r="H36" s="22">
        <f>(H35+H29)</f>
        <v/>
      </c>
      <c r="I36" s="22">
        <f>(I35+I29)</f>
        <v/>
      </c>
      <c r="J36" s="22">
        <f>(J35+J29)</f>
        <v/>
      </c>
      <c r="K36" s="22">
        <f>(K35+K29)</f>
        <v/>
      </c>
      <c r="L36" s="22">
        <f>(L35+L29)</f>
        <v/>
      </c>
      <c r="M36" s="22">
        <f>(M35+M29)</f>
        <v/>
      </c>
      <c r="N36" s="22">
        <f>(N35+N29)</f>
        <v/>
      </c>
      <c r="O36" s="22">
        <f>(O35+O29)</f>
        <v/>
      </c>
      <c r="P36" s="22">
        <f>(P35+P29)</f>
        <v/>
      </c>
      <c r="Q36" s="22">
        <f>(Q35+Q29)</f>
        <v/>
      </c>
      <c r="R36" s="22">
        <f>(R35+R29)</f>
        <v/>
      </c>
      <c r="S36" s="22">
        <f>(S35+S29)</f>
        <v/>
      </c>
      <c r="T36" s="22">
        <f>(T35+T29)</f>
        <v/>
      </c>
      <c r="U36" s="22">
        <f>(U35+U29)</f>
        <v/>
      </c>
      <c r="V36" s="22">
        <f>(V35+V29)</f>
        <v/>
      </c>
      <c r="W36" s="22">
        <f>(W35+W29)</f>
        <v/>
      </c>
      <c r="X36" s="22">
        <f>(X35+X29)</f>
        <v/>
      </c>
      <c r="Y36" s="22">
        <f>(Y35+Y29)</f>
        <v/>
      </c>
      <c r="Z36" s="22">
        <f>(Z35+Z29)</f>
        <v/>
      </c>
      <c r="AA36" s="22">
        <f>(AA35+AA29)</f>
        <v/>
      </c>
      <c r="AB36" s="22">
        <f>(AB35+AB29)</f>
        <v/>
      </c>
      <c r="AC36" s="22">
        <f>(AC35+AC29)</f>
        <v/>
      </c>
      <c r="AD36" s="22">
        <f>(AD35+AD29)</f>
        <v/>
      </c>
      <c r="AE36" s="22">
        <f>(AE35+AE29)</f>
        <v/>
      </c>
      <c r="AF36" s="22">
        <f>(AF35+AF29)</f>
        <v/>
      </c>
      <c r="AG36" s="22">
        <f>(AG35+AG29)</f>
        <v/>
      </c>
      <c r="AH36" s="22">
        <f>(AH35+AH29)</f>
        <v/>
      </c>
      <c r="AI36" s="22">
        <f>(AI35+AI29)</f>
        <v/>
      </c>
      <c r="AJ36" s="22">
        <f>(AJ35+AJ29)</f>
        <v/>
      </c>
      <c r="AK36" s="22">
        <f>(AK35+AK29)</f>
        <v/>
      </c>
      <c r="AL36" s="22">
        <f>(AL35+AL29)</f>
        <v/>
      </c>
    </row>
    <row r="37">
      <c r="A37" s="6" t="inlineStr">
        <is>
          <t>Paid subscribers / MAU</t>
        </is>
      </c>
      <c r="B37" s="2" t="inlineStr">
        <is>
          <t>paid_share</t>
        </is>
      </c>
      <c r="C37" s="16">
        <f>IF(C36=0,0,C29/C36)</f>
        <v/>
      </c>
      <c r="D37" s="16">
        <f>IF(D36=0,0,D29/D36)</f>
        <v/>
      </c>
      <c r="E37" s="16">
        <f>IF(E36=0,0,E29/E36)</f>
        <v/>
      </c>
      <c r="F37" s="16">
        <f>IF(F36=0,0,F29/F36)</f>
        <v/>
      </c>
      <c r="G37" s="16">
        <f>IF(G36=0,0,G29/G36)</f>
        <v/>
      </c>
      <c r="H37" s="16">
        <f>IF(H36=0,0,H29/H36)</f>
        <v/>
      </c>
      <c r="I37" s="16">
        <f>IF(I36=0,0,I29/I36)</f>
        <v/>
      </c>
      <c r="J37" s="16">
        <f>IF(J36=0,0,J29/J36)</f>
        <v/>
      </c>
      <c r="K37" s="16">
        <f>IF(K36=0,0,K29/K36)</f>
        <v/>
      </c>
      <c r="L37" s="16">
        <f>IF(L36=0,0,L29/L36)</f>
        <v/>
      </c>
      <c r="M37" s="16">
        <f>IF(M36=0,0,M29/M36)</f>
        <v/>
      </c>
      <c r="N37" s="16">
        <f>IF(N36=0,0,N29/N36)</f>
        <v/>
      </c>
      <c r="O37" s="16">
        <f>IF(O36=0,0,O29/O36)</f>
        <v/>
      </c>
      <c r="P37" s="16">
        <f>IF(P36=0,0,P29/P36)</f>
        <v/>
      </c>
      <c r="Q37" s="16">
        <f>IF(Q36=0,0,Q29/Q36)</f>
        <v/>
      </c>
      <c r="R37" s="16">
        <f>IF(R36=0,0,R29/R36)</f>
        <v/>
      </c>
      <c r="S37" s="16">
        <f>IF(S36=0,0,S29/S36)</f>
        <v/>
      </c>
      <c r="T37" s="16">
        <f>IF(T36=0,0,T29/T36)</f>
        <v/>
      </c>
      <c r="U37" s="16">
        <f>IF(U36=0,0,U29/U36)</f>
        <v/>
      </c>
      <c r="V37" s="16">
        <f>IF(V36=0,0,V29/V36)</f>
        <v/>
      </c>
      <c r="W37" s="16">
        <f>IF(W36=0,0,W29/W36)</f>
        <v/>
      </c>
      <c r="X37" s="16">
        <f>IF(X36=0,0,X29/X36)</f>
        <v/>
      </c>
      <c r="Y37" s="16">
        <f>IF(Y36=0,0,Y29/Y36)</f>
        <v/>
      </c>
      <c r="Z37" s="16">
        <f>IF(Z36=0,0,Z29/Z36)</f>
        <v/>
      </c>
      <c r="AA37" s="16">
        <f>IF(AA36=0,0,AA29/AA36)</f>
        <v/>
      </c>
      <c r="AB37" s="16">
        <f>IF(AB36=0,0,AB29/AB36)</f>
        <v/>
      </c>
      <c r="AC37" s="16">
        <f>IF(AC36=0,0,AC29/AC36)</f>
        <v/>
      </c>
      <c r="AD37" s="16">
        <f>IF(AD36=0,0,AD29/AD36)</f>
        <v/>
      </c>
      <c r="AE37" s="16">
        <f>IF(AE36=0,0,AE29/AE36)</f>
        <v/>
      </c>
      <c r="AF37" s="16">
        <f>IF(AF36=0,0,AF29/AF36)</f>
        <v/>
      </c>
      <c r="AG37" s="16">
        <f>IF(AG36=0,0,AG29/AG36)</f>
        <v/>
      </c>
      <c r="AH37" s="16">
        <f>IF(AH36=0,0,AH29/AH36)</f>
        <v/>
      </c>
      <c r="AI37" s="16">
        <f>IF(AI36=0,0,AI29/AI36)</f>
        <v/>
      </c>
      <c r="AJ37" s="16">
        <f>IF(AJ36=0,0,AJ29/AJ36)</f>
        <v/>
      </c>
      <c r="AK37" s="16">
        <f>IF(AK36=0,0,AK29/AK36)</f>
        <v/>
      </c>
      <c r="AL37" s="16">
        <f>IF(AL36=0,0,AL29/AL36)</f>
        <v/>
      </c>
    </row>
    <row r="39">
      <c r="A39" s="4" t="inlineStr">
        <is>
          <t>ADS, AFFILIATE, B2B AND LINKING VOLUMES</t>
        </is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</row>
    <row r="40">
      <c r="A40" s="6" t="inlineStr">
        <is>
          <t>Free MAU seeing ads</t>
        </is>
      </c>
      <c r="B40" s="2" t="inlineStr">
        <is>
          <t>ad_mau</t>
        </is>
      </c>
      <c r="C40" s="17">
        <f>IF(AND((Assumptions!$F$5=1),(C$2&gt;=Assumptions!$F$46)),(C35*Assumptions!$F$47),0)</f>
        <v/>
      </c>
      <c r="D40" s="17">
        <f>IF(AND((Assumptions!$F$5=1),(D$2&gt;=Assumptions!$F$46)),(D35*Assumptions!$F$47),0)</f>
        <v/>
      </c>
      <c r="E40" s="17">
        <f>IF(AND((Assumptions!$F$5=1),(E$2&gt;=Assumptions!$F$46)),(E35*Assumptions!$F$47),0)</f>
        <v/>
      </c>
      <c r="F40" s="17">
        <f>IF(AND((Assumptions!$F$5=1),(F$2&gt;=Assumptions!$F$46)),(F35*Assumptions!$F$47),0)</f>
        <v/>
      </c>
      <c r="G40" s="17">
        <f>IF(AND((Assumptions!$F$5=1),(G$2&gt;=Assumptions!$F$46)),(G35*Assumptions!$F$47),0)</f>
        <v/>
      </c>
      <c r="H40" s="17">
        <f>IF(AND((Assumptions!$F$5=1),(H$2&gt;=Assumptions!$F$46)),(H35*Assumptions!$F$47),0)</f>
        <v/>
      </c>
      <c r="I40" s="17">
        <f>IF(AND((Assumptions!$F$5=1),(I$2&gt;=Assumptions!$F$46)),(I35*Assumptions!$F$47),0)</f>
        <v/>
      </c>
      <c r="J40" s="17">
        <f>IF(AND((Assumptions!$F$5=1),(J$2&gt;=Assumptions!$F$46)),(J35*Assumptions!$F$47),0)</f>
        <v/>
      </c>
      <c r="K40" s="17">
        <f>IF(AND((Assumptions!$F$5=1),(K$2&gt;=Assumptions!$F$46)),(K35*Assumptions!$F$47),0)</f>
        <v/>
      </c>
      <c r="L40" s="17">
        <f>IF(AND((Assumptions!$F$5=1),(L$2&gt;=Assumptions!$F$46)),(L35*Assumptions!$F$47),0)</f>
        <v/>
      </c>
      <c r="M40" s="17">
        <f>IF(AND((Assumptions!$F$5=1),(M$2&gt;=Assumptions!$F$46)),(M35*Assumptions!$F$47),0)</f>
        <v/>
      </c>
      <c r="N40" s="17">
        <f>IF(AND((Assumptions!$F$5=1),(N$2&gt;=Assumptions!$F$46)),(N35*Assumptions!$F$47),0)</f>
        <v/>
      </c>
      <c r="O40" s="17">
        <f>IF(AND((Assumptions!$F$5=1),(O$2&gt;=Assumptions!$F$46)),(O35*Assumptions!$F$47),0)</f>
        <v/>
      </c>
      <c r="P40" s="17">
        <f>IF(AND((Assumptions!$F$5=1),(P$2&gt;=Assumptions!$F$46)),(P35*Assumptions!$F$47),0)</f>
        <v/>
      </c>
      <c r="Q40" s="17">
        <f>IF(AND((Assumptions!$F$5=1),(Q$2&gt;=Assumptions!$F$46)),(Q35*Assumptions!$F$47),0)</f>
        <v/>
      </c>
      <c r="R40" s="17">
        <f>IF(AND((Assumptions!$F$5=1),(R$2&gt;=Assumptions!$F$46)),(R35*Assumptions!$F$47),0)</f>
        <v/>
      </c>
      <c r="S40" s="17">
        <f>IF(AND((Assumptions!$F$5=1),(S$2&gt;=Assumptions!$F$46)),(S35*Assumptions!$F$47),0)</f>
        <v/>
      </c>
      <c r="T40" s="17">
        <f>IF(AND((Assumptions!$F$5=1),(T$2&gt;=Assumptions!$F$46)),(T35*Assumptions!$F$47),0)</f>
        <v/>
      </c>
      <c r="U40" s="17">
        <f>IF(AND((Assumptions!$F$5=1),(U$2&gt;=Assumptions!$F$46)),(U35*Assumptions!$F$47),0)</f>
        <v/>
      </c>
      <c r="V40" s="17">
        <f>IF(AND((Assumptions!$F$5=1),(V$2&gt;=Assumptions!$F$46)),(V35*Assumptions!$F$47),0)</f>
        <v/>
      </c>
      <c r="W40" s="17">
        <f>IF(AND((Assumptions!$F$5=1),(W$2&gt;=Assumptions!$F$46)),(W35*Assumptions!$F$47),0)</f>
        <v/>
      </c>
      <c r="X40" s="17">
        <f>IF(AND((Assumptions!$F$5=1),(X$2&gt;=Assumptions!$F$46)),(X35*Assumptions!$F$47),0)</f>
        <v/>
      </c>
      <c r="Y40" s="17">
        <f>IF(AND((Assumptions!$F$5=1),(Y$2&gt;=Assumptions!$F$46)),(Y35*Assumptions!$F$47),0)</f>
        <v/>
      </c>
      <c r="Z40" s="17">
        <f>IF(AND((Assumptions!$F$5=1),(Z$2&gt;=Assumptions!$F$46)),(Z35*Assumptions!$F$47),0)</f>
        <v/>
      </c>
      <c r="AA40" s="17">
        <f>IF(AND((Assumptions!$F$5=1),(AA$2&gt;=Assumptions!$F$46)),(AA35*Assumptions!$F$47),0)</f>
        <v/>
      </c>
      <c r="AB40" s="17">
        <f>IF(AND((Assumptions!$F$5=1),(AB$2&gt;=Assumptions!$F$46)),(AB35*Assumptions!$F$47),0)</f>
        <v/>
      </c>
      <c r="AC40" s="17">
        <f>IF(AND((Assumptions!$F$5=1),(AC$2&gt;=Assumptions!$F$46)),(AC35*Assumptions!$F$47),0)</f>
        <v/>
      </c>
      <c r="AD40" s="17">
        <f>IF(AND((Assumptions!$F$5=1),(AD$2&gt;=Assumptions!$F$46)),(AD35*Assumptions!$F$47),0)</f>
        <v/>
      </c>
      <c r="AE40" s="17">
        <f>IF(AND((Assumptions!$F$5=1),(AE$2&gt;=Assumptions!$F$46)),(AE35*Assumptions!$F$47),0)</f>
        <v/>
      </c>
      <c r="AF40" s="17">
        <f>IF(AND((Assumptions!$F$5=1),(AF$2&gt;=Assumptions!$F$46)),(AF35*Assumptions!$F$47),0)</f>
        <v/>
      </c>
      <c r="AG40" s="17">
        <f>IF(AND((Assumptions!$F$5=1),(AG$2&gt;=Assumptions!$F$46)),(AG35*Assumptions!$F$47),0)</f>
        <v/>
      </c>
      <c r="AH40" s="17">
        <f>IF(AND((Assumptions!$F$5=1),(AH$2&gt;=Assumptions!$F$46)),(AH35*Assumptions!$F$47),0)</f>
        <v/>
      </c>
      <c r="AI40" s="17">
        <f>IF(AND((Assumptions!$F$5=1),(AI$2&gt;=Assumptions!$F$46)),(AI35*Assumptions!$F$47),0)</f>
        <v/>
      </c>
      <c r="AJ40" s="17">
        <f>IF(AND((Assumptions!$F$5=1),(AJ$2&gt;=Assumptions!$F$46)),(AJ35*Assumptions!$F$47),0)</f>
        <v/>
      </c>
      <c r="AK40" s="17">
        <f>IF(AND((Assumptions!$F$5=1),(AK$2&gt;=Assumptions!$F$46)),(AK35*Assumptions!$F$47),0)</f>
        <v/>
      </c>
      <c r="AL40" s="17">
        <f>IF(AND((Assumptions!$F$5=1),(AL$2&gt;=Assumptions!$F$46)),(AL35*Assumptions!$F$47),0)</f>
        <v/>
      </c>
    </row>
    <row r="41">
      <c r="A41" s="6" t="inlineStr">
        <is>
          <t>Ad impressions: article / lesson end</t>
        </is>
      </c>
      <c r="B41" s="2" t="inlineStr">
        <is>
          <t>imps_article</t>
        </is>
      </c>
      <c r="C41" s="17">
        <f>(C40*Assumptions!$F$48)</f>
        <v/>
      </c>
      <c r="D41" s="17">
        <f>(D40*Assumptions!$F$48)</f>
        <v/>
      </c>
      <c r="E41" s="17">
        <f>(E40*Assumptions!$F$48)</f>
        <v/>
      </c>
      <c r="F41" s="17">
        <f>(F40*Assumptions!$F$48)</f>
        <v/>
      </c>
      <c r="G41" s="17">
        <f>(G40*Assumptions!$F$48)</f>
        <v/>
      </c>
      <c r="H41" s="17">
        <f>(H40*Assumptions!$F$48)</f>
        <v/>
      </c>
      <c r="I41" s="17">
        <f>(I40*Assumptions!$F$48)</f>
        <v/>
      </c>
      <c r="J41" s="17">
        <f>(J40*Assumptions!$F$48)</f>
        <v/>
      </c>
      <c r="K41" s="17">
        <f>(K40*Assumptions!$F$48)</f>
        <v/>
      </c>
      <c r="L41" s="17">
        <f>(L40*Assumptions!$F$48)</f>
        <v/>
      </c>
      <c r="M41" s="17">
        <f>(M40*Assumptions!$F$48)</f>
        <v/>
      </c>
      <c r="N41" s="17">
        <f>(N40*Assumptions!$F$48)</f>
        <v/>
      </c>
      <c r="O41" s="17">
        <f>(O40*Assumptions!$F$48)</f>
        <v/>
      </c>
      <c r="P41" s="17">
        <f>(P40*Assumptions!$F$48)</f>
        <v/>
      </c>
      <c r="Q41" s="17">
        <f>(Q40*Assumptions!$F$48)</f>
        <v/>
      </c>
      <c r="R41" s="17">
        <f>(R40*Assumptions!$F$48)</f>
        <v/>
      </c>
      <c r="S41" s="17">
        <f>(S40*Assumptions!$F$48)</f>
        <v/>
      </c>
      <c r="T41" s="17">
        <f>(T40*Assumptions!$F$48)</f>
        <v/>
      </c>
      <c r="U41" s="17">
        <f>(U40*Assumptions!$F$48)</f>
        <v/>
      </c>
      <c r="V41" s="17">
        <f>(V40*Assumptions!$F$48)</f>
        <v/>
      </c>
      <c r="W41" s="17">
        <f>(W40*Assumptions!$F$48)</f>
        <v/>
      </c>
      <c r="X41" s="17">
        <f>(X40*Assumptions!$F$48)</f>
        <v/>
      </c>
      <c r="Y41" s="17">
        <f>(Y40*Assumptions!$F$48)</f>
        <v/>
      </c>
      <c r="Z41" s="17">
        <f>(Z40*Assumptions!$F$48)</f>
        <v/>
      </c>
      <c r="AA41" s="17">
        <f>(AA40*Assumptions!$F$48)</f>
        <v/>
      </c>
      <c r="AB41" s="17">
        <f>(AB40*Assumptions!$F$48)</f>
        <v/>
      </c>
      <c r="AC41" s="17">
        <f>(AC40*Assumptions!$F$48)</f>
        <v/>
      </c>
      <c r="AD41" s="17">
        <f>(AD40*Assumptions!$F$48)</f>
        <v/>
      </c>
      <c r="AE41" s="17">
        <f>(AE40*Assumptions!$F$48)</f>
        <v/>
      </c>
      <c r="AF41" s="17">
        <f>(AF40*Assumptions!$F$48)</f>
        <v/>
      </c>
      <c r="AG41" s="17">
        <f>(AG40*Assumptions!$F$48)</f>
        <v/>
      </c>
      <c r="AH41" s="17">
        <f>(AH40*Assumptions!$F$48)</f>
        <v/>
      </c>
      <c r="AI41" s="17">
        <f>(AI40*Assumptions!$F$48)</f>
        <v/>
      </c>
      <c r="AJ41" s="17">
        <f>(AJ40*Assumptions!$F$48)</f>
        <v/>
      </c>
      <c r="AK41" s="17">
        <f>(AK40*Assumptions!$F$48)</f>
        <v/>
      </c>
      <c r="AL41" s="17">
        <f>(AL40*Assumptions!$F$48)</f>
        <v/>
      </c>
    </row>
    <row r="42">
      <c r="A42" s="6" t="inlineStr">
        <is>
          <t>Ad impressions: screener native</t>
        </is>
      </c>
      <c r="B42" s="2" t="inlineStr">
        <is>
          <t>imps_screener</t>
        </is>
      </c>
      <c r="C42" s="17">
        <f>(C40*Assumptions!$F$49)</f>
        <v/>
      </c>
      <c r="D42" s="17">
        <f>(D40*Assumptions!$F$49)</f>
        <v/>
      </c>
      <c r="E42" s="17">
        <f>(E40*Assumptions!$F$49)</f>
        <v/>
      </c>
      <c r="F42" s="17">
        <f>(F40*Assumptions!$F$49)</f>
        <v/>
      </c>
      <c r="G42" s="17">
        <f>(G40*Assumptions!$F$49)</f>
        <v/>
      </c>
      <c r="H42" s="17">
        <f>(H40*Assumptions!$F$49)</f>
        <v/>
      </c>
      <c r="I42" s="17">
        <f>(I40*Assumptions!$F$49)</f>
        <v/>
      </c>
      <c r="J42" s="17">
        <f>(J40*Assumptions!$F$49)</f>
        <v/>
      </c>
      <c r="K42" s="17">
        <f>(K40*Assumptions!$F$49)</f>
        <v/>
      </c>
      <c r="L42" s="17">
        <f>(L40*Assumptions!$F$49)</f>
        <v/>
      </c>
      <c r="M42" s="17">
        <f>(M40*Assumptions!$F$49)</f>
        <v/>
      </c>
      <c r="N42" s="17">
        <f>(N40*Assumptions!$F$49)</f>
        <v/>
      </c>
      <c r="O42" s="17">
        <f>(O40*Assumptions!$F$49)</f>
        <v/>
      </c>
      <c r="P42" s="17">
        <f>(P40*Assumptions!$F$49)</f>
        <v/>
      </c>
      <c r="Q42" s="17">
        <f>(Q40*Assumptions!$F$49)</f>
        <v/>
      </c>
      <c r="R42" s="17">
        <f>(R40*Assumptions!$F$49)</f>
        <v/>
      </c>
      <c r="S42" s="17">
        <f>(S40*Assumptions!$F$49)</f>
        <v/>
      </c>
      <c r="T42" s="17">
        <f>(T40*Assumptions!$F$49)</f>
        <v/>
      </c>
      <c r="U42" s="17">
        <f>(U40*Assumptions!$F$49)</f>
        <v/>
      </c>
      <c r="V42" s="17">
        <f>(V40*Assumptions!$F$49)</f>
        <v/>
      </c>
      <c r="W42" s="17">
        <f>(W40*Assumptions!$F$49)</f>
        <v/>
      </c>
      <c r="X42" s="17">
        <f>(X40*Assumptions!$F$49)</f>
        <v/>
      </c>
      <c r="Y42" s="17">
        <f>(Y40*Assumptions!$F$49)</f>
        <v/>
      </c>
      <c r="Z42" s="17">
        <f>(Z40*Assumptions!$F$49)</f>
        <v/>
      </c>
      <c r="AA42" s="17">
        <f>(AA40*Assumptions!$F$49)</f>
        <v/>
      </c>
      <c r="AB42" s="17">
        <f>(AB40*Assumptions!$F$49)</f>
        <v/>
      </c>
      <c r="AC42" s="17">
        <f>(AC40*Assumptions!$F$49)</f>
        <v/>
      </c>
      <c r="AD42" s="17">
        <f>(AD40*Assumptions!$F$49)</f>
        <v/>
      </c>
      <c r="AE42" s="17">
        <f>(AE40*Assumptions!$F$49)</f>
        <v/>
      </c>
      <c r="AF42" s="17">
        <f>(AF40*Assumptions!$F$49)</f>
        <v/>
      </c>
      <c r="AG42" s="17">
        <f>(AG40*Assumptions!$F$49)</f>
        <v/>
      </c>
      <c r="AH42" s="17">
        <f>(AH40*Assumptions!$F$49)</f>
        <v/>
      </c>
      <c r="AI42" s="17">
        <f>(AI40*Assumptions!$F$49)</f>
        <v/>
      </c>
      <c r="AJ42" s="17">
        <f>(AJ40*Assumptions!$F$49)</f>
        <v/>
      </c>
      <c r="AK42" s="17">
        <f>(AK40*Assumptions!$F$49)</f>
        <v/>
      </c>
      <c r="AL42" s="17">
        <f>(AL40*Assumptions!$F$49)</f>
        <v/>
      </c>
    </row>
    <row r="43">
      <c r="A43" s="6" t="inlineStr">
        <is>
          <t>Ad impressions: opt-in rewarded</t>
        </is>
      </c>
      <c r="B43" s="2" t="inlineStr">
        <is>
          <t>imps_rewarded</t>
        </is>
      </c>
      <c r="C43" s="17">
        <f>(C40*Assumptions!$F$50)</f>
        <v/>
      </c>
      <c r="D43" s="17">
        <f>(D40*Assumptions!$F$50)</f>
        <v/>
      </c>
      <c r="E43" s="17">
        <f>(E40*Assumptions!$F$50)</f>
        <v/>
      </c>
      <c r="F43" s="17">
        <f>(F40*Assumptions!$F$50)</f>
        <v/>
      </c>
      <c r="G43" s="17">
        <f>(G40*Assumptions!$F$50)</f>
        <v/>
      </c>
      <c r="H43" s="17">
        <f>(H40*Assumptions!$F$50)</f>
        <v/>
      </c>
      <c r="I43" s="17">
        <f>(I40*Assumptions!$F$50)</f>
        <v/>
      </c>
      <c r="J43" s="17">
        <f>(J40*Assumptions!$F$50)</f>
        <v/>
      </c>
      <c r="K43" s="17">
        <f>(K40*Assumptions!$F$50)</f>
        <v/>
      </c>
      <c r="L43" s="17">
        <f>(L40*Assumptions!$F$50)</f>
        <v/>
      </c>
      <c r="M43" s="17">
        <f>(M40*Assumptions!$F$50)</f>
        <v/>
      </c>
      <c r="N43" s="17">
        <f>(N40*Assumptions!$F$50)</f>
        <v/>
      </c>
      <c r="O43" s="17">
        <f>(O40*Assumptions!$F$50)</f>
        <v/>
      </c>
      <c r="P43" s="17">
        <f>(P40*Assumptions!$F$50)</f>
        <v/>
      </c>
      <c r="Q43" s="17">
        <f>(Q40*Assumptions!$F$50)</f>
        <v/>
      </c>
      <c r="R43" s="17">
        <f>(R40*Assumptions!$F$50)</f>
        <v/>
      </c>
      <c r="S43" s="17">
        <f>(S40*Assumptions!$F$50)</f>
        <v/>
      </c>
      <c r="T43" s="17">
        <f>(T40*Assumptions!$F$50)</f>
        <v/>
      </c>
      <c r="U43" s="17">
        <f>(U40*Assumptions!$F$50)</f>
        <v/>
      </c>
      <c r="V43" s="17">
        <f>(V40*Assumptions!$F$50)</f>
        <v/>
      </c>
      <c r="W43" s="17">
        <f>(W40*Assumptions!$F$50)</f>
        <v/>
      </c>
      <c r="X43" s="17">
        <f>(X40*Assumptions!$F$50)</f>
        <v/>
      </c>
      <c r="Y43" s="17">
        <f>(Y40*Assumptions!$F$50)</f>
        <v/>
      </c>
      <c r="Z43" s="17">
        <f>(Z40*Assumptions!$F$50)</f>
        <v/>
      </c>
      <c r="AA43" s="17">
        <f>(AA40*Assumptions!$F$50)</f>
        <v/>
      </c>
      <c r="AB43" s="17">
        <f>(AB40*Assumptions!$F$50)</f>
        <v/>
      </c>
      <c r="AC43" s="17">
        <f>(AC40*Assumptions!$F$50)</f>
        <v/>
      </c>
      <c r="AD43" s="17">
        <f>(AD40*Assumptions!$F$50)</f>
        <v/>
      </c>
      <c r="AE43" s="17">
        <f>(AE40*Assumptions!$F$50)</f>
        <v/>
      </c>
      <c r="AF43" s="17">
        <f>(AF40*Assumptions!$F$50)</f>
        <v/>
      </c>
      <c r="AG43" s="17">
        <f>(AG40*Assumptions!$F$50)</f>
        <v/>
      </c>
      <c r="AH43" s="17">
        <f>(AH40*Assumptions!$F$50)</f>
        <v/>
      </c>
      <c r="AI43" s="17">
        <f>(AI40*Assumptions!$F$50)</f>
        <v/>
      </c>
      <c r="AJ43" s="17">
        <f>(AJ40*Assumptions!$F$50)</f>
        <v/>
      </c>
      <c r="AK43" s="17">
        <f>(AK40*Assumptions!$F$50)</f>
        <v/>
      </c>
      <c r="AL43" s="17">
        <f>(AL40*Assumptions!$F$50)</f>
        <v/>
      </c>
    </row>
    <row r="44">
      <c r="A44" s="6" t="inlineStr">
        <is>
          <t>Affiliate clicks</t>
        </is>
      </c>
      <c r="B44" s="2" t="inlineStr">
        <is>
          <t>aff_clicks</t>
        </is>
      </c>
      <c r="C44" s="17">
        <f>IF(AND((Assumptions!$F$6=1),(C$2&gt;=Assumptions!$F$56)),((C36/1000)*Assumptions!$F$57),0)</f>
        <v/>
      </c>
      <c r="D44" s="17">
        <f>IF(AND((Assumptions!$F$6=1),(D$2&gt;=Assumptions!$F$56)),((D36/1000)*Assumptions!$F$57),0)</f>
        <v/>
      </c>
      <c r="E44" s="17">
        <f>IF(AND((Assumptions!$F$6=1),(E$2&gt;=Assumptions!$F$56)),((E36/1000)*Assumptions!$F$57),0)</f>
        <v/>
      </c>
      <c r="F44" s="17">
        <f>IF(AND((Assumptions!$F$6=1),(F$2&gt;=Assumptions!$F$56)),((F36/1000)*Assumptions!$F$57),0)</f>
        <v/>
      </c>
      <c r="G44" s="17">
        <f>IF(AND((Assumptions!$F$6=1),(G$2&gt;=Assumptions!$F$56)),((G36/1000)*Assumptions!$F$57),0)</f>
        <v/>
      </c>
      <c r="H44" s="17">
        <f>IF(AND((Assumptions!$F$6=1),(H$2&gt;=Assumptions!$F$56)),((H36/1000)*Assumptions!$F$57),0)</f>
        <v/>
      </c>
      <c r="I44" s="17">
        <f>IF(AND((Assumptions!$F$6=1),(I$2&gt;=Assumptions!$F$56)),((I36/1000)*Assumptions!$F$57),0)</f>
        <v/>
      </c>
      <c r="J44" s="17">
        <f>IF(AND((Assumptions!$F$6=1),(J$2&gt;=Assumptions!$F$56)),((J36/1000)*Assumptions!$F$57),0)</f>
        <v/>
      </c>
      <c r="K44" s="17">
        <f>IF(AND((Assumptions!$F$6=1),(K$2&gt;=Assumptions!$F$56)),((K36/1000)*Assumptions!$F$57),0)</f>
        <v/>
      </c>
      <c r="L44" s="17">
        <f>IF(AND((Assumptions!$F$6=1),(L$2&gt;=Assumptions!$F$56)),((L36/1000)*Assumptions!$F$57),0)</f>
        <v/>
      </c>
      <c r="M44" s="17">
        <f>IF(AND((Assumptions!$F$6=1),(M$2&gt;=Assumptions!$F$56)),((M36/1000)*Assumptions!$F$57),0)</f>
        <v/>
      </c>
      <c r="N44" s="17">
        <f>IF(AND((Assumptions!$F$6=1),(N$2&gt;=Assumptions!$F$56)),((N36/1000)*Assumptions!$F$57),0)</f>
        <v/>
      </c>
      <c r="O44" s="17">
        <f>IF(AND((Assumptions!$F$6=1),(O$2&gt;=Assumptions!$F$56)),((O36/1000)*Assumptions!$F$57),0)</f>
        <v/>
      </c>
      <c r="P44" s="17">
        <f>IF(AND((Assumptions!$F$6=1),(P$2&gt;=Assumptions!$F$56)),((P36/1000)*Assumptions!$F$57),0)</f>
        <v/>
      </c>
      <c r="Q44" s="17">
        <f>IF(AND((Assumptions!$F$6=1),(Q$2&gt;=Assumptions!$F$56)),((Q36/1000)*Assumptions!$F$57),0)</f>
        <v/>
      </c>
      <c r="R44" s="17">
        <f>IF(AND((Assumptions!$F$6=1),(R$2&gt;=Assumptions!$F$56)),((R36/1000)*Assumptions!$F$57),0)</f>
        <v/>
      </c>
      <c r="S44" s="17">
        <f>IF(AND((Assumptions!$F$6=1),(S$2&gt;=Assumptions!$F$56)),((S36/1000)*Assumptions!$F$57),0)</f>
        <v/>
      </c>
      <c r="T44" s="17">
        <f>IF(AND((Assumptions!$F$6=1),(T$2&gt;=Assumptions!$F$56)),((T36/1000)*Assumptions!$F$57),0)</f>
        <v/>
      </c>
      <c r="U44" s="17">
        <f>IF(AND((Assumptions!$F$6=1),(U$2&gt;=Assumptions!$F$56)),((U36/1000)*Assumptions!$F$57),0)</f>
        <v/>
      </c>
      <c r="V44" s="17">
        <f>IF(AND((Assumptions!$F$6=1),(V$2&gt;=Assumptions!$F$56)),((V36/1000)*Assumptions!$F$57),0)</f>
        <v/>
      </c>
      <c r="W44" s="17">
        <f>IF(AND((Assumptions!$F$6=1),(W$2&gt;=Assumptions!$F$56)),((W36/1000)*Assumptions!$F$57),0)</f>
        <v/>
      </c>
      <c r="X44" s="17">
        <f>IF(AND((Assumptions!$F$6=1),(X$2&gt;=Assumptions!$F$56)),((X36/1000)*Assumptions!$F$57),0)</f>
        <v/>
      </c>
      <c r="Y44" s="17">
        <f>IF(AND((Assumptions!$F$6=1),(Y$2&gt;=Assumptions!$F$56)),((Y36/1000)*Assumptions!$F$57),0)</f>
        <v/>
      </c>
      <c r="Z44" s="17">
        <f>IF(AND((Assumptions!$F$6=1),(Z$2&gt;=Assumptions!$F$56)),((Z36/1000)*Assumptions!$F$57),0)</f>
        <v/>
      </c>
      <c r="AA44" s="17">
        <f>IF(AND((Assumptions!$F$6=1),(AA$2&gt;=Assumptions!$F$56)),((AA36/1000)*Assumptions!$F$57),0)</f>
        <v/>
      </c>
      <c r="AB44" s="17">
        <f>IF(AND((Assumptions!$F$6=1),(AB$2&gt;=Assumptions!$F$56)),((AB36/1000)*Assumptions!$F$57),0)</f>
        <v/>
      </c>
      <c r="AC44" s="17">
        <f>IF(AND((Assumptions!$F$6=1),(AC$2&gt;=Assumptions!$F$56)),((AC36/1000)*Assumptions!$F$57),0)</f>
        <v/>
      </c>
      <c r="AD44" s="17">
        <f>IF(AND((Assumptions!$F$6=1),(AD$2&gt;=Assumptions!$F$56)),((AD36/1000)*Assumptions!$F$57),0)</f>
        <v/>
      </c>
      <c r="AE44" s="17">
        <f>IF(AND((Assumptions!$F$6=1),(AE$2&gt;=Assumptions!$F$56)),((AE36/1000)*Assumptions!$F$57),0)</f>
        <v/>
      </c>
      <c r="AF44" s="17">
        <f>IF(AND((Assumptions!$F$6=1),(AF$2&gt;=Assumptions!$F$56)),((AF36/1000)*Assumptions!$F$57),0)</f>
        <v/>
      </c>
      <c r="AG44" s="17">
        <f>IF(AND((Assumptions!$F$6=1),(AG$2&gt;=Assumptions!$F$56)),((AG36/1000)*Assumptions!$F$57),0)</f>
        <v/>
      </c>
      <c r="AH44" s="17">
        <f>IF(AND((Assumptions!$F$6=1),(AH$2&gt;=Assumptions!$F$56)),((AH36/1000)*Assumptions!$F$57),0)</f>
        <v/>
      </c>
      <c r="AI44" s="17">
        <f>IF(AND((Assumptions!$F$6=1),(AI$2&gt;=Assumptions!$F$56)),((AI36/1000)*Assumptions!$F$57),0)</f>
        <v/>
      </c>
      <c r="AJ44" s="17">
        <f>IF(AND((Assumptions!$F$6=1),(AJ$2&gt;=Assumptions!$F$56)),((AJ36/1000)*Assumptions!$F$57),0)</f>
        <v/>
      </c>
      <c r="AK44" s="17">
        <f>IF(AND((Assumptions!$F$6=1),(AK$2&gt;=Assumptions!$F$56)),((AK36/1000)*Assumptions!$F$57),0)</f>
        <v/>
      </c>
      <c r="AL44" s="17">
        <f>IF(AND((Assumptions!$F$6=1),(AL$2&gt;=Assumptions!$F$56)),((AL36/1000)*Assumptions!$F$57),0)</f>
        <v/>
      </c>
    </row>
    <row r="45">
      <c r="A45" s="6" t="inlineStr">
        <is>
          <t>Affiliate funded accounts</t>
        </is>
      </c>
      <c r="B45" s="2" t="inlineStr">
        <is>
          <t>aff_funded</t>
        </is>
      </c>
      <c r="C45" s="17">
        <f>(C44*Assumptions!$F$58)</f>
        <v/>
      </c>
      <c r="D45" s="17">
        <f>(D44*Assumptions!$F$58)</f>
        <v/>
      </c>
      <c r="E45" s="17">
        <f>(E44*Assumptions!$F$58)</f>
        <v/>
      </c>
      <c r="F45" s="17">
        <f>(F44*Assumptions!$F$58)</f>
        <v/>
      </c>
      <c r="G45" s="17">
        <f>(G44*Assumptions!$F$58)</f>
        <v/>
      </c>
      <c r="H45" s="17">
        <f>(H44*Assumptions!$F$58)</f>
        <v/>
      </c>
      <c r="I45" s="17">
        <f>(I44*Assumptions!$F$58)</f>
        <v/>
      </c>
      <c r="J45" s="17">
        <f>(J44*Assumptions!$F$58)</f>
        <v/>
      </c>
      <c r="K45" s="17">
        <f>(K44*Assumptions!$F$58)</f>
        <v/>
      </c>
      <c r="L45" s="17">
        <f>(L44*Assumptions!$F$58)</f>
        <v/>
      </c>
      <c r="M45" s="17">
        <f>(M44*Assumptions!$F$58)</f>
        <v/>
      </c>
      <c r="N45" s="17">
        <f>(N44*Assumptions!$F$58)</f>
        <v/>
      </c>
      <c r="O45" s="17">
        <f>(O44*Assumptions!$F$58)</f>
        <v/>
      </c>
      <c r="P45" s="17">
        <f>(P44*Assumptions!$F$58)</f>
        <v/>
      </c>
      <c r="Q45" s="17">
        <f>(Q44*Assumptions!$F$58)</f>
        <v/>
      </c>
      <c r="R45" s="17">
        <f>(R44*Assumptions!$F$58)</f>
        <v/>
      </c>
      <c r="S45" s="17">
        <f>(S44*Assumptions!$F$58)</f>
        <v/>
      </c>
      <c r="T45" s="17">
        <f>(T44*Assumptions!$F$58)</f>
        <v/>
      </c>
      <c r="U45" s="17">
        <f>(U44*Assumptions!$F$58)</f>
        <v/>
      </c>
      <c r="V45" s="17">
        <f>(V44*Assumptions!$F$58)</f>
        <v/>
      </c>
      <c r="W45" s="17">
        <f>(W44*Assumptions!$F$58)</f>
        <v/>
      </c>
      <c r="X45" s="17">
        <f>(X44*Assumptions!$F$58)</f>
        <v/>
      </c>
      <c r="Y45" s="17">
        <f>(Y44*Assumptions!$F$58)</f>
        <v/>
      </c>
      <c r="Z45" s="17">
        <f>(Z44*Assumptions!$F$58)</f>
        <v/>
      </c>
      <c r="AA45" s="17">
        <f>(AA44*Assumptions!$F$58)</f>
        <v/>
      </c>
      <c r="AB45" s="17">
        <f>(AB44*Assumptions!$F$58)</f>
        <v/>
      </c>
      <c r="AC45" s="17">
        <f>(AC44*Assumptions!$F$58)</f>
        <v/>
      </c>
      <c r="AD45" s="17">
        <f>(AD44*Assumptions!$F$58)</f>
        <v/>
      </c>
      <c r="AE45" s="17">
        <f>(AE44*Assumptions!$F$58)</f>
        <v/>
      </c>
      <c r="AF45" s="17">
        <f>(AF44*Assumptions!$F$58)</f>
        <v/>
      </c>
      <c r="AG45" s="17">
        <f>(AG44*Assumptions!$F$58)</f>
        <v/>
      </c>
      <c r="AH45" s="17">
        <f>(AH44*Assumptions!$F$58)</f>
        <v/>
      </c>
      <c r="AI45" s="17">
        <f>(AI44*Assumptions!$F$58)</f>
        <v/>
      </c>
      <c r="AJ45" s="17">
        <f>(AJ44*Assumptions!$F$58)</f>
        <v/>
      </c>
      <c r="AK45" s="17">
        <f>(AK44*Assumptions!$F$58)</f>
        <v/>
      </c>
      <c r="AL45" s="17">
        <f>(AL44*Assumptions!$F$58)</f>
        <v/>
      </c>
    </row>
    <row r="46">
      <c r="A46" s="6" t="inlineStr">
        <is>
          <t>Classroom Pro teachers</t>
        </is>
      </c>
      <c r="B46" s="2" t="inlineStr">
        <is>
          <t>teachers</t>
        </is>
      </c>
      <c r="C46" s="17">
        <f>IF(AND((Assumptions!$F$7=1),(C$2&gt;=Assumptions!$F$61)),(Assumptions!$F$62+(Assumptions!$F$63*(C$2-Assumptions!$F$61))),0)</f>
        <v/>
      </c>
      <c r="D46" s="17">
        <f>IF(AND((Assumptions!$F$7=1),(D$2&gt;=Assumptions!$F$61)),(Assumptions!$F$62+(Assumptions!$F$63*(D$2-Assumptions!$F$61))),0)</f>
        <v/>
      </c>
      <c r="E46" s="17">
        <f>IF(AND((Assumptions!$F$7=1),(E$2&gt;=Assumptions!$F$61)),(Assumptions!$F$62+(Assumptions!$F$63*(E$2-Assumptions!$F$61))),0)</f>
        <v/>
      </c>
      <c r="F46" s="17">
        <f>IF(AND((Assumptions!$F$7=1),(F$2&gt;=Assumptions!$F$61)),(Assumptions!$F$62+(Assumptions!$F$63*(F$2-Assumptions!$F$61))),0)</f>
        <v/>
      </c>
      <c r="G46" s="17">
        <f>IF(AND((Assumptions!$F$7=1),(G$2&gt;=Assumptions!$F$61)),(Assumptions!$F$62+(Assumptions!$F$63*(G$2-Assumptions!$F$61))),0)</f>
        <v/>
      </c>
      <c r="H46" s="17">
        <f>IF(AND((Assumptions!$F$7=1),(H$2&gt;=Assumptions!$F$61)),(Assumptions!$F$62+(Assumptions!$F$63*(H$2-Assumptions!$F$61))),0)</f>
        <v/>
      </c>
      <c r="I46" s="17">
        <f>IF(AND((Assumptions!$F$7=1),(I$2&gt;=Assumptions!$F$61)),(Assumptions!$F$62+(Assumptions!$F$63*(I$2-Assumptions!$F$61))),0)</f>
        <v/>
      </c>
      <c r="J46" s="17">
        <f>IF(AND((Assumptions!$F$7=1),(J$2&gt;=Assumptions!$F$61)),(Assumptions!$F$62+(Assumptions!$F$63*(J$2-Assumptions!$F$61))),0)</f>
        <v/>
      </c>
      <c r="K46" s="17">
        <f>IF(AND((Assumptions!$F$7=1),(K$2&gt;=Assumptions!$F$61)),(Assumptions!$F$62+(Assumptions!$F$63*(K$2-Assumptions!$F$61))),0)</f>
        <v/>
      </c>
      <c r="L46" s="17">
        <f>IF(AND((Assumptions!$F$7=1),(L$2&gt;=Assumptions!$F$61)),(Assumptions!$F$62+(Assumptions!$F$63*(L$2-Assumptions!$F$61))),0)</f>
        <v/>
      </c>
      <c r="M46" s="17">
        <f>IF(AND((Assumptions!$F$7=1),(M$2&gt;=Assumptions!$F$61)),(Assumptions!$F$62+(Assumptions!$F$63*(M$2-Assumptions!$F$61))),0)</f>
        <v/>
      </c>
      <c r="N46" s="17">
        <f>IF(AND((Assumptions!$F$7=1),(N$2&gt;=Assumptions!$F$61)),(Assumptions!$F$62+(Assumptions!$F$63*(N$2-Assumptions!$F$61))),0)</f>
        <v/>
      </c>
      <c r="O46" s="17">
        <f>IF(AND((Assumptions!$F$7=1),(O$2&gt;=Assumptions!$F$61)),(Assumptions!$F$62+(Assumptions!$F$63*(O$2-Assumptions!$F$61))),0)</f>
        <v/>
      </c>
      <c r="P46" s="17">
        <f>IF(AND((Assumptions!$F$7=1),(P$2&gt;=Assumptions!$F$61)),(Assumptions!$F$62+(Assumptions!$F$63*(P$2-Assumptions!$F$61))),0)</f>
        <v/>
      </c>
      <c r="Q46" s="17">
        <f>IF(AND((Assumptions!$F$7=1),(Q$2&gt;=Assumptions!$F$61)),(Assumptions!$F$62+(Assumptions!$F$63*(Q$2-Assumptions!$F$61))),0)</f>
        <v/>
      </c>
      <c r="R46" s="17">
        <f>IF(AND((Assumptions!$F$7=1),(R$2&gt;=Assumptions!$F$61)),(Assumptions!$F$62+(Assumptions!$F$63*(R$2-Assumptions!$F$61))),0)</f>
        <v/>
      </c>
      <c r="S46" s="17">
        <f>IF(AND((Assumptions!$F$7=1),(S$2&gt;=Assumptions!$F$61)),(Assumptions!$F$62+(Assumptions!$F$63*(S$2-Assumptions!$F$61))),0)</f>
        <v/>
      </c>
      <c r="T46" s="17">
        <f>IF(AND((Assumptions!$F$7=1),(T$2&gt;=Assumptions!$F$61)),(Assumptions!$F$62+(Assumptions!$F$63*(T$2-Assumptions!$F$61))),0)</f>
        <v/>
      </c>
      <c r="U46" s="17">
        <f>IF(AND((Assumptions!$F$7=1),(U$2&gt;=Assumptions!$F$61)),(Assumptions!$F$62+(Assumptions!$F$63*(U$2-Assumptions!$F$61))),0)</f>
        <v/>
      </c>
      <c r="V46" s="17">
        <f>IF(AND((Assumptions!$F$7=1),(V$2&gt;=Assumptions!$F$61)),(Assumptions!$F$62+(Assumptions!$F$63*(V$2-Assumptions!$F$61))),0)</f>
        <v/>
      </c>
      <c r="W46" s="17">
        <f>IF(AND((Assumptions!$F$7=1),(W$2&gt;=Assumptions!$F$61)),(Assumptions!$F$62+(Assumptions!$F$63*(W$2-Assumptions!$F$61))),0)</f>
        <v/>
      </c>
      <c r="X46" s="17">
        <f>IF(AND((Assumptions!$F$7=1),(X$2&gt;=Assumptions!$F$61)),(Assumptions!$F$62+(Assumptions!$F$63*(X$2-Assumptions!$F$61))),0)</f>
        <v/>
      </c>
      <c r="Y46" s="17">
        <f>IF(AND((Assumptions!$F$7=1),(Y$2&gt;=Assumptions!$F$61)),(Assumptions!$F$62+(Assumptions!$F$63*(Y$2-Assumptions!$F$61))),0)</f>
        <v/>
      </c>
      <c r="Z46" s="17">
        <f>IF(AND((Assumptions!$F$7=1),(Z$2&gt;=Assumptions!$F$61)),(Assumptions!$F$62+(Assumptions!$F$63*(Z$2-Assumptions!$F$61))),0)</f>
        <v/>
      </c>
      <c r="AA46" s="17">
        <f>IF(AND((Assumptions!$F$7=1),(AA$2&gt;=Assumptions!$F$61)),(Assumptions!$F$62+(Assumptions!$F$63*(AA$2-Assumptions!$F$61))),0)</f>
        <v/>
      </c>
      <c r="AB46" s="17">
        <f>IF(AND((Assumptions!$F$7=1),(AB$2&gt;=Assumptions!$F$61)),(Assumptions!$F$62+(Assumptions!$F$63*(AB$2-Assumptions!$F$61))),0)</f>
        <v/>
      </c>
      <c r="AC46" s="17">
        <f>IF(AND((Assumptions!$F$7=1),(AC$2&gt;=Assumptions!$F$61)),(Assumptions!$F$62+(Assumptions!$F$63*(AC$2-Assumptions!$F$61))),0)</f>
        <v/>
      </c>
      <c r="AD46" s="17">
        <f>IF(AND((Assumptions!$F$7=1),(AD$2&gt;=Assumptions!$F$61)),(Assumptions!$F$62+(Assumptions!$F$63*(AD$2-Assumptions!$F$61))),0)</f>
        <v/>
      </c>
      <c r="AE46" s="17">
        <f>IF(AND((Assumptions!$F$7=1),(AE$2&gt;=Assumptions!$F$61)),(Assumptions!$F$62+(Assumptions!$F$63*(AE$2-Assumptions!$F$61))),0)</f>
        <v/>
      </c>
      <c r="AF46" s="17">
        <f>IF(AND((Assumptions!$F$7=1),(AF$2&gt;=Assumptions!$F$61)),(Assumptions!$F$62+(Assumptions!$F$63*(AF$2-Assumptions!$F$61))),0)</f>
        <v/>
      </c>
      <c r="AG46" s="17">
        <f>IF(AND((Assumptions!$F$7=1),(AG$2&gt;=Assumptions!$F$61)),(Assumptions!$F$62+(Assumptions!$F$63*(AG$2-Assumptions!$F$61))),0)</f>
        <v/>
      </c>
      <c r="AH46" s="17">
        <f>IF(AND((Assumptions!$F$7=1),(AH$2&gt;=Assumptions!$F$61)),(Assumptions!$F$62+(Assumptions!$F$63*(AH$2-Assumptions!$F$61))),0)</f>
        <v/>
      </c>
      <c r="AI46" s="17">
        <f>IF(AND((Assumptions!$F$7=1),(AI$2&gt;=Assumptions!$F$61)),(Assumptions!$F$62+(Assumptions!$F$63*(AI$2-Assumptions!$F$61))),0)</f>
        <v/>
      </c>
      <c r="AJ46" s="17">
        <f>IF(AND((Assumptions!$F$7=1),(AJ$2&gt;=Assumptions!$F$61)),(Assumptions!$F$62+(Assumptions!$F$63*(AJ$2-Assumptions!$F$61))),0)</f>
        <v/>
      </c>
      <c r="AK46" s="17">
        <f>IF(AND((Assumptions!$F$7=1),(AK$2&gt;=Assumptions!$F$61)),(Assumptions!$F$62+(Assumptions!$F$63*(AK$2-Assumptions!$F$61))),0)</f>
        <v/>
      </c>
      <c r="AL46" s="17">
        <f>IF(AND((Assumptions!$F$7=1),(AL$2&gt;=Assumptions!$F$61)),(Assumptions!$F$62+(Assumptions!$F$63*(AL$2-Assumptions!$F$61))),0)</f>
        <v/>
      </c>
    </row>
    <row r="47">
      <c r="A47" s="6" t="inlineStr">
        <is>
          <t>Campus / club licences</t>
        </is>
      </c>
      <c r="B47" s="2" t="inlineStr">
        <is>
          <t>campus</t>
        </is>
      </c>
      <c r="C47" s="17">
        <f>IF(AND((Assumptions!$F$7=1),(C$2&gt;=Assumptions!$F$61)),(Assumptions!$F$65+(Assumptions!$F$66*(C$2-Assumptions!$F$61))),0)</f>
        <v/>
      </c>
      <c r="D47" s="17">
        <f>IF(AND((Assumptions!$F$7=1),(D$2&gt;=Assumptions!$F$61)),(Assumptions!$F$65+(Assumptions!$F$66*(D$2-Assumptions!$F$61))),0)</f>
        <v/>
      </c>
      <c r="E47" s="17">
        <f>IF(AND((Assumptions!$F$7=1),(E$2&gt;=Assumptions!$F$61)),(Assumptions!$F$65+(Assumptions!$F$66*(E$2-Assumptions!$F$61))),0)</f>
        <v/>
      </c>
      <c r="F47" s="17">
        <f>IF(AND((Assumptions!$F$7=1),(F$2&gt;=Assumptions!$F$61)),(Assumptions!$F$65+(Assumptions!$F$66*(F$2-Assumptions!$F$61))),0)</f>
        <v/>
      </c>
      <c r="G47" s="17">
        <f>IF(AND((Assumptions!$F$7=1),(G$2&gt;=Assumptions!$F$61)),(Assumptions!$F$65+(Assumptions!$F$66*(G$2-Assumptions!$F$61))),0)</f>
        <v/>
      </c>
      <c r="H47" s="17">
        <f>IF(AND((Assumptions!$F$7=1),(H$2&gt;=Assumptions!$F$61)),(Assumptions!$F$65+(Assumptions!$F$66*(H$2-Assumptions!$F$61))),0)</f>
        <v/>
      </c>
      <c r="I47" s="17">
        <f>IF(AND((Assumptions!$F$7=1),(I$2&gt;=Assumptions!$F$61)),(Assumptions!$F$65+(Assumptions!$F$66*(I$2-Assumptions!$F$61))),0)</f>
        <v/>
      </c>
      <c r="J47" s="17">
        <f>IF(AND((Assumptions!$F$7=1),(J$2&gt;=Assumptions!$F$61)),(Assumptions!$F$65+(Assumptions!$F$66*(J$2-Assumptions!$F$61))),0)</f>
        <v/>
      </c>
      <c r="K47" s="17">
        <f>IF(AND((Assumptions!$F$7=1),(K$2&gt;=Assumptions!$F$61)),(Assumptions!$F$65+(Assumptions!$F$66*(K$2-Assumptions!$F$61))),0)</f>
        <v/>
      </c>
      <c r="L47" s="17">
        <f>IF(AND((Assumptions!$F$7=1),(L$2&gt;=Assumptions!$F$61)),(Assumptions!$F$65+(Assumptions!$F$66*(L$2-Assumptions!$F$61))),0)</f>
        <v/>
      </c>
      <c r="M47" s="17">
        <f>IF(AND((Assumptions!$F$7=1),(M$2&gt;=Assumptions!$F$61)),(Assumptions!$F$65+(Assumptions!$F$66*(M$2-Assumptions!$F$61))),0)</f>
        <v/>
      </c>
      <c r="N47" s="17">
        <f>IF(AND((Assumptions!$F$7=1),(N$2&gt;=Assumptions!$F$61)),(Assumptions!$F$65+(Assumptions!$F$66*(N$2-Assumptions!$F$61))),0)</f>
        <v/>
      </c>
      <c r="O47" s="17">
        <f>IF(AND((Assumptions!$F$7=1),(O$2&gt;=Assumptions!$F$61)),(Assumptions!$F$65+(Assumptions!$F$66*(O$2-Assumptions!$F$61))),0)</f>
        <v/>
      </c>
      <c r="P47" s="17">
        <f>IF(AND((Assumptions!$F$7=1),(P$2&gt;=Assumptions!$F$61)),(Assumptions!$F$65+(Assumptions!$F$66*(P$2-Assumptions!$F$61))),0)</f>
        <v/>
      </c>
      <c r="Q47" s="17">
        <f>IF(AND((Assumptions!$F$7=1),(Q$2&gt;=Assumptions!$F$61)),(Assumptions!$F$65+(Assumptions!$F$66*(Q$2-Assumptions!$F$61))),0)</f>
        <v/>
      </c>
      <c r="R47" s="17">
        <f>IF(AND((Assumptions!$F$7=1),(R$2&gt;=Assumptions!$F$61)),(Assumptions!$F$65+(Assumptions!$F$66*(R$2-Assumptions!$F$61))),0)</f>
        <v/>
      </c>
      <c r="S47" s="17">
        <f>IF(AND((Assumptions!$F$7=1),(S$2&gt;=Assumptions!$F$61)),(Assumptions!$F$65+(Assumptions!$F$66*(S$2-Assumptions!$F$61))),0)</f>
        <v/>
      </c>
      <c r="T47" s="17">
        <f>IF(AND((Assumptions!$F$7=1),(T$2&gt;=Assumptions!$F$61)),(Assumptions!$F$65+(Assumptions!$F$66*(T$2-Assumptions!$F$61))),0)</f>
        <v/>
      </c>
      <c r="U47" s="17">
        <f>IF(AND((Assumptions!$F$7=1),(U$2&gt;=Assumptions!$F$61)),(Assumptions!$F$65+(Assumptions!$F$66*(U$2-Assumptions!$F$61))),0)</f>
        <v/>
      </c>
      <c r="V47" s="17">
        <f>IF(AND((Assumptions!$F$7=1),(V$2&gt;=Assumptions!$F$61)),(Assumptions!$F$65+(Assumptions!$F$66*(V$2-Assumptions!$F$61))),0)</f>
        <v/>
      </c>
      <c r="W47" s="17">
        <f>IF(AND((Assumptions!$F$7=1),(W$2&gt;=Assumptions!$F$61)),(Assumptions!$F$65+(Assumptions!$F$66*(W$2-Assumptions!$F$61))),0)</f>
        <v/>
      </c>
      <c r="X47" s="17">
        <f>IF(AND((Assumptions!$F$7=1),(X$2&gt;=Assumptions!$F$61)),(Assumptions!$F$65+(Assumptions!$F$66*(X$2-Assumptions!$F$61))),0)</f>
        <v/>
      </c>
      <c r="Y47" s="17">
        <f>IF(AND((Assumptions!$F$7=1),(Y$2&gt;=Assumptions!$F$61)),(Assumptions!$F$65+(Assumptions!$F$66*(Y$2-Assumptions!$F$61))),0)</f>
        <v/>
      </c>
      <c r="Z47" s="17">
        <f>IF(AND((Assumptions!$F$7=1),(Z$2&gt;=Assumptions!$F$61)),(Assumptions!$F$65+(Assumptions!$F$66*(Z$2-Assumptions!$F$61))),0)</f>
        <v/>
      </c>
      <c r="AA47" s="17">
        <f>IF(AND((Assumptions!$F$7=1),(AA$2&gt;=Assumptions!$F$61)),(Assumptions!$F$65+(Assumptions!$F$66*(AA$2-Assumptions!$F$61))),0)</f>
        <v/>
      </c>
      <c r="AB47" s="17">
        <f>IF(AND((Assumptions!$F$7=1),(AB$2&gt;=Assumptions!$F$61)),(Assumptions!$F$65+(Assumptions!$F$66*(AB$2-Assumptions!$F$61))),0)</f>
        <v/>
      </c>
      <c r="AC47" s="17">
        <f>IF(AND((Assumptions!$F$7=1),(AC$2&gt;=Assumptions!$F$61)),(Assumptions!$F$65+(Assumptions!$F$66*(AC$2-Assumptions!$F$61))),0)</f>
        <v/>
      </c>
      <c r="AD47" s="17">
        <f>IF(AND((Assumptions!$F$7=1),(AD$2&gt;=Assumptions!$F$61)),(Assumptions!$F$65+(Assumptions!$F$66*(AD$2-Assumptions!$F$61))),0)</f>
        <v/>
      </c>
      <c r="AE47" s="17">
        <f>IF(AND((Assumptions!$F$7=1),(AE$2&gt;=Assumptions!$F$61)),(Assumptions!$F$65+(Assumptions!$F$66*(AE$2-Assumptions!$F$61))),0)</f>
        <v/>
      </c>
      <c r="AF47" s="17">
        <f>IF(AND((Assumptions!$F$7=1),(AF$2&gt;=Assumptions!$F$61)),(Assumptions!$F$65+(Assumptions!$F$66*(AF$2-Assumptions!$F$61))),0)</f>
        <v/>
      </c>
      <c r="AG47" s="17">
        <f>IF(AND((Assumptions!$F$7=1),(AG$2&gt;=Assumptions!$F$61)),(Assumptions!$F$65+(Assumptions!$F$66*(AG$2-Assumptions!$F$61))),0)</f>
        <v/>
      </c>
      <c r="AH47" s="17">
        <f>IF(AND((Assumptions!$F$7=1),(AH$2&gt;=Assumptions!$F$61)),(Assumptions!$F$65+(Assumptions!$F$66*(AH$2-Assumptions!$F$61))),0)</f>
        <v/>
      </c>
      <c r="AI47" s="17">
        <f>IF(AND((Assumptions!$F$7=1),(AI$2&gt;=Assumptions!$F$61)),(Assumptions!$F$65+(Assumptions!$F$66*(AI$2-Assumptions!$F$61))),0)</f>
        <v/>
      </c>
      <c r="AJ47" s="17">
        <f>IF(AND((Assumptions!$F$7=1),(AJ$2&gt;=Assumptions!$F$61)),(Assumptions!$F$65+(Assumptions!$F$66*(AJ$2-Assumptions!$F$61))),0)</f>
        <v/>
      </c>
      <c r="AK47" s="17">
        <f>IF(AND((Assumptions!$F$7=1),(AK$2&gt;=Assumptions!$F$61)),(Assumptions!$F$65+(Assumptions!$F$66*(AK$2-Assumptions!$F$61))),0)</f>
        <v/>
      </c>
      <c r="AL47" s="17">
        <f>IF(AND((Assumptions!$F$7=1),(AL$2&gt;=Assumptions!$F$61)),(Assumptions!$F$65+(Assumptions!$F$66*(AL$2-Assumptions!$F$61))),0)</f>
        <v/>
      </c>
    </row>
    <row r="48">
      <c r="A48" s="6" t="inlineStr">
        <is>
          <t>Linking live (1 = yes)</t>
        </is>
      </c>
      <c r="B48" s="2" t="inlineStr">
        <is>
          <t>link_on</t>
        </is>
      </c>
      <c r="C48" s="8">
        <f>IF(AND((Assumptions!$F$9=1),(C$2&gt;=Assumptions!$F$73)),1,0)</f>
        <v/>
      </c>
      <c r="D48" s="8">
        <f>IF(AND((Assumptions!$F$9=1),(D$2&gt;=Assumptions!$F$73)),1,0)</f>
        <v/>
      </c>
      <c r="E48" s="8">
        <f>IF(AND((Assumptions!$F$9=1),(E$2&gt;=Assumptions!$F$73)),1,0)</f>
        <v/>
      </c>
      <c r="F48" s="8">
        <f>IF(AND((Assumptions!$F$9=1),(F$2&gt;=Assumptions!$F$73)),1,0)</f>
        <v/>
      </c>
      <c r="G48" s="8">
        <f>IF(AND((Assumptions!$F$9=1),(G$2&gt;=Assumptions!$F$73)),1,0)</f>
        <v/>
      </c>
      <c r="H48" s="8">
        <f>IF(AND((Assumptions!$F$9=1),(H$2&gt;=Assumptions!$F$73)),1,0)</f>
        <v/>
      </c>
      <c r="I48" s="8">
        <f>IF(AND((Assumptions!$F$9=1),(I$2&gt;=Assumptions!$F$73)),1,0)</f>
        <v/>
      </c>
      <c r="J48" s="8">
        <f>IF(AND((Assumptions!$F$9=1),(J$2&gt;=Assumptions!$F$73)),1,0)</f>
        <v/>
      </c>
      <c r="K48" s="8">
        <f>IF(AND((Assumptions!$F$9=1),(K$2&gt;=Assumptions!$F$73)),1,0)</f>
        <v/>
      </c>
      <c r="L48" s="8">
        <f>IF(AND((Assumptions!$F$9=1),(L$2&gt;=Assumptions!$F$73)),1,0)</f>
        <v/>
      </c>
      <c r="M48" s="8">
        <f>IF(AND((Assumptions!$F$9=1),(M$2&gt;=Assumptions!$F$73)),1,0)</f>
        <v/>
      </c>
      <c r="N48" s="8">
        <f>IF(AND((Assumptions!$F$9=1),(N$2&gt;=Assumptions!$F$73)),1,0)</f>
        <v/>
      </c>
      <c r="O48" s="8">
        <f>IF(AND((Assumptions!$F$9=1),(O$2&gt;=Assumptions!$F$73)),1,0)</f>
        <v/>
      </c>
      <c r="P48" s="8">
        <f>IF(AND((Assumptions!$F$9=1),(P$2&gt;=Assumptions!$F$73)),1,0)</f>
        <v/>
      </c>
      <c r="Q48" s="8">
        <f>IF(AND((Assumptions!$F$9=1),(Q$2&gt;=Assumptions!$F$73)),1,0)</f>
        <v/>
      </c>
      <c r="R48" s="8">
        <f>IF(AND((Assumptions!$F$9=1),(R$2&gt;=Assumptions!$F$73)),1,0)</f>
        <v/>
      </c>
      <c r="S48" s="8">
        <f>IF(AND((Assumptions!$F$9=1),(S$2&gt;=Assumptions!$F$73)),1,0)</f>
        <v/>
      </c>
      <c r="T48" s="8">
        <f>IF(AND((Assumptions!$F$9=1),(T$2&gt;=Assumptions!$F$73)),1,0)</f>
        <v/>
      </c>
      <c r="U48" s="8">
        <f>IF(AND((Assumptions!$F$9=1),(U$2&gt;=Assumptions!$F$73)),1,0)</f>
        <v/>
      </c>
      <c r="V48" s="8">
        <f>IF(AND((Assumptions!$F$9=1),(V$2&gt;=Assumptions!$F$73)),1,0)</f>
        <v/>
      </c>
      <c r="W48" s="8">
        <f>IF(AND((Assumptions!$F$9=1),(W$2&gt;=Assumptions!$F$73)),1,0)</f>
        <v/>
      </c>
      <c r="X48" s="8">
        <f>IF(AND((Assumptions!$F$9=1),(X$2&gt;=Assumptions!$F$73)),1,0)</f>
        <v/>
      </c>
      <c r="Y48" s="8">
        <f>IF(AND((Assumptions!$F$9=1),(Y$2&gt;=Assumptions!$F$73)),1,0)</f>
        <v/>
      </c>
      <c r="Z48" s="8">
        <f>IF(AND((Assumptions!$F$9=1),(Z$2&gt;=Assumptions!$F$73)),1,0)</f>
        <v/>
      </c>
      <c r="AA48" s="8">
        <f>IF(AND((Assumptions!$F$9=1),(AA$2&gt;=Assumptions!$F$73)),1,0)</f>
        <v/>
      </c>
      <c r="AB48" s="8">
        <f>IF(AND((Assumptions!$F$9=1),(AB$2&gt;=Assumptions!$F$73)),1,0)</f>
        <v/>
      </c>
      <c r="AC48" s="8">
        <f>IF(AND((Assumptions!$F$9=1),(AC$2&gt;=Assumptions!$F$73)),1,0)</f>
        <v/>
      </c>
      <c r="AD48" s="8">
        <f>IF(AND((Assumptions!$F$9=1),(AD$2&gt;=Assumptions!$F$73)),1,0)</f>
        <v/>
      </c>
      <c r="AE48" s="8">
        <f>IF(AND((Assumptions!$F$9=1),(AE$2&gt;=Assumptions!$F$73)),1,0)</f>
        <v/>
      </c>
      <c r="AF48" s="8">
        <f>IF(AND((Assumptions!$F$9=1),(AF$2&gt;=Assumptions!$F$73)),1,0)</f>
        <v/>
      </c>
      <c r="AG48" s="8">
        <f>IF(AND((Assumptions!$F$9=1),(AG$2&gt;=Assumptions!$F$73)),1,0)</f>
        <v/>
      </c>
      <c r="AH48" s="8">
        <f>IF(AND((Assumptions!$F$9=1),(AH$2&gt;=Assumptions!$F$73)),1,0)</f>
        <v/>
      </c>
      <c r="AI48" s="8">
        <f>IF(AND((Assumptions!$F$9=1),(AI$2&gt;=Assumptions!$F$73)),1,0)</f>
        <v/>
      </c>
      <c r="AJ48" s="8">
        <f>IF(AND((Assumptions!$F$9=1),(AJ$2&gt;=Assumptions!$F$73)),1,0)</f>
        <v/>
      </c>
      <c r="AK48" s="8">
        <f>IF(AND((Assumptions!$F$9=1),(AK$2&gt;=Assumptions!$F$73)),1,0)</f>
        <v/>
      </c>
      <c r="AL48" s="8">
        <f>IF(AND((Assumptions!$F$9=1),(AL$2&gt;=Assumptions!$F$73)),1,0)</f>
        <v/>
      </c>
    </row>
    <row r="49">
      <c r="A49" s="6" t="inlineStr">
        <is>
          <t>Linked Items: free users (capped at 1 bank)</t>
        </is>
      </c>
      <c r="B49" s="2" t="inlineStr">
        <is>
          <t>items_free</t>
        </is>
      </c>
      <c r="C49" s="17">
        <f>((C48*C35)*Assumptions!$F$74)</f>
        <v/>
      </c>
      <c r="D49" s="17">
        <f>((D48*D35)*Assumptions!$F$74)</f>
        <v/>
      </c>
      <c r="E49" s="17">
        <f>((E48*E35)*Assumptions!$F$74)</f>
        <v/>
      </c>
      <c r="F49" s="17">
        <f>((F48*F35)*Assumptions!$F$74)</f>
        <v/>
      </c>
      <c r="G49" s="17">
        <f>((G48*G35)*Assumptions!$F$74)</f>
        <v/>
      </c>
      <c r="H49" s="17">
        <f>((H48*H35)*Assumptions!$F$74)</f>
        <v/>
      </c>
      <c r="I49" s="17">
        <f>((I48*I35)*Assumptions!$F$74)</f>
        <v/>
      </c>
      <c r="J49" s="17">
        <f>((J48*J35)*Assumptions!$F$74)</f>
        <v/>
      </c>
      <c r="K49" s="17">
        <f>((K48*K35)*Assumptions!$F$74)</f>
        <v/>
      </c>
      <c r="L49" s="17">
        <f>((L48*L35)*Assumptions!$F$74)</f>
        <v/>
      </c>
      <c r="M49" s="17">
        <f>((M48*M35)*Assumptions!$F$74)</f>
        <v/>
      </c>
      <c r="N49" s="17">
        <f>((N48*N35)*Assumptions!$F$74)</f>
        <v/>
      </c>
      <c r="O49" s="17">
        <f>((O48*O35)*Assumptions!$F$74)</f>
        <v/>
      </c>
      <c r="P49" s="17">
        <f>((P48*P35)*Assumptions!$F$74)</f>
        <v/>
      </c>
      <c r="Q49" s="17">
        <f>((Q48*Q35)*Assumptions!$F$74)</f>
        <v/>
      </c>
      <c r="R49" s="17">
        <f>((R48*R35)*Assumptions!$F$74)</f>
        <v/>
      </c>
      <c r="S49" s="17">
        <f>((S48*S35)*Assumptions!$F$74)</f>
        <v/>
      </c>
      <c r="T49" s="17">
        <f>((T48*T35)*Assumptions!$F$74)</f>
        <v/>
      </c>
      <c r="U49" s="17">
        <f>((U48*U35)*Assumptions!$F$74)</f>
        <v/>
      </c>
      <c r="V49" s="17">
        <f>((V48*V35)*Assumptions!$F$74)</f>
        <v/>
      </c>
      <c r="W49" s="17">
        <f>((W48*W35)*Assumptions!$F$74)</f>
        <v/>
      </c>
      <c r="X49" s="17">
        <f>((X48*X35)*Assumptions!$F$74)</f>
        <v/>
      </c>
      <c r="Y49" s="17">
        <f>((Y48*Y35)*Assumptions!$F$74)</f>
        <v/>
      </c>
      <c r="Z49" s="17">
        <f>((Z48*Z35)*Assumptions!$F$74)</f>
        <v/>
      </c>
      <c r="AA49" s="17">
        <f>((AA48*AA35)*Assumptions!$F$74)</f>
        <v/>
      </c>
      <c r="AB49" s="17">
        <f>((AB48*AB35)*Assumptions!$F$74)</f>
        <v/>
      </c>
      <c r="AC49" s="17">
        <f>((AC48*AC35)*Assumptions!$F$74)</f>
        <v/>
      </c>
      <c r="AD49" s="17">
        <f>((AD48*AD35)*Assumptions!$F$74)</f>
        <v/>
      </c>
      <c r="AE49" s="17">
        <f>((AE48*AE35)*Assumptions!$F$74)</f>
        <v/>
      </c>
      <c r="AF49" s="17">
        <f>((AF48*AF35)*Assumptions!$F$74)</f>
        <v/>
      </c>
      <c r="AG49" s="17">
        <f>((AG48*AG35)*Assumptions!$F$74)</f>
        <v/>
      </c>
      <c r="AH49" s="17">
        <f>((AH48*AH35)*Assumptions!$F$74)</f>
        <v/>
      </c>
      <c r="AI49" s="17">
        <f>((AI48*AI35)*Assumptions!$F$74)</f>
        <v/>
      </c>
      <c r="AJ49" s="17">
        <f>((AJ48*AJ35)*Assumptions!$F$74)</f>
        <v/>
      </c>
      <c r="AK49" s="17">
        <f>((AK48*AK35)*Assumptions!$F$74)</f>
        <v/>
      </c>
      <c r="AL49" s="17">
        <f>((AL48*AL35)*Assumptions!$F$74)</f>
        <v/>
      </c>
    </row>
    <row r="50">
      <c r="A50" s="6" t="inlineStr">
        <is>
          <t>Linked Items: Pro users</t>
        </is>
      </c>
      <c r="B50" s="2" t="inlineStr">
        <is>
          <t>items_pro</t>
        </is>
      </c>
      <c r="C50" s="17">
        <f>(((C48*C29)*Assumptions!$F$76)*Assumptions!$F$77)</f>
        <v/>
      </c>
      <c r="D50" s="17">
        <f>(((D48*D29)*Assumptions!$F$76)*Assumptions!$F$77)</f>
        <v/>
      </c>
      <c r="E50" s="17">
        <f>(((E48*E29)*Assumptions!$F$76)*Assumptions!$F$77)</f>
        <v/>
      </c>
      <c r="F50" s="17">
        <f>(((F48*F29)*Assumptions!$F$76)*Assumptions!$F$77)</f>
        <v/>
      </c>
      <c r="G50" s="17">
        <f>(((G48*G29)*Assumptions!$F$76)*Assumptions!$F$77)</f>
        <v/>
      </c>
      <c r="H50" s="17">
        <f>(((H48*H29)*Assumptions!$F$76)*Assumptions!$F$77)</f>
        <v/>
      </c>
      <c r="I50" s="17">
        <f>(((I48*I29)*Assumptions!$F$76)*Assumptions!$F$77)</f>
        <v/>
      </c>
      <c r="J50" s="17">
        <f>(((J48*J29)*Assumptions!$F$76)*Assumptions!$F$77)</f>
        <v/>
      </c>
      <c r="K50" s="17">
        <f>(((K48*K29)*Assumptions!$F$76)*Assumptions!$F$77)</f>
        <v/>
      </c>
      <c r="L50" s="17">
        <f>(((L48*L29)*Assumptions!$F$76)*Assumptions!$F$77)</f>
        <v/>
      </c>
      <c r="M50" s="17">
        <f>(((M48*M29)*Assumptions!$F$76)*Assumptions!$F$77)</f>
        <v/>
      </c>
      <c r="N50" s="17">
        <f>(((N48*N29)*Assumptions!$F$76)*Assumptions!$F$77)</f>
        <v/>
      </c>
      <c r="O50" s="17">
        <f>(((O48*O29)*Assumptions!$F$76)*Assumptions!$F$77)</f>
        <v/>
      </c>
      <c r="P50" s="17">
        <f>(((P48*P29)*Assumptions!$F$76)*Assumptions!$F$77)</f>
        <v/>
      </c>
      <c r="Q50" s="17">
        <f>(((Q48*Q29)*Assumptions!$F$76)*Assumptions!$F$77)</f>
        <v/>
      </c>
      <c r="R50" s="17">
        <f>(((R48*R29)*Assumptions!$F$76)*Assumptions!$F$77)</f>
        <v/>
      </c>
      <c r="S50" s="17">
        <f>(((S48*S29)*Assumptions!$F$76)*Assumptions!$F$77)</f>
        <v/>
      </c>
      <c r="T50" s="17">
        <f>(((T48*T29)*Assumptions!$F$76)*Assumptions!$F$77)</f>
        <v/>
      </c>
      <c r="U50" s="17">
        <f>(((U48*U29)*Assumptions!$F$76)*Assumptions!$F$77)</f>
        <v/>
      </c>
      <c r="V50" s="17">
        <f>(((V48*V29)*Assumptions!$F$76)*Assumptions!$F$77)</f>
        <v/>
      </c>
      <c r="W50" s="17">
        <f>(((W48*W29)*Assumptions!$F$76)*Assumptions!$F$77)</f>
        <v/>
      </c>
      <c r="X50" s="17">
        <f>(((X48*X29)*Assumptions!$F$76)*Assumptions!$F$77)</f>
        <v/>
      </c>
      <c r="Y50" s="17">
        <f>(((Y48*Y29)*Assumptions!$F$76)*Assumptions!$F$77)</f>
        <v/>
      </c>
      <c r="Z50" s="17">
        <f>(((Z48*Z29)*Assumptions!$F$76)*Assumptions!$F$77)</f>
        <v/>
      </c>
      <c r="AA50" s="17">
        <f>(((AA48*AA29)*Assumptions!$F$76)*Assumptions!$F$77)</f>
        <v/>
      </c>
      <c r="AB50" s="17">
        <f>(((AB48*AB29)*Assumptions!$F$76)*Assumptions!$F$77)</f>
        <v/>
      </c>
      <c r="AC50" s="17">
        <f>(((AC48*AC29)*Assumptions!$F$76)*Assumptions!$F$77)</f>
        <v/>
      </c>
      <c r="AD50" s="17">
        <f>(((AD48*AD29)*Assumptions!$F$76)*Assumptions!$F$77)</f>
        <v/>
      </c>
      <c r="AE50" s="17">
        <f>(((AE48*AE29)*Assumptions!$F$76)*Assumptions!$F$77)</f>
        <v/>
      </c>
      <c r="AF50" s="17">
        <f>(((AF48*AF29)*Assumptions!$F$76)*Assumptions!$F$77)</f>
        <v/>
      </c>
      <c r="AG50" s="17">
        <f>(((AG48*AG29)*Assumptions!$F$76)*Assumptions!$F$77)</f>
        <v/>
      </c>
      <c r="AH50" s="17">
        <f>(((AH48*AH29)*Assumptions!$F$76)*Assumptions!$F$77)</f>
        <v/>
      </c>
      <c r="AI50" s="17">
        <f>(((AI48*AI29)*Assumptions!$F$76)*Assumptions!$F$77)</f>
        <v/>
      </c>
      <c r="AJ50" s="17">
        <f>(((AJ48*AJ29)*Assumptions!$F$76)*Assumptions!$F$77)</f>
        <v/>
      </c>
      <c r="AK50" s="17">
        <f>(((AK48*AK29)*Assumptions!$F$76)*Assumptions!$F$77)</f>
        <v/>
      </c>
      <c r="AL50" s="17">
        <f>(((AL48*AL29)*Assumptions!$F$76)*Assumptions!$F$77)</f>
        <v/>
      </c>
    </row>
    <row r="52">
      <c r="A52" s="4" t="inlineStr">
        <is>
          <t>REVENUE</t>
        </is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</row>
    <row r="53">
      <c r="A53" s="6" t="inlineStr">
        <is>
          <t>Gross: monthly plans</t>
        </is>
      </c>
      <c r="B53" s="2" t="inlineStr">
        <is>
          <t>rev_monthly</t>
        </is>
      </c>
      <c r="C53" s="14">
        <f>(C24*Assumptions!$F$35)</f>
        <v/>
      </c>
      <c r="D53" s="14">
        <f>(D24*Assumptions!$F$35)</f>
        <v/>
      </c>
      <c r="E53" s="14">
        <f>(E24*Assumptions!$F$35)</f>
        <v/>
      </c>
      <c r="F53" s="14">
        <f>(F24*Assumptions!$F$35)</f>
        <v/>
      </c>
      <c r="G53" s="14">
        <f>(G24*Assumptions!$F$35)</f>
        <v/>
      </c>
      <c r="H53" s="14">
        <f>(H24*Assumptions!$F$35)</f>
        <v/>
      </c>
      <c r="I53" s="14">
        <f>(I24*Assumptions!$F$35)</f>
        <v/>
      </c>
      <c r="J53" s="14">
        <f>(J24*Assumptions!$F$35)</f>
        <v/>
      </c>
      <c r="K53" s="14">
        <f>(K24*Assumptions!$F$35)</f>
        <v/>
      </c>
      <c r="L53" s="14">
        <f>(L24*Assumptions!$F$35)</f>
        <v/>
      </c>
      <c r="M53" s="14">
        <f>(M24*Assumptions!$F$35)</f>
        <v/>
      </c>
      <c r="N53" s="14">
        <f>(N24*Assumptions!$F$35)</f>
        <v/>
      </c>
      <c r="O53" s="14">
        <f>(O24*Assumptions!$F$35)</f>
        <v/>
      </c>
      <c r="P53" s="14">
        <f>(P24*Assumptions!$F$35)</f>
        <v/>
      </c>
      <c r="Q53" s="14">
        <f>(Q24*Assumptions!$F$35)</f>
        <v/>
      </c>
      <c r="R53" s="14">
        <f>(R24*Assumptions!$F$35)</f>
        <v/>
      </c>
      <c r="S53" s="14">
        <f>(S24*Assumptions!$F$35)</f>
        <v/>
      </c>
      <c r="T53" s="14">
        <f>(T24*Assumptions!$F$35)</f>
        <v/>
      </c>
      <c r="U53" s="14">
        <f>(U24*Assumptions!$F$35)</f>
        <v/>
      </c>
      <c r="V53" s="14">
        <f>(V24*Assumptions!$F$35)</f>
        <v/>
      </c>
      <c r="W53" s="14">
        <f>(W24*Assumptions!$F$35)</f>
        <v/>
      </c>
      <c r="X53" s="14">
        <f>(X24*Assumptions!$F$35)</f>
        <v/>
      </c>
      <c r="Y53" s="14">
        <f>(Y24*Assumptions!$F$35)</f>
        <v/>
      </c>
      <c r="Z53" s="14">
        <f>(Z24*Assumptions!$F$35)</f>
        <v/>
      </c>
      <c r="AA53" s="14">
        <f>(AA24*Assumptions!$F$35)</f>
        <v/>
      </c>
      <c r="AB53" s="14">
        <f>(AB24*Assumptions!$F$35)</f>
        <v/>
      </c>
      <c r="AC53" s="14">
        <f>(AC24*Assumptions!$F$35)</f>
        <v/>
      </c>
      <c r="AD53" s="14">
        <f>(AD24*Assumptions!$F$35)</f>
        <v/>
      </c>
      <c r="AE53" s="14">
        <f>(AE24*Assumptions!$F$35)</f>
        <v/>
      </c>
      <c r="AF53" s="14">
        <f>(AF24*Assumptions!$F$35)</f>
        <v/>
      </c>
      <c r="AG53" s="14">
        <f>(AG24*Assumptions!$F$35)</f>
        <v/>
      </c>
      <c r="AH53" s="14">
        <f>(AH24*Assumptions!$F$35)</f>
        <v/>
      </c>
      <c r="AI53" s="14">
        <f>(AI24*Assumptions!$F$35)</f>
        <v/>
      </c>
      <c r="AJ53" s="14">
        <f>(AJ24*Assumptions!$F$35)</f>
        <v/>
      </c>
      <c r="AK53" s="14">
        <f>(AK24*Assumptions!$F$35)</f>
        <v/>
      </c>
      <c r="AL53" s="14">
        <f>(AL24*Assumptions!$F$35)</f>
        <v/>
      </c>
    </row>
    <row r="54">
      <c r="A54" s="6" t="inlineStr">
        <is>
          <t>Gross: annual plans (recognised 1/12 a month)</t>
        </is>
      </c>
      <c r="B54" s="2" t="inlineStr">
        <is>
          <t>rev_annual</t>
        </is>
      </c>
      <c r="C54" s="14">
        <f>((C26*Assumptions!$F$36)/12)</f>
        <v/>
      </c>
      <c r="D54" s="14">
        <f>((D26*Assumptions!$F$36)/12)</f>
        <v/>
      </c>
      <c r="E54" s="14">
        <f>((E26*Assumptions!$F$36)/12)</f>
        <v/>
      </c>
      <c r="F54" s="14">
        <f>((F26*Assumptions!$F$36)/12)</f>
        <v/>
      </c>
      <c r="G54" s="14">
        <f>((G26*Assumptions!$F$36)/12)</f>
        <v/>
      </c>
      <c r="H54" s="14">
        <f>((H26*Assumptions!$F$36)/12)</f>
        <v/>
      </c>
      <c r="I54" s="14">
        <f>((I26*Assumptions!$F$36)/12)</f>
        <v/>
      </c>
      <c r="J54" s="14">
        <f>((J26*Assumptions!$F$36)/12)</f>
        <v/>
      </c>
      <c r="K54" s="14">
        <f>((K26*Assumptions!$F$36)/12)</f>
        <v/>
      </c>
      <c r="L54" s="14">
        <f>((L26*Assumptions!$F$36)/12)</f>
        <v/>
      </c>
      <c r="M54" s="14">
        <f>((M26*Assumptions!$F$36)/12)</f>
        <v/>
      </c>
      <c r="N54" s="14">
        <f>((N26*Assumptions!$F$36)/12)</f>
        <v/>
      </c>
      <c r="O54" s="14">
        <f>((O26*Assumptions!$F$36)/12)</f>
        <v/>
      </c>
      <c r="P54" s="14">
        <f>((P26*Assumptions!$F$36)/12)</f>
        <v/>
      </c>
      <c r="Q54" s="14">
        <f>((Q26*Assumptions!$F$36)/12)</f>
        <v/>
      </c>
      <c r="R54" s="14">
        <f>((R26*Assumptions!$F$36)/12)</f>
        <v/>
      </c>
      <c r="S54" s="14">
        <f>((S26*Assumptions!$F$36)/12)</f>
        <v/>
      </c>
      <c r="T54" s="14">
        <f>((T26*Assumptions!$F$36)/12)</f>
        <v/>
      </c>
      <c r="U54" s="14">
        <f>((U26*Assumptions!$F$36)/12)</f>
        <v/>
      </c>
      <c r="V54" s="14">
        <f>((V26*Assumptions!$F$36)/12)</f>
        <v/>
      </c>
      <c r="W54" s="14">
        <f>((W26*Assumptions!$F$36)/12)</f>
        <v/>
      </c>
      <c r="X54" s="14">
        <f>((X26*Assumptions!$F$36)/12)</f>
        <v/>
      </c>
      <c r="Y54" s="14">
        <f>((Y26*Assumptions!$F$36)/12)</f>
        <v/>
      </c>
      <c r="Z54" s="14">
        <f>((Z26*Assumptions!$F$36)/12)</f>
        <v/>
      </c>
      <c r="AA54" s="14">
        <f>((AA26*Assumptions!$F$36)/12)</f>
        <v/>
      </c>
      <c r="AB54" s="14">
        <f>((AB26*Assumptions!$F$36)/12)</f>
        <v/>
      </c>
      <c r="AC54" s="14">
        <f>((AC26*Assumptions!$F$36)/12)</f>
        <v/>
      </c>
      <c r="AD54" s="14">
        <f>((AD26*Assumptions!$F$36)/12)</f>
        <v/>
      </c>
      <c r="AE54" s="14">
        <f>((AE26*Assumptions!$F$36)/12)</f>
        <v/>
      </c>
      <c r="AF54" s="14">
        <f>((AF26*Assumptions!$F$36)/12)</f>
        <v/>
      </c>
      <c r="AG54" s="14">
        <f>((AG26*Assumptions!$F$36)/12)</f>
        <v/>
      </c>
      <c r="AH54" s="14">
        <f>((AH26*Assumptions!$F$36)/12)</f>
        <v/>
      </c>
      <c r="AI54" s="14">
        <f>((AI26*Assumptions!$F$36)/12)</f>
        <v/>
      </c>
      <c r="AJ54" s="14">
        <f>((AJ26*Assumptions!$F$36)/12)</f>
        <v/>
      </c>
      <c r="AK54" s="14">
        <f>((AK26*Assumptions!$F$36)/12)</f>
        <v/>
      </c>
      <c r="AL54" s="14">
        <f>((AL26*Assumptions!$F$36)/12)</f>
        <v/>
      </c>
    </row>
    <row r="55">
      <c r="A55" s="6" t="inlineStr">
        <is>
          <t>Gross: student plans (recognised 1/12 a month)</t>
        </is>
      </c>
      <c r="B55" s="2" t="inlineStr">
        <is>
          <t>rev_student</t>
        </is>
      </c>
      <c r="C55" s="14">
        <f>((C28*Assumptions!$F$37)/12)</f>
        <v/>
      </c>
      <c r="D55" s="14">
        <f>((D28*Assumptions!$F$37)/12)</f>
        <v/>
      </c>
      <c r="E55" s="14">
        <f>((E28*Assumptions!$F$37)/12)</f>
        <v/>
      </c>
      <c r="F55" s="14">
        <f>((F28*Assumptions!$F$37)/12)</f>
        <v/>
      </c>
      <c r="G55" s="14">
        <f>((G28*Assumptions!$F$37)/12)</f>
        <v/>
      </c>
      <c r="H55" s="14">
        <f>((H28*Assumptions!$F$37)/12)</f>
        <v/>
      </c>
      <c r="I55" s="14">
        <f>((I28*Assumptions!$F$37)/12)</f>
        <v/>
      </c>
      <c r="J55" s="14">
        <f>((J28*Assumptions!$F$37)/12)</f>
        <v/>
      </c>
      <c r="K55" s="14">
        <f>((K28*Assumptions!$F$37)/12)</f>
        <v/>
      </c>
      <c r="L55" s="14">
        <f>((L28*Assumptions!$F$37)/12)</f>
        <v/>
      </c>
      <c r="M55" s="14">
        <f>((M28*Assumptions!$F$37)/12)</f>
        <v/>
      </c>
      <c r="N55" s="14">
        <f>((N28*Assumptions!$F$37)/12)</f>
        <v/>
      </c>
      <c r="O55" s="14">
        <f>((O28*Assumptions!$F$37)/12)</f>
        <v/>
      </c>
      <c r="P55" s="14">
        <f>((P28*Assumptions!$F$37)/12)</f>
        <v/>
      </c>
      <c r="Q55" s="14">
        <f>((Q28*Assumptions!$F$37)/12)</f>
        <v/>
      </c>
      <c r="R55" s="14">
        <f>((R28*Assumptions!$F$37)/12)</f>
        <v/>
      </c>
      <c r="S55" s="14">
        <f>((S28*Assumptions!$F$37)/12)</f>
        <v/>
      </c>
      <c r="T55" s="14">
        <f>((T28*Assumptions!$F$37)/12)</f>
        <v/>
      </c>
      <c r="U55" s="14">
        <f>((U28*Assumptions!$F$37)/12)</f>
        <v/>
      </c>
      <c r="V55" s="14">
        <f>((V28*Assumptions!$F$37)/12)</f>
        <v/>
      </c>
      <c r="W55" s="14">
        <f>((W28*Assumptions!$F$37)/12)</f>
        <v/>
      </c>
      <c r="X55" s="14">
        <f>((X28*Assumptions!$F$37)/12)</f>
        <v/>
      </c>
      <c r="Y55" s="14">
        <f>((Y28*Assumptions!$F$37)/12)</f>
        <v/>
      </c>
      <c r="Z55" s="14">
        <f>((Z28*Assumptions!$F$37)/12)</f>
        <v/>
      </c>
      <c r="AA55" s="14">
        <f>((AA28*Assumptions!$F$37)/12)</f>
        <v/>
      </c>
      <c r="AB55" s="14">
        <f>((AB28*Assumptions!$F$37)/12)</f>
        <v/>
      </c>
      <c r="AC55" s="14">
        <f>((AC28*Assumptions!$F$37)/12)</f>
        <v/>
      </c>
      <c r="AD55" s="14">
        <f>((AD28*Assumptions!$F$37)/12)</f>
        <v/>
      </c>
      <c r="AE55" s="14">
        <f>((AE28*Assumptions!$F$37)/12)</f>
        <v/>
      </c>
      <c r="AF55" s="14">
        <f>((AF28*Assumptions!$F$37)/12)</f>
        <v/>
      </c>
      <c r="AG55" s="14">
        <f>((AG28*Assumptions!$F$37)/12)</f>
        <v/>
      </c>
      <c r="AH55" s="14">
        <f>((AH28*Assumptions!$F$37)/12)</f>
        <v/>
      </c>
      <c r="AI55" s="14">
        <f>((AI28*Assumptions!$F$37)/12)</f>
        <v/>
      </c>
      <c r="AJ55" s="14">
        <f>((AJ28*Assumptions!$F$37)/12)</f>
        <v/>
      </c>
      <c r="AK55" s="14">
        <f>((AK28*Assumptions!$F$37)/12)</f>
        <v/>
      </c>
      <c r="AL55" s="14">
        <f>((AL28*Assumptions!$F$37)/12)</f>
        <v/>
      </c>
    </row>
    <row r="56">
      <c r="A56" s="6" t="inlineStr">
        <is>
          <t>Gross: Recruiting Pass</t>
        </is>
      </c>
      <c r="B56" s="2" t="inlineStr">
        <is>
          <t>rev_pass</t>
        </is>
      </c>
      <c r="C56" s="14">
        <f>(C21*Assumptions!$F$38)</f>
        <v/>
      </c>
      <c r="D56" s="14">
        <f>(D21*Assumptions!$F$38)</f>
        <v/>
      </c>
      <c r="E56" s="14">
        <f>(E21*Assumptions!$F$38)</f>
        <v/>
      </c>
      <c r="F56" s="14">
        <f>(F21*Assumptions!$F$38)</f>
        <v/>
      </c>
      <c r="G56" s="14">
        <f>(G21*Assumptions!$F$38)</f>
        <v/>
      </c>
      <c r="H56" s="14">
        <f>(H21*Assumptions!$F$38)</f>
        <v/>
      </c>
      <c r="I56" s="14">
        <f>(I21*Assumptions!$F$38)</f>
        <v/>
      </c>
      <c r="J56" s="14">
        <f>(J21*Assumptions!$F$38)</f>
        <v/>
      </c>
      <c r="K56" s="14">
        <f>(K21*Assumptions!$F$38)</f>
        <v/>
      </c>
      <c r="L56" s="14">
        <f>(L21*Assumptions!$F$38)</f>
        <v/>
      </c>
      <c r="M56" s="14">
        <f>(M21*Assumptions!$F$38)</f>
        <v/>
      </c>
      <c r="N56" s="14">
        <f>(N21*Assumptions!$F$38)</f>
        <v/>
      </c>
      <c r="O56" s="14">
        <f>(O21*Assumptions!$F$38)</f>
        <v/>
      </c>
      <c r="P56" s="14">
        <f>(P21*Assumptions!$F$38)</f>
        <v/>
      </c>
      <c r="Q56" s="14">
        <f>(Q21*Assumptions!$F$38)</f>
        <v/>
      </c>
      <c r="R56" s="14">
        <f>(R21*Assumptions!$F$38)</f>
        <v/>
      </c>
      <c r="S56" s="14">
        <f>(S21*Assumptions!$F$38)</f>
        <v/>
      </c>
      <c r="T56" s="14">
        <f>(T21*Assumptions!$F$38)</f>
        <v/>
      </c>
      <c r="U56" s="14">
        <f>(U21*Assumptions!$F$38)</f>
        <v/>
      </c>
      <c r="V56" s="14">
        <f>(V21*Assumptions!$F$38)</f>
        <v/>
      </c>
      <c r="W56" s="14">
        <f>(W21*Assumptions!$F$38)</f>
        <v/>
      </c>
      <c r="X56" s="14">
        <f>(X21*Assumptions!$F$38)</f>
        <v/>
      </c>
      <c r="Y56" s="14">
        <f>(Y21*Assumptions!$F$38)</f>
        <v/>
      </c>
      <c r="Z56" s="14">
        <f>(Z21*Assumptions!$F$38)</f>
        <v/>
      </c>
      <c r="AA56" s="14">
        <f>(AA21*Assumptions!$F$38)</f>
        <v/>
      </c>
      <c r="AB56" s="14">
        <f>(AB21*Assumptions!$F$38)</f>
        <v/>
      </c>
      <c r="AC56" s="14">
        <f>(AC21*Assumptions!$F$38)</f>
        <v/>
      </c>
      <c r="AD56" s="14">
        <f>(AD21*Assumptions!$F$38)</f>
        <v/>
      </c>
      <c r="AE56" s="14">
        <f>(AE21*Assumptions!$F$38)</f>
        <v/>
      </c>
      <c r="AF56" s="14">
        <f>(AF21*Assumptions!$F$38)</f>
        <v/>
      </c>
      <c r="AG56" s="14">
        <f>(AG21*Assumptions!$F$38)</f>
        <v/>
      </c>
      <c r="AH56" s="14">
        <f>(AH21*Assumptions!$F$38)</f>
        <v/>
      </c>
      <c r="AI56" s="14">
        <f>(AI21*Assumptions!$F$38)</f>
        <v/>
      </c>
      <c r="AJ56" s="14">
        <f>(AJ21*Assumptions!$F$38)</f>
        <v/>
      </c>
      <c r="AK56" s="14">
        <f>(AK21*Assumptions!$F$38)</f>
        <v/>
      </c>
      <c r="AL56" s="14">
        <f>(AL21*Assumptions!$F$38)</f>
        <v/>
      </c>
    </row>
    <row r="57">
      <c r="A57" s="21" t="inlineStr">
        <is>
          <t>Gross in-app sales</t>
        </is>
      </c>
      <c r="B57" s="2" t="inlineStr">
        <is>
          <t>rev_iap_gross</t>
        </is>
      </c>
      <c r="C57" s="23">
        <f>(((C53+C54)+C55)+C56)</f>
        <v/>
      </c>
      <c r="D57" s="23">
        <f>(((D53+D54)+D55)+D56)</f>
        <v/>
      </c>
      <c r="E57" s="23">
        <f>(((E53+E54)+E55)+E56)</f>
        <v/>
      </c>
      <c r="F57" s="23">
        <f>(((F53+F54)+F55)+F56)</f>
        <v/>
      </c>
      <c r="G57" s="23">
        <f>(((G53+G54)+G55)+G56)</f>
        <v/>
      </c>
      <c r="H57" s="23">
        <f>(((H53+H54)+H55)+H56)</f>
        <v/>
      </c>
      <c r="I57" s="23">
        <f>(((I53+I54)+I55)+I56)</f>
        <v/>
      </c>
      <c r="J57" s="23">
        <f>(((J53+J54)+J55)+J56)</f>
        <v/>
      </c>
      <c r="K57" s="23">
        <f>(((K53+K54)+K55)+K56)</f>
        <v/>
      </c>
      <c r="L57" s="23">
        <f>(((L53+L54)+L55)+L56)</f>
        <v/>
      </c>
      <c r="M57" s="23">
        <f>(((M53+M54)+M55)+M56)</f>
        <v/>
      </c>
      <c r="N57" s="23">
        <f>(((N53+N54)+N55)+N56)</f>
        <v/>
      </c>
      <c r="O57" s="23">
        <f>(((O53+O54)+O55)+O56)</f>
        <v/>
      </c>
      <c r="P57" s="23">
        <f>(((P53+P54)+P55)+P56)</f>
        <v/>
      </c>
      <c r="Q57" s="23">
        <f>(((Q53+Q54)+Q55)+Q56)</f>
        <v/>
      </c>
      <c r="R57" s="23">
        <f>(((R53+R54)+R55)+R56)</f>
        <v/>
      </c>
      <c r="S57" s="23">
        <f>(((S53+S54)+S55)+S56)</f>
        <v/>
      </c>
      <c r="T57" s="23">
        <f>(((T53+T54)+T55)+T56)</f>
        <v/>
      </c>
      <c r="U57" s="23">
        <f>(((U53+U54)+U55)+U56)</f>
        <v/>
      </c>
      <c r="V57" s="23">
        <f>(((V53+V54)+V55)+V56)</f>
        <v/>
      </c>
      <c r="W57" s="23">
        <f>(((W53+W54)+W55)+W56)</f>
        <v/>
      </c>
      <c r="X57" s="23">
        <f>(((X53+X54)+X55)+X56)</f>
        <v/>
      </c>
      <c r="Y57" s="23">
        <f>(((Y53+Y54)+Y55)+Y56)</f>
        <v/>
      </c>
      <c r="Z57" s="23">
        <f>(((Z53+Z54)+Z55)+Z56)</f>
        <v/>
      </c>
      <c r="AA57" s="23">
        <f>(((AA53+AA54)+AA55)+AA56)</f>
        <v/>
      </c>
      <c r="AB57" s="23">
        <f>(((AB53+AB54)+AB55)+AB56)</f>
        <v/>
      </c>
      <c r="AC57" s="23">
        <f>(((AC53+AC54)+AC55)+AC56)</f>
        <v/>
      </c>
      <c r="AD57" s="23">
        <f>(((AD53+AD54)+AD55)+AD56)</f>
        <v/>
      </c>
      <c r="AE57" s="23">
        <f>(((AE53+AE54)+AE55)+AE56)</f>
        <v/>
      </c>
      <c r="AF57" s="23">
        <f>(((AF53+AF54)+AF55)+AF56)</f>
        <v/>
      </c>
      <c r="AG57" s="23">
        <f>(((AG53+AG54)+AG55)+AG56)</f>
        <v/>
      </c>
      <c r="AH57" s="23">
        <f>(((AH53+AH54)+AH55)+AH56)</f>
        <v/>
      </c>
      <c r="AI57" s="23">
        <f>(((AI53+AI54)+AI55)+AI56)</f>
        <v/>
      </c>
      <c r="AJ57" s="23">
        <f>(((AJ53+AJ54)+AJ55)+AJ56)</f>
        <v/>
      </c>
      <c r="AK57" s="23">
        <f>(((AK53+AK54)+AK55)+AK56)</f>
        <v/>
      </c>
      <c r="AL57" s="23">
        <f>(((AL53+AL54)+AL55)+AL56)</f>
        <v/>
      </c>
    </row>
    <row r="58">
      <c r="A58" s="6" t="inlineStr">
        <is>
          <t>Less: refunds</t>
        </is>
      </c>
      <c r="B58" s="2" t="inlineStr">
        <is>
          <t>refunds</t>
        </is>
      </c>
      <c r="C58" s="14">
        <f>((-C57)*Assumptions!$F$40)</f>
        <v/>
      </c>
      <c r="D58" s="14">
        <f>((-D57)*Assumptions!$F$40)</f>
        <v/>
      </c>
      <c r="E58" s="14">
        <f>((-E57)*Assumptions!$F$40)</f>
        <v/>
      </c>
      <c r="F58" s="14">
        <f>((-F57)*Assumptions!$F$40)</f>
        <v/>
      </c>
      <c r="G58" s="14">
        <f>((-G57)*Assumptions!$F$40)</f>
        <v/>
      </c>
      <c r="H58" s="14">
        <f>((-H57)*Assumptions!$F$40)</f>
        <v/>
      </c>
      <c r="I58" s="14">
        <f>((-I57)*Assumptions!$F$40)</f>
        <v/>
      </c>
      <c r="J58" s="14">
        <f>((-J57)*Assumptions!$F$40)</f>
        <v/>
      </c>
      <c r="K58" s="14">
        <f>((-K57)*Assumptions!$F$40)</f>
        <v/>
      </c>
      <c r="L58" s="14">
        <f>((-L57)*Assumptions!$F$40)</f>
        <v/>
      </c>
      <c r="M58" s="14">
        <f>((-M57)*Assumptions!$F$40)</f>
        <v/>
      </c>
      <c r="N58" s="14">
        <f>((-N57)*Assumptions!$F$40)</f>
        <v/>
      </c>
      <c r="O58" s="14">
        <f>((-O57)*Assumptions!$F$40)</f>
        <v/>
      </c>
      <c r="P58" s="14">
        <f>((-P57)*Assumptions!$F$40)</f>
        <v/>
      </c>
      <c r="Q58" s="14">
        <f>((-Q57)*Assumptions!$F$40)</f>
        <v/>
      </c>
      <c r="R58" s="14">
        <f>((-R57)*Assumptions!$F$40)</f>
        <v/>
      </c>
      <c r="S58" s="14">
        <f>((-S57)*Assumptions!$F$40)</f>
        <v/>
      </c>
      <c r="T58" s="14">
        <f>((-T57)*Assumptions!$F$40)</f>
        <v/>
      </c>
      <c r="U58" s="14">
        <f>((-U57)*Assumptions!$F$40)</f>
        <v/>
      </c>
      <c r="V58" s="14">
        <f>((-V57)*Assumptions!$F$40)</f>
        <v/>
      </c>
      <c r="W58" s="14">
        <f>((-W57)*Assumptions!$F$40)</f>
        <v/>
      </c>
      <c r="X58" s="14">
        <f>((-X57)*Assumptions!$F$40)</f>
        <v/>
      </c>
      <c r="Y58" s="14">
        <f>((-Y57)*Assumptions!$F$40)</f>
        <v/>
      </c>
      <c r="Z58" s="14">
        <f>((-Z57)*Assumptions!$F$40)</f>
        <v/>
      </c>
      <c r="AA58" s="14">
        <f>((-AA57)*Assumptions!$F$40)</f>
        <v/>
      </c>
      <c r="AB58" s="14">
        <f>((-AB57)*Assumptions!$F$40)</f>
        <v/>
      </c>
      <c r="AC58" s="14">
        <f>((-AC57)*Assumptions!$F$40)</f>
        <v/>
      </c>
      <c r="AD58" s="14">
        <f>((-AD57)*Assumptions!$F$40)</f>
        <v/>
      </c>
      <c r="AE58" s="14">
        <f>((-AE57)*Assumptions!$F$40)</f>
        <v/>
      </c>
      <c r="AF58" s="14">
        <f>((-AF57)*Assumptions!$F$40)</f>
        <v/>
      </c>
      <c r="AG58" s="14">
        <f>((-AG57)*Assumptions!$F$40)</f>
        <v/>
      </c>
      <c r="AH58" s="14">
        <f>((-AH57)*Assumptions!$F$40)</f>
        <v/>
      </c>
      <c r="AI58" s="14">
        <f>((-AI57)*Assumptions!$F$40)</f>
        <v/>
      </c>
      <c r="AJ58" s="14">
        <f>((-AJ57)*Assumptions!$F$40)</f>
        <v/>
      </c>
      <c r="AK58" s="14">
        <f>((-AK57)*Assumptions!$F$40)</f>
        <v/>
      </c>
      <c r="AL58" s="14">
        <f>((-AL57)*Assumptions!$F$40)</f>
        <v/>
      </c>
    </row>
    <row r="59">
      <c r="A59" s="6" t="inlineStr">
        <is>
          <t>Less: app store commission</t>
        </is>
      </c>
      <c r="B59" s="2" t="inlineStr">
        <is>
          <t>store_fee</t>
        </is>
      </c>
      <c r="C59" s="14">
        <f>((-(C57+C58))*Assumptions!$F$39)</f>
        <v/>
      </c>
      <c r="D59" s="14">
        <f>((-(D57+D58))*Assumptions!$F$39)</f>
        <v/>
      </c>
      <c r="E59" s="14">
        <f>((-(E57+E58))*Assumptions!$F$39)</f>
        <v/>
      </c>
      <c r="F59" s="14">
        <f>((-(F57+F58))*Assumptions!$F$39)</f>
        <v/>
      </c>
      <c r="G59" s="14">
        <f>((-(G57+G58))*Assumptions!$F$39)</f>
        <v/>
      </c>
      <c r="H59" s="14">
        <f>((-(H57+H58))*Assumptions!$F$39)</f>
        <v/>
      </c>
      <c r="I59" s="14">
        <f>((-(I57+I58))*Assumptions!$F$39)</f>
        <v/>
      </c>
      <c r="J59" s="14">
        <f>((-(J57+J58))*Assumptions!$F$39)</f>
        <v/>
      </c>
      <c r="K59" s="14">
        <f>((-(K57+K58))*Assumptions!$F$39)</f>
        <v/>
      </c>
      <c r="L59" s="14">
        <f>((-(L57+L58))*Assumptions!$F$39)</f>
        <v/>
      </c>
      <c r="M59" s="14">
        <f>((-(M57+M58))*Assumptions!$F$39)</f>
        <v/>
      </c>
      <c r="N59" s="14">
        <f>((-(N57+N58))*Assumptions!$F$39)</f>
        <v/>
      </c>
      <c r="O59" s="14">
        <f>((-(O57+O58))*Assumptions!$F$39)</f>
        <v/>
      </c>
      <c r="P59" s="14">
        <f>((-(P57+P58))*Assumptions!$F$39)</f>
        <v/>
      </c>
      <c r="Q59" s="14">
        <f>((-(Q57+Q58))*Assumptions!$F$39)</f>
        <v/>
      </c>
      <c r="R59" s="14">
        <f>((-(R57+R58))*Assumptions!$F$39)</f>
        <v/>
      </c>
      <c r="S59" s="14">
        <f>((-(S57+S58))*Assumptions!$F$39)</f>
        <v/>
      </c>
      <c r="T59" s="14">
        <f>((-(T57+T58))*Assumptions!$F$39)</f>
        <v/>
      </c>
      <c r="U59" s="14">
        <f>((-(U57+U58))*Assumptions!$F$39)</f>
        <v/>
      </c>
      <c r="V59" s="14">
        <f>((-(V57+V58))*Assumptions!$F$39)</f>
        <v/>
      </c>
      <c r="W59" s="14">
        <f>((-(W57+W58))*Assumptions!$F$39)</f>
        <v/>
      </c>
      <c r="X59" s="14">
        <f>((-(X57+X58))*Assumptions!$F$39)</f>
        <v/>
      </c>
      <c r="Y59" s="14">
        <f>((-(Y57+Y58))*Assumptions!$F$39)</f>
        <v/>
      </c>
      <c r="Z59" s="14">
        <f>((-(Z57+Z58))*Assumptions!$F$39)</f>
        <v/>
      </c>
      <c r="AA59" s="14">
        <f>((-(AA57+AA58))*Assumptions!$F$39)</f>
        <v/>
      </c>
      <c r="AB59" s="14">
        <f>((-(AB57+AB58))*Assumptions!$F$39)</f>
        <v/>
      </c>
      <c r="AC59" s="14">
        <f>((-(AC57+AC58))*Assumptions!$F$39)</f>
        <v/>
      </c>
      <c r="AD59" s="14">
        <f>((-(AD57+AD58))*Assumptions!$F$39)</f>
        <v/>
      </c>
      <c r="AE59" s="14">
        <f>((-(AE57+AE58))*Assumptions!$F$39)</f>
        <v/>
      </c>
      <c r="AF59" s="14">
        <f>((-(AF57+AF58))*Assumptions!$F$39)</f>
        <v/>
      </c>
      <c r="AG59" s="14">
        <f>((-(AG57+AG58))*Assumptions!$F$39)</f>
        <v/>
      </c>
      <c r="AH59" s="14">
        <f>((-(AH57+AH58))*Assumptions!$F$39)</f>
        <v/>
      </c>
      <c r="AI59" s="14">
        <f>((-(AI57+AI58))*Assumptions!$F$39)</f>
        <v/>
      </c>
      <c r="AJ59" s="14">
        <f>((-(AJ57+AJ58))*Assumptions!$F$39)</f>
        <v/>
      </c>
      <c r="AK59" s="14">
        <f>((-(AK57+AK58))*Assumptions!$F$39)</f>
        <v/>
      </c>
      <c r="AL59" s="14">
        <f>((-(AL57+AL58))*Assumptions!$F$39)</f>
        <v/>
      </c>
    </row>
    <row r="60">
      <c r="A60" s="21" t="inlineStr">
        <is>
          <t>Subscriptions &amp; in-app, net of store fee</t>
        </is>
      </c>
      <c r="B60" s="2" t="inlineStr">
        <is>
          <t>rev_subs_net</t>
        </is>
      </c>
      <c r="C60" s="23">
        <f>((C57+C58)+C59)</f>
        <v/>
      </c>
      <c r="D60" s="23">
        <f>((D57+D58)+D59)</f>
        <v/>
      </c>
      <c r="E60" s="23">
        <f>((E57+E58)+E59)</f>
        <v/>
      </c>
      <c r="F60" s="23">
        <f>((F57+F58)+F59)</f>
        <v/>
      </c>
      <c r="G60" s="23">
        <f>((G57+G58)+G59)</f>
        <v/>
      </c>
      <c r="H60" s="23">
        <f>((H57+H58)+H59)</f>
        <v/>
      </c>
      <c r="I60" s="23">
        <f>((I57+I58)+I59)</f>
        <v/>
      </c>
      <c r="J60" s="23">
        <f>((J57+J58)+J59)</f>
        <v/>
      </c>
      <c r="K60" s="23">
        <f>((K57+K58)+K59)</f>
        <v/>
      </c>
      <c r="L60" s="23">
        <f>((L57+L58)+L59)</f>
        <v/>
      </c>
      <c r="M60" s="23">
        <f>((M57+M58)+M59)</f>
        <v/>
      </c>
      <c r="N60" s="23">
        <f>((N57+N58)+N59)</f>
        <v/>
      </c>
      <c r="O60" s="23">
        <f>((O57+O58)+O59)</f>
        <v/>
      </c>
      <c r="P60" s="23">
        <f>((P57+P58)+P59)</f>
        <v/>
      </c>
      <c r="Q60" s="23">
        <f>((Q57+Q58)+Q59)</f>
        <v/>
      </c>
      <c r="R60" s="23">
        <f>((R57+R58)+R59)</f>
        <v/>
      </c>
      <c r="S60" s="23">
        <f>((S57+S58)+S59)</f>
        <v/>
      </c>
      <c r="T60" s="23">
        <f>((T57+T58)+T59)</f>
        <v/>
      </c>
      <c r="U60" s="23">
        <f>((U57+U58)+U59)</f>
        <v/>
      </c>
      <c r="V60" s="23">
        <f>((V57+V58)+V59)</f>
        <v/>
      </c>
      <c r="W60" s="23">
        <f>((W57+W58)+W59)</f>
        <v/>
      </c>
      <c r="X60" s="23">
        <f>((X57+X58)+X59)</f>
        <v/>
      </c>
      <c r="Y60" s="23">
        <f>((Y57+Y58)+Y59)</f>
        <v/>
      </c>
      <c r="Z60" s="23">
        <f>((Z57+Z58)+Z59)</f>
        <v/>
      </c>
      <c r="AA60" s="23">
        <f>((AA57+AA58)+AA59)</f>
        <v/>
      </c>
      <c r="AB60" s="23">
        <f>((AB57+AB58)+AB59)</f>
        <v/>
      </c>
      <c r="AC60" s="23">
        <f>((AC57+AC58)+AC59)</f>
        <v/>
      </c>
      <c r="AD60" s="23">
        <f>((AD57+AD58)+AD59)</f>
        <v/>
      </c>
      <c r="AE60" s="23">
        <f>((AE57+AE58)+AE59)</f>
        <v/>
      </c>
      <c r="AF60" s="23">
        <f>((AF57+AF58)+AF59)</f>
        <v/>
      </c>
      <c r="AG60" s="23">
        <f>((AG57+AG58)+AG59)</f>
        <v/>
      </c>
      <c r="AH60" s="23">
        <f>((AH57+AH58)+AH59)</f>
        <v/>
      </c>
      <c r="AI60" s="23">
        <f>((AI57+AI58)+AI59)</f>
        <v/>
      </c>
      <c r="AJ60" s="23">
        <f>((AJ57+AJ58)+AJ59)</f>
        <v/>
      </c>
      <c r="AK60" s="23">
        <f>((AK57+AK58)+AK59)</f>
        <v/>
      </c>
      <c r="AL60" s="23">
        <f>((AL57+AL58)+AL59)</f>
        <v/>
      </c>
    </row>
    <row r="61">
      <c r="A61" s="6" t="inlineStr">
        <is>
          <t>Ads: article / lesson end</t>
        </is>
      </c>
      <c r="B61" s="2" t="inlineStr">
        <is>
          <t>rev_ads_article</t>
        </is>
      </c>
      <c r="C61" s="14">
        <f>(((C41/1000)*Assumptions!$F$51)*Assumptions!$F$54)</f>
        <v/>
      </c>
      <c r="D61" s="14">
        <f>(((D41/1000)*Assumptions!$F$51)*Assumptions!$F$54)</f>
        <v/>
      </c>
      <c r="E61" s="14">
        <f>(((E41/1000)*Assumptions!$F$51)*Assumptions!$F$54)</f>
        <v/>
      </c>
      <c r="F61" s="14">
        <f>(((F41/1000)*Assumptions!$F$51)*Assumptions!$F$54)</f>
        <v/>
      </c>
      <c r="G61" s="14">
        <f>(((G41/1000)*Assumptions!$F$51)*Assumptions!$F$54)</f>
        <v/>
      </c>
      <c r="H61" s="14">
        <f>(((H41/1000)*Assumptions!$F$51)*Assumptions!$F$54)</f>
        <v/>
      </c>
      <c r="I61" s="14">
        <f>(((I41/1000)*Assumptions!$F$51)*Assumptions!$F$54)</f>
        <v/>
      </c>
      <c r="J61" s="14">
        <f>(((J41/1000)*Assumptions!$F$51)*Assumptions!$F$54)</f>
        <v/>
      </c>
      <c r="K61" s="14">
        <f>(((K41/1000)*Assumptions!$F$51)*Assumptions!$F$54)</f>
        <v/>
      </c>
      <c r="L61" s="14">
        <f>(((L41/1000)*Assumptions!$F$51)*Assumptions!$F$54)</f>
        <v/>
      </c>
      <c r="M61" s="14">
        <f>(((M41/1000)*Assumptions!$F$51)*Assumptions!$F$54)</f>
        <v/>
      </c>
      <c r="N61" s="14">
        <f>(((N41/1000)*Assumptions!$F$51)*Assumptions!$F$54)</f>
        <v/>
      </c>
      <c r="O61" s="14">
        <f>(((O41/1000)*Assumptions!$F$51)*Assumptions!$F$54)</f>
        <v/>
      </c>
      <c r="P61" s="14">
        <f>(((P41/1000)*Assumptions!$F$51)*Assumptions!$F$54)</f>
        <v/>
      </c>
      <c r="Q61" s="14">
        <f>(((Q41/1000)*Assumptions!$F$51)*Assumptions!$F$54)</f>
        <v/>
      </c>
      <c r="R61" s="14">
        <f>(((R41/1000)*Assumptions!$F$51)*Assumptions!$F$54)</f>
        <v/>
      </c>
      <c r="S61" s="14">
        <f>(((S41/1000)*Assumptions!$F$51)*Assumptions!$F$54)</f>
        <v/>
      </c>
      <c r="T61" s="14">
        <f>(((T41/1000)*Assumptions!$F$51)*Assumptions!$F$54)</f>
        <v/>
      </c>
      <c r="U61" s="14">
        <f>(((U41/1000)*Assumptions!$F$51)*Assumptions!$F$54)</f>
        <v/>
      </c>
      <c r="V61" s="14">
        <f>(((V41/1000)*Assumptions!$F$51)*Assumptions!$F$54)</f>
        <v/>
      </c>
      <c r="W61" s="14">
        <f>(((W41/1000)*Assumptions!$F$51)*Assumptions!$F$54)</f>
        <v/>
      </c>
      <c r="X61" s="14">
        <f>(((X41/1000)*Assumptions!$F$51)*Assumptions!$F$54)</f>
        <v/>
      </c>
      <c r="Y61" s="14">
        <f>(((Y41/1000)*Assumptions!$F$51)*Assumptions!$F$54)</f>
        <v/>
      </c>
      <c r="Z61" s="14">
        <f>(((Z41/1000)*Assumptions!$F$51)*Assumptions!$F$54)</f>
        <v/>
      </c>
      <c r="AA61" s="14">
        <f>(((AA41/1000)*Assumptions!$F$51)*Assumptions!$F$54)</f>
        <v/>
      </c>
      <c r="AB61" s="14">
        <f>(((AB41/1000)*Assumptions!$F$51)*Assumptions!$F$54)</f>
        <v/>
      </c>
      <c r="AC61" s="14">
        <f>(((AC41/1000)*Assumptions!$F$51)*Assumptions!$F$54)</f>
        <v/>
      </c>
      <c r="AD61" s="14">
        <f>(((AD41/1000)*Assumptions!$F$51)*Assumptions!$F$54)</f>
        <v/>
      </c>
      <c r="AE61" s="14">
        <f>(((AE41/1000)*Assumptions!$F$51)*Assumptions!$F$54)</f>
        <v/>
      </c>
      <c r="AF61" s="14">
        <f>(((AF41/1000)*Assumptions!$F$51)*Assumptions!$F$54)</f>
        <v/>
      </c>
      <c r="AG61" s="14">
        <f>(((AG41/1000)*Assumptions!$F$51)*Assumptions!$F$54)</f>
        <v/>
      </c>
      <c r="AH61" s="14">
        <f>(((AH41/1000)*Assumptions!$F$51)*Assumptions!$F$54)</f>
        <v/>
      </c>
      <c r="AI61" s="14">
        <f>(((AI41/1000)*Assumptions!$F$51)*Assumptions!$F$54)</f>
        <v/>
      </c>
      <c r="AJ61" s="14">
        <f>(((AJ41/1000)*Assumptions!$F$51)*Assumptions!$F$54)</f>
        <v/>
      </c>
      <c r="AK61" s="14">
        <f>(((AK41/1000)*Assumptions!$F$51)*Assumptions!$F$54)</f>
        <v/>
      </c>
      <c r="AL61" s="14">
        <f>(((AL41/1000)*Assumptions!$F$51)*Assumptions!$F$54)</f>
        <v/>
      </c>
    </row>
    <row r="62">
      <c r="A62" s="6" t="inlineStr">
        <is>
          <t>Ads: screener native</t>
        </is>
      </c>
      <c r="B62" s="2" t="inlineStr">
        <is>
          <t>rev_ads_screener</t>
        </is>
      </c>
      <c r="C62" s="14">
        <f>(((C42/1000)*Assumptions!$F$52)*Assumptions!$F$54)</f>
        <v/>
      </c>
      <c r="D62" s="14">
        <f>(((D42/1000)*Assumptions!$F$52)*Assumptions!$F$54)</f>
        <v/>
      </c>
      <c r="E62" s="14">
        <f>(((E42/1000)*Assumptions!$F$52)*Assumptions!$F$54)</f>
        <v/>
      </c>
      <c r="F62" s="14">
        <f>(((F42/1000)*Assumptions!$F$52)*Assumptions!$F$54)</f>
        <v/>
      </c>
      <c r="G62" s="14">
        <f>(((G42/1000)*Assumptions!$F$52)*Assumptions!$F$54)</f>
        <v/>
      </c>
      <c r="H62" s="14">
        <f>(((H42/1000)*Assumptions!$F$52)*Assumptions!$F$54)</f>
        <v/>
      </c>
      <c r="I62" s="14">
        <f>(((I42/1000)*Assumptions!$F$52)*Assumptions!$F$54)</f>
        <v/>
      </c>
      <c r="J62" s="14">
        <f>(((J42/1000)*Assumptions!$F$52)*Assumptions!$F$54)</f>
        <v/>
      </c>
      <c r="K62" s="14">
        <f>(((K42/1000)*Assumptions!$F$52)*Assumptions!$F$54)</f>
        <v/>
      </c>
      <c r="L62" s="14">
        <f>(((L42/1000)*Assumptions!$F$52)*Assumptions!$F$54)</f>
        <v/>
      </c>
      <c r="M62" s="14">
        <f>(((M42/1000)*Assumptions!$F$52)*Assumptions!$F$54)</f>
        <v/>
      </c>
      <c r="N62" s="14">
        <f>(((N42/1000)*Assumptions!$F$52)*Assumptions!$F$54)</f>
        <v/>
      </c>
      <c r="O62" s="14">
        <f>(((O42/1000)*Assumptions!$F$52)*Assumptions!$F$54)</f>
        <v/>
      </c>
      <c r="P62" s="14">
        <f>(((P42/1000)*Assumptions!$F$52)*Assumptions!$F$54)</f>
        <v/>
      </c>
      <c r="Q62" s="14">
        <f>(((Q42/1000)*Assumptions!$F$52)*Assumptions!$F$54)</f>
        <v/>
      </c>
      <c r="R62" s="14">
        <f>(((R42/1000)*Assumptions!$F$52)*Assumptions!$F$54)</f>
        <v/>
      </c>
      <c r="S62" s="14">
        <f>(((S42/1000)*Assumptions!$F$52)*Assumptions!$F$54)</f>
        <v/>
      </c>
      <c r="T62" s="14">
        <f>(((T42/1000)*Assumptions!$F$52)*Assumptions!$F$54)</f>
        <v/>
      </c>
      <c r="U62" s="14">
        <f>(((U42/1000)*Assumptions!$F$52)*Assumptions!$F$54)</f>
        <v/>
      </c>
      <c r="V62" s="14">
        <f>(((V42/1000)*Assumptions!$F$52)*Assumptions!$F$54)</f>
        <v/>
      </c>
      <c r="W62" s="14">
        <f>(((W42/1000)*Assumptions!$F$52)*Assumptions!$F$54)</f>
        <v/>
      </c>
      <c r="X62" s="14">
        <f>(((X42/1000)*Assumptions!$F$52)*Assumptions!$F$54)</f>
        <v/>
      </c>
      <c r="Y62" s="14">
        <f>(((Y42/1000)*Assumptions!$F$52)*Assumptions!$F$54)</f>
        <v/>
      </c>
      <c r="Z62" s="14">
        <f>(((Z42/1000)*Assumptions!$F$52)*Assumptions!$F$54)</f>
        <v/>
      </c>
      <c r="AA62" s="14">
        <f>(((AA42/1000)*Assumptions!$F$52)*Assumptions!$F$54)</f>
        <v/>
      </c>
      <c r="AB62" s="14">
        <f>(((AB42/1000)*Assumptions!$F$52)*Assumptions!$F$54)</f>
        <v/>
      </c>
      <c r="AC62" s="14">
        <f>(((AC42/1000)*Assumptions!$F$52)*Assumptions!$F$54)</f>
        <v/>
      </c>
      <c r="AD62" s="14">
        <f>(((AD42/1000)*Assumptions!$F$52)*Assumptions!$F$54)</f>
        <v/>
      </c>
      <c r="AE62" s="14">
        <f>(((AE42/1000)*Assumptions!$F$52)*Assumptions!$F$54)</f>
        <v/>
      </c>
      <c r="AF62" s="14">
        <f>(((AF42/1000)*Assumptions!$F$52)*Assumptions!$F$54)</f>
        <v/>
      </c>
      <c r="AG62" s="14">
        <f>(((AG42/1000)*Assumptions!$F$52)*Assumptions!$F$54)</f>
        <v/>
      </c>
      <c r="AH62" s="14">
        <f>(((AH42/1000)*Assumptions!$F$52)*Assumptions!$F$54)</f>
        <v/>
      </c>
      <c r="AI62" s="14">
        <f>(((AI42/1000)*Assumptions!$F$52)*Assumptions!$F$54)</f>
        <v/>
      </c>
      <c r="AJ62" s="14">
        <f>(((AJ42/1000)*Assumptions!$F$52)*Assumptions!$F$54)</f>
        <v/>
      </c>
      <c r="AK62" s="14">
        <f>(((AK42/1000)*Assumptions!$F$52)*Assumptions!$F$54)</f>
        <v/>
      </c>
      <c r="AL62" s="14">
        <f>(((AL42/1000)*Assumptions!$F$52)*Assumptions!$F$54)</f>
        <v/>
      </c>
    </row>
    <row r="63">
      <c r="A63" s="6" t="inlineStr">
        <is>
          <t>Ads: opt-in rewarded</t>
        </is>
      </c>
      <c r="B63" s="2" t="inlineStr">
        <is>
          <t>rev_ads_rewarded</t>
        </is>
      </c>
      <c r="C63" s="14">
        <f>(((C43/1000)*Assumptions!$F$53)*Assumptions!$F$54)</f>
        <v/>
      </c>
      <c r="D63" s="14">
        <f>(((D43/1000)*Assumptions!$F$53)*Assumptions!$F$54)</f>
        <v/>
      </c>
      <c r="E63" s="14">
        <f>(((E43/1000)*Assumptions!$F$53)*Assumptions!$F$54)</f>
        <v/>
      </c>
      <c r="F63" s="14">
        <f>(((F43/1000)*Assumptions!$F$53)*Assumptions!$F$54)</f>
        <v/>
      </c>
      <c r="G63" s="14">
        <f>(((G43/1000)*Assumptions!$F$53)*Assumptions!$F$54)</f>
        <v/>
      </c>
      <c r="H63" s="14">
        <f>(((H43/1000)*Assumptions!$F$53)*Assumptions!$F$54)</f>
        <v/>
      </c>
      <c r="I63" s="14">
        <f>(((I43/1000)*Assumptions!$F$53)*Assumptions!$F$54)</f>
        <v/>
      </c>
      <c r="J63" s="14">
        <f>(((J43/1000)*Assumptions!$F$53)*Assumptions!$F$54)</f>
        <v/>
      </c>
      <c r="K63" s="14">
        <f>(((K43/1000)*Assumptions!$F$53)*Assumptions!$F$54)</f>
        <v/>
      </c>
      <c r="L63" s="14">
        <f>(((L43/1000)*Assumptions!$F$53)*Assumptions!$F$54)</f>
        <v/>
      </c>
      <c r="M63" s="14">
        <f>(((M43/1000)*Assumptions!$F$53)*Assumptions!$F$54)</f>
        <v/>
      </c>
      <c r="N63" s="14">
        <f>(((N43/1000)*Assumptions!$F$53)*Assumptions!$F$54)</f>
        <v/>
      </c>
      <c r="O63" s="14">
        <f>(((O43/1000)*Assumptions!$F$53)*Assumptions!$F$54)</f>
        <v/>
      </c>
      <c r="P63" s="14">
        <f>(((P43/1000)*Assumptions!$F$53)*Assumptions!$F$54)</f>
        <v/>
      </c>
      <c r="Q63" s="14">
        <f>(((Q43/1000)*Assumptions!$F$53)*Assumptions!$F$54)</f>
        <v/>
      </c>
      <c r="R63" s="14">
        <f>(((R43/1000)*Assumptions!$F$53)*Assumptions!$F$54)</f>
        <v/>
      </c>
      <c r="S63" s="14">
        <f>(((S43/1000)*Assumptions!$F$53)*Assumptions!$F$54)</f>
        <v/>
      </c>
      <c r="T63" s="14">
        <f>(((T43/1000)*Assumptions!$F$53)*Assumptions!$F$54)</f>
        <v/>
      </c>
      <c r="U63" s="14">
        <f>(((U43/1000)*Assumptions!$F$53)*Assumptions!$F$54)</f>
        <v/>
      </c>
      <c r="V63" s="14">
        <f>(((V43/1000)*Assumptions!$F$53)*Assumptions!$F$54)</f>
        <v/>
      </c>
      <c r="W63" s="14">
        <f>(((W43/1000)*Assumptions!$F$53)*Assumptions!$F$54)</f>
        <v/>
      </c>
      <c r="X63" s="14">
        <f>(((X43/1000)*Assumptions!$F$53)*Assumptions!$F$54)</f>
        <v/>
      </c>
      <c r="Y63" s="14">
        <f>(((Y43/1000)*Assumptions!$F$53)*Assumptions!$F$54)</f>
        <v/>
      </c>
      <c r="Z63" s="14">
        <f>(((Z43/1000)*Assumptions!$F$53)*Assumptions!$F$54)</f>
        <v/>
      </c>
      <c r="AA63" s="14">
        <f>(((AA43/1000)*Assumptions!$F$53)*Assumptions!$F$54)</f>
        <v/>
      </c>
      <c r="AB63" s="14">
        <f>(((AB43/1000)*Assumptions!$F$53)*Assumptions!$F$54)</f>
        <v/>
      </c>
      <c r="AC63" s="14">
        <f>(((AC43/1000)*Assumptions!$F$53)*Assumptions!$F$54)</f>
        <v/>
      </c>
      <c r="AD63" s="14">
        <f>(((AD43/1000)*Assumptions!$F$53)*Assumptions!$F$54)</f>
        <v/>
      </c>
      <c r="AE63" s="14">
        <f>(((AE43/1000)*Assumptions!$F$53)*Assumptions!$F$54)</f>
        <v/>
      </c>
      <c r="AF63" s="14">
        <f>(((AF43/1000)*Assumptions!$F$53)*Assumptions!$F$54)</f>
        <v/>
      </c>
      <c r="AG63" s="14">
        <f>(((AG43/1000)*Assumptions!$F$53)*Assumptions!$F$54)</f>
        <v/>
      </c>
      <c r="AH63" s="14">
        <f>(((AH43/1000)*Assumptions!$F$53)*Assumptions!$F$54)</f>
        <v/>
      </c>
      <c r="AI63" s="14">
        <f>(((AI43/1000)*Assumptions!$F$53)*Assumptions!$F$54)</f>
        <v/>
      </c>
      <c r="AJ63" s="14">
        <f>(((AJ43/1000)*Assumptions!$F$53)*Assumptions!$F$54)</f>
        <v/>
      </c>
      <c r="AK63" s="14">
        <f>(((AK43/1000)*Assumptions!$F$53)*Assumptions!$F$54)</f>
        <v/>
      </c>
      <c r="AL63" s="14">
        <f>(((AL43/1000)*Assumptions!$F$53)*Assumptions!$F$54)</f>
        <v/>
      </c>
    </row>
    <row r="64">
      <c r="A64" s="21" t="inlineStr">
        <is>
          <t>Advertising revenue</t>
        </is>
      </c>
      <c r="B64" s="2" t="inlineStr">
        <is>
          <t>rev_ads</t>
        </is>
      </c>
      <c r="C64" s="23">
        <f>((C61+C62)+C63)</f>
        <v/>
      </c>
      <c r="D64" s="23">
        <f>((D61+D62)+D63)</f>
        <v/>
      </c>
      <c r="E64" s="23">
        <f>((E61+E62)+E63)</f>
        <v/>
      </c>
      <c r="F64" s="23">
        <f>((F61+F62)+F63)</f>
        <v/>
      </c>
      <c r="G64" s="23">
        <f>((G61+G62)+G63)</f>
        <v/>
      </c>
      <c r="H64" s="23">
        <f>((H61+H62)+H63)</f>
        <v/>
      </c>
      <c r="I64" s="23">
        <f>((I61+I62)+I63)</f>
        <v/>
      </c>
      <c r="J64" s="23">
        <f>((J61+J62)+J63)</f>
        <v/>
      </c>
      <c r="K64" s="23">
        <f>((K61+K62)+K63)</f>
        <v/>
      </c>
      <c r="L64" s="23">
        <f>((L61+L62)+L63)</f>
        <v/>
      </c>
      <c r="M64" s="23">
        <f>((M61+M62)+M63)</f>
        <v/>
      </c>
      <c r="N64" s="23">
        <f>((N61+N62)+N63)</f>
        <v/>
      </c>
      <c r="O64" s="23">
        <f>((O61+O62)+O63)</f>
        <v/>
      </c>
      <c r="P64" s="23">
        <f>((P61+P62)+P63)</f>
        <v/>
      </c>
      <c r="Q64" s="23">
        <f>((Q61+Q62)+Q63)</f>
        <v/>
      </c>
      <c r="R64" s="23">
        <f>((R61+R62)+R63)</f>
        <v/>
      </c>
      <c r="S64" s="23">
        <f>((S61+S62)+S63)</f>
        <v/>
      </c>
      <c r="T64" s="23">
        <f>((T61+T62)+T63)</f>
        <v/>
      </c>
      <c r="U64" s="23">
        <f>((U61+U62)+U63)</f>
        <v/>
      </c>
      <c r="V64" s="23">
        <f>((V61+V62)+V63)</f>
        <v/>
      </c>
      <c r="W64" s="23">
        <f>((W61+W62)+W63)</f>
        <v/>
      </c>
      <c r="X64" s="23">
        <f>((X61+X62)+X63)</f>
        <v/>
      </c>
      <c r="Y64" s="23">
        <f>((Y61+Y62)+Y63)</f>
        <v/>
      </c>
      <c r="Z64" s="23">
        <f>((Z61+Z62)+Z63)</f>
        <v/>
      </c>
      <c r="AA64" s="23">
        <f>((AA61+AA62)+AA63)</f>
        <v/>
      </c>
      <c r="AB64" s="23">
        <f>((AB61+AB62)+AB63)</f>
        <v/>
      </c>
      <c r="AC64" s="23">
        <f>((AC61+AC62)+AC63)</f>
        <v/>
      </c>
      <c r="AD64" s="23">
        <f>((AD61+AD62)+AD63)</f>
        <v/>
      </c>
      <c r="AE64" s="23">
        <f>((AE61+AE62)+AE63)</f>
        <v/>
      </c>
      <c r="AF64" s="23">
        <f>((AF61+AF62)+AF63)</f>
        <v/>
      </c>
      <c r="AG64" s="23">
        <f>((AG61+AG62)+AG63)</f>
        <v/>
      </c>
      <c r="AH64" s="23">
        <f>((AH61+AH62)+AH63)</f>
        <v/>
      </c>
      <c r="AI64" s="23">
        <f>((AI61+AI62)+AI63)</f>
        <v/>
      </c>
      <c r="AJ64" s="23">
        <f>((AJ61+AJ62)+AJ63)</f>
        <v/>
      </c>
      <c r="AK64" s="23">
        <f>((AK61+AK62)+AK63)</f>
        <v/>
      </c>
      <c r="AL64" s="23">
        <f>((AL61+AL62)+AL63)</f>
        <v/>
      </c>
    </row>
    <row r="65">
      <c r="A65" s="6" t="inlineStr">
        <is>
          <t>Affiliate revenue</t>
        </is>
      </c>
      <c r="B65" s="2" t="inlineStr">
        <is>
          <t>rev_aff</t>
        </is>
      </c>
      <c r="C65" s="14">
        <f>(C45*Assumptions!$F$59)</f>
        <v/>
      </c>
      <c r="D65" s="14">
        <f>(D45*Assumptions!$F$59)</f>
        <v/>
      </c>
      <c r="E65" s="14">
        <f>(E45*Assumptions!$F$59)</f>
        <v/>
      </c>
      <c r="F65" s="14">
        <f>(F45*Assumptions!$F$59)</f>
        <v/>
      </c>
      <c r="G65" s="14">
        <f>(G45*Assumptions!$F$59)</f>
        <v/>
      </c>
      <c r="H65" s="14">
        <f>(H45*Assumptions!$F$59)</f>
        <v/>
      </c>
      <c r="I65" s="14">
        <f>(I45*Assumptions!$F$59)</f>
        <v/>
      </c>
      <c r="J65" s="14">
        <f>(J45*Assumptions!$F$59)</f>
        <v/>
      </c>
      <c r="K65" s="14">
        <f>(K45*Assumptions!$F$59)</f>
        <v/>
      </c>
      <c r="L65" s="14">
        <f>(L45*Assumptions!$F$59)</f>
        <v/>
      </c>
      <c r="M65" s="14">
        <f>(M45*Assumptions!$F$59)</f>
        <v/>
      </c>
      <c r="N65" s="14">
        <f>(N45*Assumptions!$F$59)</f>
        <v/>
      </c>
      <c r="O65" s="14">
        <f>(O45*Assumptions!$F$59)</f>
        <v/>
      </c>
      <c r="P65" s="14">
        <f>(P45*Assumptions!$F$59)</f>
        <v/>
      </c>
      <c r="Q65" s="14">
        <f>(Q45*Assumptions!$F$59)</f>
        <v/>
      </c>
      <c r="R65" s="14">
        <f>(R45*Assumptions!$F$59)</f>
        <v/>
      </c>
      <c r="S65" s="14">
        <f>(S45*Assumptions!$F$59)</f>
        <v/>
      </c>
      <c r="T65" s="14">
        <f>(T45*Assumptions!$F$59)</f>
        <v/>
      </c>
      <c r="U65" s="14">
        <f>(U45*Assumptions!$F$59)</f>
        <v/>
      </c>
      <c r="V65" s="14">
        <f>(V45*Assumptions!$F$59)</f>
        <v/>
      </c>
      <c r="W65" s="14">
        <f>(W45*Assumptions!$F$59)</f>
        <v/>
      </c>
      <c r="X65" s="14">
        <f>(X45*Assumptions!$F$59)</f>
        <v/>
      </c>
      <c r="Y65" s="14">
        <f>(Y45*Assumptions!$F$59)</f>
        <v/>
      </c>
      <c r="Z65" s="14">
        <f>(Z45*Assumptions!$F$59)</f>
        <v/>
      </c>
      <c r="AA65" s="14">
        <f>(AA45*Assumptions!$F$59)</f>
        <v/>
      </c>
      <c r="AB65" s="14">
        <f>(AB45*Assumptions!$F$59)</f>
        <v/>
      </c>
      <c r="AC65" s="14">
        <f>(AC45*Assumptions!$F$59)</f>
        <v/>
      </c>
      <c r="AD65" s="14">
        <f>(AD45*Assumptions!$F$59)</f>
        <v/>
      </c>
      <c r="AE65" s="14">
        <f>(AE45*Assumptions!$F$59)</f>
        <v/>
      </c>
      <c r="AF65" s="14">
        <f>(AF45*Assumptions!$F$59)</f>
        <v/>
      </c>
      <c r="AG65" s="14">
        <f>(AG45*Assumptions!$F$59)</f>
        <v/>
      </c>
      <c r="AH65" s="14">
        <f>(AH45*Assumptions!$F$59)</f>
        <v/>
      </c>
      <c r="AI65" s="14">
        <f>(AI45*Assumptions!$F$59)</f>
        <v/>
      </c>
      <c r="AJ65" s="14">
        <f>(AJ45*Assumptions!$F$59)</f>
        <v/>
      </c>
      <c r="AK65" s="14">
        <f>(AK45*Assumptions!$F$59)</f>
        <v/>
      </c>
      <c r="AL65" s="14">
        <f>(AL45*Assumptions!$F$59)</f>
        <v/>
      </c>
    </row>
    <row r="66">
      <c r="A66" s="6" t="inlineStr">
        <is>
          <t>B2B / Edu licence revenue</t>
        </is>
      </c>
      <c r="B66" s="2" t="inlineStr">
        <is>
          <t>rev_b2b</t>
        </is>
      </c>
      <c r="C66" s="14">
        <f>(((C46*Assumptions!$F$64)/12)+((C47*Assumptions!$F$67)/12))</f>
        <v/>
      </c>
      <c r="D66" s="14">
        <f>(((D46*Assumptions!$F$64)/12)+((D47*Assumptions!$F$67)/12))</f>
        <v/>
      </c>
      <c r="E66" s="14">
        <f>(((E46*Assumptions!$F$64)/12)+((E47*Assumptions!$F$67)/12))</f>
        <v/>
      </c>
      <c r="F66" s="14">
        <f>(((F46*Assumptions!$F$64)/12)+((F47*Assumptions!$F$67)/12))</f>
        <v/>
      </c>
      <c r="G66" s="14">
        <f>(((G46*Assumptions!$F$64)/12)+((G47*Assumptions!$F$67)/12))</f>
        <v/>
      </c>
      <c r="H66" s="14">
        <f>(((H46*Assumptions!$F$64)/12)+((H47*Assumptions!$F$67)/12))</f>
        <v/>
      </c>
      <c r="I66" s="14">
        <f>(((I46*Assumptions!$F$64)/12)+((I47*Assumptions!$F$67)/12))</f>
        <v/>
      </c>
      <c r="J66" s="14">
        <f>(((J46*Assumptions!$F$64)/12)+((J47*Assumptions!$F$67)/12))</f>
        <v/>
      </c>
      <c r="K66" s="14">
        <f>(((K46*Assumptions!$F$64)/12)+((K47*Assumptions!$F$67)/12))</f>
        <v/>
      </c>
      <c r="L66" s="14">
        <f>(((L46*Assumptions!$F$64)/12)+((L47*Assumptions!$F$67)/12))</f>
        <v/>
      </c>
      <c r="M66" s="14">
        <f>(((M46*Assumptions!$F$64)/12)+((M47*Assumptions!$F$67)/12))</f>
        <v/>
      </c>
      <c r="N66" s="14">
        <f>(((N46*Assumptions!$F$64)/12)+((N47*Assumptions!$F$67)/12))</f>
        <v/>
      </c>
      <c r="O66" s="14">
        <f>(((O46*Assumptions!$F$64)/12)+((O47*Assumptions!$F$67)/12))</f>
        <v/>
      </c>
      <c r="P66" s="14">
        <f>(((P46*Assumptions!$F$64)/12)+((P47*Assumptions!$F$67)/12))</f>
        <v/>
      </c>
      <c r="Q66" s="14">
        <f>(((Q46*Assumptions!$F$64)/12)+((Q47*Assumptions!$F$67)/12))</f>
        <v/>
      </c>
      <c r="R66" s="14">
        <f>(((R46*Assumptions!$F$64)/12)+((R47*Assumptions!$F$67)/12))</f>
        <v/>
      </c>
      <c r="S66" s="14">
        <f>(((S46*Assumptions!$F$64)/12)+((S47*Assumptions!$F$67)/12))</f>
        <v/>
      </c>
      <c r="T66" s="14">
        <f>(((T46*Assumptions!$F$64)/12)+((T47*Assumptions!$F$67)/12))</f>
        <v/>
      </c>
      <c r="U66" s="14">
        <f>(((U46*Assumptions!$F$64)/12)+((U47*Assumptions!$F$67)/12))</f>
        <v/>
      </c>
      <c r="V66" s="14">
        <f>(((V46*Assumptions!$F$64)/12)+((V47*Assumptions!$F$67)/12))</f>
        <v/>
      </c>
      <c r="W66" s="14">
        <f>(((W46*Assumptions!$F$64)/12)+((W47*Assumptions!$F$67)/12))</f>
        <v/>
      </c>
      <c r="X66" s="14">
        <f>(((X46*Assumptions!$F$64)/12)+((X47*Assumptions!$F$67)/12))</f>
        <v/>
      </c>
      <c r="Y66" s="14">
        <f>(((Y46*Assumptions!$F$64)/12)+((Y47*Assumptions!$F$67)/12))</f>
        <v/>
      </c>
      <c r="Z66" s="14">
        <f>(((Z46*Assumptions!$F$64)/12)+((Z47*Assumptions!$F$67)/12))</f>
        <v/>
      </c>
      <c r="AA66" s="14">
        <f>(((AA46*Assumptions!$F$64)/12)+((AA47*Assumptions!$F$67)/12))</f>
        <v/>
      </c>
      <c r="AB66" s="14">
        <f>(((AB46*Assumptions!$F$64)/12)+((AB47*Assumptions!$F$67)/12))</f>
        <v/>
      </c>
      <c r="AC66" s="14">
        <f>(((AC46*Assumptions!$F$64)/12)+((AC47*Assumptions!$F$67)/12))</f>
        <v/>
      </c>
      <c r="AD66" s="14">
        <f>(((AD46*Assumptions!$F$64)/12)+((AD47*Assumptions!$F$67)/12))</f>
        <v/>
      </c>
      <c r="AE66" s="14">
        <f>(((AE46*Assumptions!$F$64)/12)+((AE47*Assumptions!$F$67)/12))</f>
        <v/>
      </c>
      <c r="AF66" s="14">
        <f>(((AF46*Assumptions!$F$64)/12)+((AF47*Assumptions!$F$67)/12))</f>
        <v/>
      </c>
      <c r="AG66" s="14">
        <f>(((AG46*Assumptions!$F$64)/12)+((AG47*Assumptions!$F$67)/12))</f>
        <v/>
      </c>
      <c r="AH66" s="14">
        <f>(((AH46*Assumptions!$F$64)/12)+((AH47*Assumptions!$F$67)/12))</f>
        <v/>
      </c>
      <c r="AI66" s="14">
        <f>(((AI46*Assumptions!$F$64)/12)+((AI47*Assumptions!$F$67)/12))</f>
        <v/>
      </c>
      <c r="AJ66" s="14">
        <f>(((AJ46*Assumptions!$F$64)/12)+((AJ47*Assumptions!$F$67)/12))</f>
        <v/>
      </c>
      <c r="AK66" s="14">
        <f>(((AK46*Assumptions!$F$64)/12)+((AK47*Assumptions!$F$67)/12))</f>
        <v/>
      </c>
      <c r="AL66" s="14">
        <f>(((AL46*Assumptions!$F$64)/12)+((AL47*Assumptions!$F$67)/12))</f>
        <v/>
      </c>
    </row>
    <row r="67">
      <c r="A67" s="21" t="inlineStr">
        <is>
          <t>TOTAL REVENUE</t>
        </is>
      </c>
      <c r="B67" s="2" t="inlineStr">
        <is>
          <t>rev_total</t>
        </is>
      </c>
      <c r="C67" s="23">
        <f>(((C60+C64)+C65)+C66)</f>
        <v/>
      </c>
      <c r="D67" s="23">
        <f>(((D60+D64)+D65)+D66)</f>
        <v/>
      </c>
      <c r="E67" s="23">
        <f>(((E60+E64)+E65)+E66)</f>
        <v/>
      </c>
      <c r="F67" s="23">
        <f>(((F60+F64)+F65)+F66)</f>
        <v/>
      </c>
      <c r="G67" s="23">
        <f>(((G60+G64)+G65)+G66)</f>
        <v/>
      </c>
      <c r="H67" s="23">
        <f>(((H60+H64)+H65)+H66)</f>
        <v/>
      </c>
      <c r="I67" s="23">
        <f>(((I60+I64)+I65)+I66)</f>
        <v/>
      </c>
      <c r="J67" s="23">
        <f>(((J60+J64)+J65)+J66)</f>
        <v/>
      </c>
      <c r="K67" s="23">
        <f>(((K60+K64)+K65)+K66)</f>
        <v/>
      </c>
      <c r="L67" s="23">
        <f>(((L60+L64)+L65)+L66)</f>
        <v/>
      </c>
      <c r="M67" s="23">
        <f>(((M60+M64)+M65)+M66)</f>
        <v/>
      </c>
      <c r="N67" s="23">
        <f>(((N60+N64)+N65)+N66)</f>
        <v/>
      </c>
      <c r="O67" s="23">
        <f>(((O60+O64)+O65)+O66)</f>
        <v/>
      </c>
      <c r="P67" s="23">
        <f>(((P60+P64)+P65)+P66)</f>
        <v/>
      </c>
      <c r="Q67" s="23">
        <f>(((Q60+Q64)+Q65)+Q66)</f>
        <v/>
      </c>
      <c r="R67" s="23">
        <f>(((R60+R64)+R65)+R66)</f>
        <v/>
      </c>
      <c r="S67" s="23">
        <f>(((S60+S64)+S65)+S66)</f>
        <v/>
      </c>
      <c r="T67" s="23">
        <f>(((T60+T64)+T65)+T66)</f>
        <v/>
      </c>
      <c r="U67" s="23">
        <f>(((U60+U64)+U65)+U66)</f>
        <v/>
      </c>
      <c r="V67" s="23">
        <f>(((V60+V64)+V65)+V66)</f>
        <v/>
      </c>
      <c r="W67" s="23">
        <f>(((W60+W64)+W65)+W66)</f>
        <v/>
      </c>
      <c r="X67" s="23">
        <f>(((X60+X64)+X65)+X66)</f>
        <v/>
      </c>
      <c r="Y67" s="23">
        <f>(((Y60+Y64)+Y65)+Y66)</f>
        <v/>
      </c>
      <c r="Z67" s="23">
        <f>(((Z60+Z64)+Z65)+Z66)</f>
        <v/>
      </c>
      <c r="AA67" s="23">
        <f>(((AA60+AA64)+AA65)+AA66)</f>
        <v/>
      </c>
      <c r="AB67" s="23">
        <f>(((AB60+AB64)+AB65)+AB66)</f>
        <v/>
      </c>
      <c r="AC67" s="23">
        <f>(((AC60+AC64)+AC65)+AC66)</f>
        <v/>
      </c>
      <c r="AD67" s="23">
        <f>(((AD60+AD64)+AD65)+AD66)</f>
        <v/>
      </c>
      <c r="AE67" s="23">
        <f>(((AE60+AE64)+AE65)+AE66)</f>
        <v/>
      </c>
      <c r="AF67" s="23">
        <f>(((AF60+AF64)+AF65)+AF66)</f>
        <v/>
      </c>
      <c r="AG67" s="23">
        <f>(((AG60+AG64)+AG65)+AG66)</f>
        <v/>
      </c>
      <c r="AH67" s="23">
        <f>(((AH60+AH64)+AH65)+AH66)</f>
        <v/>
      </c>
      <c r="AI67" s="23">
        <f>(((AI60+AI64)+AI65)+AI66)</f>
        <v/>
      </c>
      <c r="AJ67" s="23">
        <f>(((AJ60+AJ64)+AJ65)+AJ66)</f>
        <v/>
      </c>
      <c r="AK67" s="23">
        <f>(((AK60+AK64)+AK65)+AK66)</f>
        <v/>
      </c>
      <c r="AL67" s="23">
        <f>(((AL60+AL64)+AL65)+AL66)</f>
        <v/>
      </c>
    </row>
    <row r="69">
      <c r="A69" s="4" t="inlineStr">
        <is>
          <t>COST OF REVENUE (COGS)</t>
        </is>
      </c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</row>
    <row r="70">
      <c r="A70" s="6" t="inlineStr">
        <is>
          <t>Data licensing (beta, or scale phase above MAU threshold)</t>
        </is>
      </c>
      <c r="B70" s="2" t="inlineStr">
        <is>
          <t>cogs_data</t>
        </is>
      </c>
      <c r="C70" s="14">
        <f>IF((C36&gt;=Assumptions!$F$72),Assumptions!$F$71,Assumptions!$F$70)</f>
        <v/>
      </c>
      <c r="D70" s="14">
        <f>IF((D36&gt;=Assumptions!$F$72),Assumptions!$F$71,Assumptions!$F$70)</f>
        <v/>
      </c>
      <c r="E70" s="14">
        <f>IF((E36&gt;=Assumptions!$F$72),Assumptions!$F$71,Assumptions!$F$70)</f>
        <v/>
      </c>
      <c r="F70" s="14">
        <f>IF((F36&gt;=Assumptions!$F$72),Assumptions!$F$71,Assumptions!$F$70)</f>
        <v/>
      </c>
      <c r="G70" s="14">
        <f>IF((G36&gt;=Assumptions!$F$72),Assumptions!$F$71,Assumptions!$F$70)</f>
        <v/>
      </c>
      <c r="H70" s="14">
        <f>IF((H36&gt;=Assumptions!$F$72),Assumptions!$F$71,Assumptions!$F$70)</f>
        <v/>
      </c>
      <c r="I70" s="14">
        <f>IF((I36&gt;=Assumptions!$F$72),Assumptions!$F$71,Assumptions!$F$70)</f>
        <v/>
      </c>
      <c r="J70" s="14">
        <f>IF((J36&gt;=Assumptions!$F$72),Assumptions!$F$71,Assumptions!$F$70)</f>
        <v/>
      </c>
      <c r="K70" s="14">
        <f>IF((K36&gt;=Assumptions!$F$72),Assumptions!$F$71,Assumptions!$F$70)</f>
        <v/>
      </c>
      <c r="L70" s="14">
        <f>IF((L36&gt;=Assumptions!$F$72),Assumptions!$F$71,Assumptions!$F$70)</f>
        <v/>
      </c>
      <c r="M70" s="14">
        <f>IF((M36&gt;=Assumptions!$F$72),Assumptions!$F$71,Assumptions!$F$70)</f>
        <v/>
      </c>
      <c r="N70" s="14">
        <f>IF((N36&gt;=Assumptions!$F$72),Assumptions!$F$71,Assumptions!$F$70)</f>
        <v/>
      </c>
      <c r="O70" s="14">
        <f>IF((O36&gt;=Assumptions!$F$72),Assumptions!$F$71,Assumptions!$F$70)</f>
        <v/>
      </c>
      <c r="P70" s="14">
        <f>IF((P36&gt;=Assumptions!$F$72),Assumptions!$F$71,Assumptions!$F$70)</f>
        <v/>
      </c>
      <c r="Q70" s="14">
        <f>IF((Q36&gt;=Assumptions!$F$72),Assumptions!$F$71,Assumptions!$F$70)</f>
        <v/>
      </c>
      <c r="R70" s="14">
        <f>IF((R36&gt;=Assumptions!$F$72),Assumptions!$F$71,Assumptions!$F$70)</f>
        <v/>
      </c>
      <c r="S70" s="14">
        <f>IF((S36&gt;=Assumptions!$F$72),Assumptions!$F$71,Assumptions!$F$70)</f>
        <v/>
      </c>
      <c r="T70" s="14">
        <f>IF((T36&gt;=Assumptions!$F$72),Assumptions!$F$71,Assumptions!$F$70)</f>
        <v/>
      </c>
      <c r="U70" s="14">
        <f>IF((U36&gt;=Assumptions!$F$72),Assumptions!$F$71,Assumptions!$F$70)</f>
        <v/>
      </c>
      <c r="V70" s="14">
        <f>IF((V36&gt;=Assumptions!$F$72),Assumptions!$F$71,Assumptions!$F$70)</f>
        <v/>
      </c>
      <c r="W70" s="14">
        <f>IF((W36&gt;=Assumptions!$F$72),Assumptions!$F$71,Assumptions!$F$70)</f>
        <v/>
      </c>
      <c r="X70" s="14">
        <f>IF((X36&gt;=Assumptions!$F$72),Assumptions!$F$71,Assumptions!$F$70)</f>
        <v/>
      </c>
      <c r="Y70" s="14">
        <f>IF((Y36&gt;=Assumptions!$F$72),Assumptions!$F$71,Assumptions!$F$70)</f>
        <v/>
      </c>
      <c r="Z70" s="14">
        <f>IF((Z36&gt;=Assumptions!$F$72),Assumptions!$F$71,Assumptions!$F$70)</f>
        <v/>
      </c>
      <c r="AA70" s="14">
        <f>IF((AA36&gt;=Assumptions!$F$72),Assumptions!$F$71,Assumptions!$F$70)</f>
        <v/>
      </c>
      <c r="AB70" s="14">
        <f>IF((AB36&gt;=Assumptions!$F$72),Assumptions!$F$71,Assumptions!$F$70)</f>
        <v/>
      </c>
      <c r="AC70" s="14">
        <f>IF((AC36&gt;=Assumptions!$F$72),Assumptions!$F$71,Assumptions!$F$70)</f>
        <v/>
      </c>
      <c r="AD70" s="14">
        <f>IF((AD36&gt;=Assumptions!$F$72),Assumptions!$F$71,Assumptions!$F$70)</f>
        <v/>
      </c>
      <c r="AE70" s="14">
        <f>IF((AE36&gt;=Assumptions!$F$72),Assumptions!$F$71,Assumptions!$F$70)</f>
        <v/>
      </c>
      <c r="AF70" s="14">
        <f>IF((AF36&gt;=Assumptions!$F$72),Assumptions!$F$71,Assumptions!$F$70)</f>
        <v/>
      </c>
      <c r="AG70" s="14">
        <f>IF((AG36&gt;=Assumptions!$F$72),Assumptions!$F$71,Assumptions!$F$70)</f>
        <v/>
      </c>
      <c r="AH70" s="14">
        <f>IF((AH36&gt;=Assumptions!$F$72),Assumptions!$F$71,Assumptions!$F$70)</f>
        <v/>
      </c>
      <c r="AI70" s="14">
        <f>IF((AI36&gt;=Assumptions!$F$72),Assumptions!$F$71,Assumptions!$F$70)</f>
        <v/>
      </c>
      <c r="AJ70" s="14">
        <f>IF((AJ36&gt;=Assumptions!$F$72),Assumptions!$F$71,Assumptions!$F$70)</f>
        <v/>
      </c>
      <c r="AK70" s="14">
        <f>IF((AK36&gt;=Assumptions!$F$72),Assumptions!$F$71,Assumptions!$F$70)</f>
        <v/>
      </c>
      <c r="AL70" s="14">
        <f>IF((AL36&gt;=Assumptions!$F$72),Assumptions!$F$71,Assumptions!$F$70)</f>
        <v/>
      </c>
    </row>
    <row r="71">
      <c r="A71" s="6" t="inlineStr">
        <is>
          <t>Plaid / aggregation</t>
        </is>
      </c>
      <c r="B71" s="2" t="inlineStr">
        <is>
          <t>cogs_plaid</t>
        </is>
      </c>
      <c r="C71" s="14">
        <f>(((C49*Assumptions!$F$75)+(C50*Assumptions!$F$78))+(C48*Assumptions!$F$79))</f>
        <v/>
      </c>
      <c r="D71" s="14">
        <f>(((D49*Assumptions!$F$75)+(D50*Assumptions!$F$78))+(D48*Assumptions!$F$79))</f>
        <v/>
      </c>
      <c r="E71" s="14">
        <f>(((E49*Assumptions!$F$75)+(E50*Assumptions!$F$78))+(E48*Assumptions!$F$79))</f>
        <v/>
      </c>
      <c r="F71" s="14">
        <f>(((F49*Assumptions!$F$75)+(F50*Assumptions!$F$78))+(F48*Assumptions!$F$79))</f>
        <v/>
      </c>
      <c r="G71" s="14">
        <f>(((G49*Assumptions!$F$75)+(G50*Assumptions!$F$78))+(G48*Assumptions!$F$79))</f>
        <v/>
      </c>
      <c r="H71" s="14">
        <f>(((H49*Assumptions!$F$75)+(H50*Assumptions!$F$78))+(H48*Assumptions!$F$79))</f>
        <v/>
      </c>
      <c r="I71" s="14">
        <f>(((I49*Assumptions!$F$75)+(I50*Assumptions!$F$78))+(I48*Assumptions!$F$79))</f>
        <v/>
      </c>
      <c r="J71" s="14">
        <f>(((J49*Assumptions!$F$75)+(J50*Assumptions!$F$78))+(J48*Assumptions!$F$79))</f>
        <v/>
      </c>
      <c r="K71" s="14">
        <f>(((K49*Assumptions!$F$75)+(K50*Assumptions!$F$78))+(K48*Assumptions!$F$79))</f>
        <v/>
      </c>
      <c r="L71" s="14">
        <f>(((L49*Assumptions!$F$75)+(L50*Assumptions!$F$78))+(L48*Assumptions!$F$79))</f>
        <v/>
      </c>
      <c r="M71" s="14">
        <f>(((M49*Assumptions!$F$75)+(M50*Assumptions!$F$78))+(M48*Assumptions!$F$79))</f>
        <v/>
      </c>
      <c r="N71" s="14">
        <f>(((N49*Assumptions!$F$75)+(N50*Assumptions!$F$78))+(N48*Assumptions!$F$79))</f>
        <v/>
      </c>
      <c r="O71" s="14">
        <f>(((O49*Assumptions!$F$75)+(O50*Assumptions!$F$78))+(O48*Assumptions!$F$79))</f>
        <v/>
      </c>
      <c r="P71" s="14">
        <f>(((P49*Assumptions!$F$75)+(P50*Assumptions!$F$78))+(P48*Assumptions!$F$79))</f>
        <v/>
      </c>
      <c r="Q71" s="14">
        <f>(((Q49*Assumptions!$F$75)+(Q50*Assumptions!$F$78))+(Q48*Assumptions!$F$79))</f>
        <v/>
      </c>
      <c r="R71" s="14">
        <f>(((R49*Assumptions!$F$75)+(R50*Assumptions!$F$78))+(R48*Assumptions!$F$79))</f>
        <v/>
      </c>
      <c r="S71" s="14">
        <f>(((S49*Assumptions!$F$75)+(S50*Assumptions!$F$78))+(S48*Assumptions!$F$79))</f>
        <v/>
      </c>
      <c r="T71" s="14">
        <f>(((T49*Assumptions!$F$75)+(T50*Assumptions!$F$78))+(T48*Assumptions!$F$79))</f>
        <v/>
      </c>
      <c r="U71" s="14">
        <f>(((U49*Assumptions!$F$75)+(U50*Assumptions!$F$78))+(U48*Assumptions!$F$79))</f>
        <v/>
      </c>
      <c r="V71" s="14">
        <f>(((V49*Assumptions!$F$75)+(V50*Assumptions!$F$78))+(V48*Assumptions!$F$79))</f>
        <v/>
      </c>
      <c r="W71" s="14">
        <f>(((W49*Assumptions!$F$75)+(W50*Assumptions!$F$78))+(W48*Assumptions!$F$79))</f>
        <v/>
      </c>
      <c r="X71" s="14">
        <f>(((X49*Assumptions!$F$75)+(X50*Assumptions!$F$78))+(X48*Assumptions!$F$79))</f>
        <v/>
      </c>
      <c r="Y71" s="14">
        <f>(((Y49*Assumptions!$F$75)+(Y50*Assumptions!$F$78))+(Y48*Assumptions!$F$79))</f>
        <v/>
      </c>
      <c r="Z71" s="14">
        <f>(((Z49*Assumptions!$F$75)+(Z50*Assumptions!$F$78))+(Z48*Assumptions!$F$79))</f>
        <v/>
      </c>
      <c r="AA71" s="14">
        <f>(((AA49*Assumptions!$F$75)+(AA50*Assumptions!$F$78))+(AA48*Assumptions!$F$79))</f>
        <v/>
      </c>
      <c r="AB71" s="14">
        <f>(((AB49*Assumptions!$F$75)+(AB50*Assumptions!$F$78))+(AB48*Assumptions!$F$79))</f>
        <v/>
      </c>
      <c r="AC71" s="14">
        <f>(((AC49*Assumptions!$F$75)+(AC50*Assumptions!$F$78))+(AC48*Assumptions!$F$79))</f>
        <v/>
      </c>
      <c r="AD71" s="14">
        <f>(((AD49*Assumptions!$F$75)+(AD50*Assumptions!$F$78))+(AD48*Assumptions!$F$79))</f>
        <v/>
      </c>
      <c r="AE71" s="14">
        <f>(((AE49*Assumptions!$F$75)+(AE50*Assumptions!$F$78))+(AE48*Assumptions!$F$79))</f>
        <v/>
      </c>
      <c r="AF71" s="14">
        <f>(((AF49*Assumptions!$F$75)+(AF50*Assumptions!$F$78))+(AF48*Assumptions!$F$79))</f>
        <v/>
      </c>
      <c r="AG71" s="14">
        <f>(((AG49*Assumptions!$F$75)+(AG50*Assumptions!$F$78))+(AG48*Assumptions!$F$79))</f>
        <v/>
      </c>
      <c r="AH71" s="14">
        <f>(((AH49*Assumptions!$F$75)+(AH50*Assumptions!$F$78))+(AH48*Assumptions!$F$79))</f>
        <v/>
      </c>
      <c r="AI71" s="14">
        <f>(((AI49*Assumptions!$F$75)+(AI50*Assumptions!$F$78))+(AI48*Assumptions!$F$79))</f>
        <v/>
      </c>
      <c r="AJ71" s="14">
        <f>(((AJ49*Assumptions!$F$75)+(AJ50*Assumptions!$F$78))+(AJ48*Assumptions!$F$79))</f>
        <v/>
      </c>
      <c r="AK71" s="14">
        <f>(((AK49*Assumptions!$F$75)+(AK50*Assumptions!$F$78))+(AK48*Assumptions!$F$79))</f>
        <v/>
      </c>
      <c r="AL71" s="14">
        <f>(((AL49*Assumptions!$F$75)+(AL50*Assumptions!$F$78))+(AL48*Assumptions!$F$79))</f>
        <v/>
      </c>
    </row>
    <row r="72">
      <c r="A72" s="6" t="inlineStr">
        <is>
          <t>Hosting / Supabase / Expo</t>
        </is>
      </c>
      <c r="B72" s="2" t="inlineStr">
        <is>
          <t>cogs_hosting</t>
        </is>
      </c>
      <c r="C72" s="14">
        <f>(Assumptions!$F$80+(Assumptions!$F$81*C36))</f>
        <v/>
      </c>
      <c r="D72" s="14">
        <f>(Assumptions!$F$80+(Assumptions!$F$81*D36))</f>
        <v/>
      </c>
      <c r="E72" s="14">
        <f>(Assumptions!$F$80+(Assumptions!$F$81*E36))</f>
        <v/>
      </c>
      <c r="F72" s="14">
        <f>(Assumptions!$F$80+(Assumptions!$F$81*F36))</f>
        <v/>
      </c>
      <c r="G72" s="14">
        <f>(Assumptions!$F$80+(Assumptions!$F$81*G36))</f>
        <v/>
      </c>
      <c r="H72" s="14">
        <f>(Assumptions!$F$80+(Assumptions!$F$81*H36))</f>
        <v/>
      </c>
      <c r="I72" s="14">
        <f>(Assumptions!$F$80+(Assumptions!$F$81*I36))</f>
        <v/>
      </c>
      <c r="J72" s="14">
        <f>(Assumptions!$F$80+(Assumptions!$F$81*J36))</f>
        <v/>
      </c>
      <c r="K72" s="14">
        <f>(Assumptions!$F$80+(Assumptions!$F$81*K36))</f>
        <v/>
      </c>
      <c r="L72" s="14">
        <f>(Assumptions!$F$80+(Assumptions!$F$81*L36))</f>
        <v/>
      </c>
      <c r="M72" s="14">
        <f>(Assumptions!$F$80+(Assumptions!$F$81*M36))</f>
        <v/>
      </c>
      <c r="N72" s="14">
        <f>(Assumptions!$F$80+(Assumptions!$F$81*N36))</f>
        <v/>
      </c>
      <c r="O72" s="14">
        <f>(Assumptions!$F$80+(Assumptions!$F$81*O36))</f>
        <v/>
      </c>
      <c r="P72" s="14">
        <f>(Assumptions!$F$80+(Assumptions!$F$81*P36))</f>
        <v/>
      </c>
      <c r="Q72" s="14">
        <f>(Assumptions!$F$80+(Assumptions!$F$81*Q36))</f>
        <v/>
      </c>
      <c r="R72" s="14">
        <f>(Assumptions!$F$80+(Assumptions!$F$81*R36))</f>
        <v/>
      </c>
      <c r="S72" s="14">
        <f>(Assumptions!$F$80+(Assumptions!$F$81*S36))</f>
        <v/>
      </c>
      <c r="T72" s="14">
        <f>(Assumptions!$F$80+(Assumptions!$F$81*T36))</f>
        <v/>
      </c>
      <c r="U72" s="14">
        <f>(Assumptions!$F$80+(Assumptions!$F$81*U36))</f>
        <v/>
      </c>
      <c r="V72" s="14">
        <f>(Assumptions!$F$80+(Assumptions!$F$81*V36))</f>
        <v/>
      </c>
      <c r="W72" s="14">
        <f>(Assumptions!$F$80+(Assumptions!$F$81*W36))</f>
        <v/>
      </c>
      <c r="X72" s="14">
        <f>(Assumptions!$F$80+(Assumptions!$F$81*X36))</f>
        <v/>
      </c>
      <c r="Y72" s="14">
        <f>(Assumptions!$F$80+(Assumptions!$F$81*Y36))</f>
        <v/>
      </c>
      <c r="Z72" s="14">
        <f>(Assumptions!$F$80+(Assumptions!$F$81*Z36))</f>
        <v/>
      </c>
      <c r="AA72" s="14">
        <f>(Assumptions!$F$80+(Assumptions!$F$81*AA36))</f>
        <v/>
      </c>
      <c r="AB72" s="14">
        <f>(Assumptions!$F$80+(Assumptions!$F$81*AB36))</f>
        <v/>
      </c>
      <c r="AC72" s="14">
        <f>(Assumptions!$F$80+(Assumptions!$F$81*AC36))</f>
        <v/>
      </c>
      <c r="AD72" s="14">
        <f>(Assumptions!$F$80+(Assumptions!$F$81*AD36))</f>
        <v/>
      </c>
      <c r="AE72" s="14">
        <f>(Assumptions!$F$80+(Assumptions!$F$81*AE36))</f>
        <v/>
      </c>
      <c r="AF72" s="14">
        <f>(Assumptions!$F$80+(Assumptions!$F$81*AF36))</f>
        <v/>
      </c>
      <c r="AG72" s="14">
        <f>(Assumptions!$F$80+(Assumptions!$F$81*AG36))</f>
        <v/>
      </c>
      <c r="AH72" s="14">
        <f>(Assumptions!$F$80+(Assumptions!$F$81*AH36))</f>
        <v/>
      </c>
      <c r="AI72" s="14">
        <f>(Assumptions!$F$80+(Assumptions!$F$81*AI36))</f>
        <v/>
      </c>
      <c r="AJ72" s="14">
        <f>(Assumptions!$F$80+(Assumptions!$F$81*AJ36))</f>
        <v/>
      </c>
      <c r="AK72" s="14">
        <f>(Assumptions!$F$80+(Assumptions!$F$81*AK36))</f>
        <v/>
      </c>
      <c r="AL72" s="14">
        <f>(Assumptions!$F$80+(Assumptions!$F$81*AL36))</f>
        <v/>
      </c>
    </row>
    <row r="73">
      <c r="A73" s="6" t="inlineStr">
        <is>
          <t>LLM tutor tokens</t>
        </is>
      </c>
      <c r="B73" s="2" t="inlineStr">
        <is>
          <t>cogs_llm</t>
        </is>
      </c>
      <c r="C73" s="14">
        <f>IF(AND((Assumptions!$F$8=1),(C$2&gt;=Assumptions!$F$82)),((C29*Assumptions!$F$83)+(C35*Assumptions!$F$84)),0)</f>
        <v/>
      </c>
      <c r="D73" s="14">
        <f>IF(AND((Assumptions!$F$8=1),(D$2&gt;=Assumptions!$F$82)),((D29*Assumptions!$F$83)+(D35*Assumptions!$F$84)),0)</f>
        <v/>
      </c>
      <c r="E73" s="14">
        <f>IF(AND((Assumptions!$F$8=1),(E$2&gt;=Assumptions!$F$82)),((E29*Assumptions!$F$83)+(E35*Assumptions!$F$84)),0)</f>
        <v/>
      </c>
      <c r="F73" s="14">
        <f>IF(AND((Assumptions!$F$8=1),(F$2&gt;=Assumptions!$F$82)),((F29*Assumptions!$F$83)+(F35*Assumptions!$F$84)),0)</f>
        <v/>
      </c>
      <c r="G73" s="14">
        <f>IF(AND((Assumptions!$F$8=1),(G$2&gt;=Assumptions!$F$82)),((G29*Assumptions!$F$83)+(G35*Assumptions!$F$84)),0)</f>
        <v/>
      </c>
      <c r="H73" s="14">
        <f>IF(AND((Assumptions!$F$8=1),(H$2&gt;=Assumptions!$F$82)),((H29*Assumptions!$F$83)+(H35*Assumptions!$F$84)),0)</f>
        <v/>
      </c>
      <c r="I73" s="14">
        <f>IF(AND((Assumptions!$F$8=1),(I$2&gt;=Assumptions!$F$82)),((I29*Assumptions!$F$83)+(I35*Assumptions!$F$84)),0)</f>
        <v/>
      </c>
      <c r="J73" s="14">
        <f>IF(AND((Assumptions!$F$8=1),(J$2&gt;=Assumptions!$F$82)),((J29*Assumptions!$F$83)+(J35*Assumptions!$F$84)),0)</f>
        <v/>
      </c>
      <c r="K73" s="14">
        <f>IF(AND((Assumptions!$F$8=1),(K$2&gt;=Assumptions!$F$82)),((K29*Assumptions!$F$83)+(K35*Assumptions!$F$84)),0)</f>
        <v/>
      </c>
      <c r="L73" s="14">
        <f>IF(AND((Assumptions!$F$8=1),(L$2&gt;=Assumptions!$F$82)),((L29*Assumptions!$F$83)+(L35*Assumptions!$F$84)),0)</f>
        <v/>
      </c>
      <c r="M73" s="14">
        <f>IF(AND((Assumptions!$F$8=1),(M$2&gt;=Assumptions!$F$82)),((M29*Assumptions!$F$83)+(M35*Assumptions!$F$84)),0)</f>
        <v/>
      </c>
      <c r="N73" s="14">
        <f>IF(AND((Assumptions!$F$8=1),(N$2&gt;=Assumptions!$F$82)),((N29*Assumptions!$F$83)+(N35*Assumptions!$F$84)),0)</f>
        <v/>
      </c>
      <c r="O73" s="14">
        <f>IF(AND((Assumptions!$F$8=1),(O$2&gt;=Assumptions!$F$82)),((O29*Assumptions!$F$83)+(O35*Assumptions!$F$84)),0)</f>
        <v/>
      </c>
      <c r="P73" s="14">
        <f>IF(AND((Assumptions!$F$8=1),(P$2&gt;=Assumptions!$F$82)),((P29*Assumptions!$F$83)+(P35*Assumptions!$F$84)),0)</f>
        <v/>
      </c>
      <c r="Q73" s="14">
        <f>IF(AND((Assumptions!$F$8=1),(Q$2&gt;=Assumptions!$F$82)),((Q29*Assumptions!$F$83)+(Q35*Assumptions!$F$84)),0)</f>
        <v/>
      </c>
      <c r="R73" s="14">
        <f>IF(AND((Assumptions!$F$8=1),(R$2&gt;=Assumptions!$F$82)),((R29*Assumptions!$F$83)+(R35*Assumptions!$F$84)),0)</f>
        <v/>
      </c>
      <c r="S73" s="14">
        <f>IF(AND((Assumptions!$F$8=1),(S$2&gt;=Assumptions!$F$82)),((S29*Assumptions!$F$83)+(S35*Assumptions!$F$84)),0)</f>
        <v/>
      </c>
      <c r="T73" s="14">
        <f>IF(AND((Assumptions!$F$8=1),(T$2&gt;=Assumptions!$F$82)),((T29*Assumptions!$F$83)+(T35*Assumptions!$F$84)),0)</f>
        <v/>
      </c>
      <c r="U73" s="14">
        <f>IF(AND((Assumptions!$F$8=1),(U$2&gt;=Assumptions!$F$82)),((U29*Assumptions!$F$83)+(U35*Assumptions!$F$84)),0)</f>
        <v/>
      </c>
      <c r="V73" s="14">
        <f>IF(AND((Assumptions!$F$8=1),(V$2&gt;=Assumptions!$F$82)),((V29*Assumptions!$F$83)+(V35*Assumptions!$F$84)),0)</f>
        <v/>
      </c>
      <c r="W73" s="14">
        <f>IF(AND((Assumptions!$F$8=1),(W$2&gt;=Assumptions!$F$82)),((W29*Assumptions!$F$83)+(W35*Assumptions!$F$84)),0)</f>
        <v/>
      </c>
      <c r="X73" s="14">
        <f>IF(AND((Assumptions!$F$8=1),(X$2&gt;=Assumptions!$F$82)),((X29*Assumptions!$F$83)+(X35*Assumptions!$F$84)),0)</f>
        <v/>
      </c>
      <c r="Y73" s="14">
        <f>IF(AND((Assumptions!$F$8=1),(Y$2&gt;=Assumptions!$F$82)),((Y29*Assumptions!$F$83)+(Y35*Assumptions!$F$84)),0)</f>
        <v/>
      </c>
      <c r="Z73" s="14">
        <f>IF(AND((Assumptions!$F$8=1),(Z$2&gt;=Assumptions!$F$82)),((Z29*Assumptions!$F$83)+(Z35*Assumptions!$F$84)),0)</f>
        <v/>
      </c>
      <c r="AA73" s="14">
        <f>IF(AND((Assumptions!$F$8=1),(AA$2&gt;=Assumptions!$F$82)),((AA29*Assumptions!$F$83)+(AA35*Assumptions!$F$84)),0)</f>
        <v/>
      </c>
      <c r="AB73" s="14">
        <f>IF(AND((Assumptions!$F$8=1),(AB$2&gt;=Assumptions!$F$82)),((AB29*Assumptions!$F$83)+(AB35*Assumptions!$F$84)),0)</f>
        <v/>
      </c>
      <c r="AC73" s="14">
        <f>IF(AND((Assumptions!$F$8=1),(AC$2&gt;=Assumptions!$F$82)),((AC29*Assumptions!$F$83)+(AC35*Assumptions!$F$84)),0)</f>
        <v/>
      </c>
      <c r="AD73" s="14">
        <f>IF(AND((Assumptions!$F$8=1),(AD$2&gt;=Assumptions!$F$82)),((AD29*Assumptions!$F$83)+(AD35*Assumptions!$F$84)),0)</f>
        <v/>
      </c>
      <c r="AE73" s="14">
        <f>IF(AND((Assumptions!$F$8=1),(AE$2&gt;=Assumptions!$F$82)),((AE29*Assumptions!$F$83)+(AE35*Assumptions!$F$84)),0)</f>
        <v/>
      </c>
      <c r="AF73" s="14">
        <f>IF(AND((Assumptions!$F$8=1),(AF$2&gt;=Assumptions!$F$82)),((AF29*Assumptions!$F$83)+(AF35*Assumptions!$F$84)),0)</f>
        <v/>
      </c>
      <c r="AG73" s="14">
        <f>IF(AND((Assumptions!$F$8=1),(AG$2&gt;=Assumptions!$F$82)),((AG29*Assumptions!$F$83)+(AG35*Assumptions!$F$84)),0)</f>
        <v/>
      </c>
      <c r="AH73" s="14">
        <f>IF(AND((Assumptions!$F$8=1),(AH$2&gt;=Assumptions!$F$82)),((AH29*Assumptions!$F$83)+(AH35*Assumptions!$F$84)),0)</f>
        <v/>
      </c>
      <c r="AI73" s="14">
        <f>IF(AND((Assumptions!$F$8=1),(AI$2&gt;=Assumptions!$F$82)),((AI29*Assumptions!$F$83)+(AI35*Assumptions!$F$84)),0)</f>
        <v/>
      </c>
      <c r="AJ73" s="14">
        <f>IF(AND((Assumptions!$F$8=1),(AJ$2&gt;=Assumptions!$F$82)),((AJ29*Assumptions!$F$83)+(AJ35*Assumptions!$F$84)),0)</f>
        <v/>
      </c>
      <c r="AK73" s="14">
        <f>IF(AND((Assumptions!$F$8=1),(AK$2&gt;=Assumptions!$F$82)),((AK29*Assumptions!$F$83)+(AK35*Assumptions!$F$84)),0)</f>
        <v/>
      </c>
      <c r="AL73" s="14">
        <f>IF(AND((Assumptions!$F$8=1),(AL$2&gt;=Assumptions!$F$82)),((AL29*Assumptions!$F$83)+(AL35*Assumptions!$F$84)),0)</f>
        <v/>
      </c>
    </row>
    <row r="74">
      <c r="A74" s="6" t="inlineStr">
        <is>
          <t>RevenueCat (1% of MTR above $2.5k)</t>
        </is>
      </c>
      <c r="B74" s="2" t="inlineStr">
        <is>
          <t>cogs_rc</t>
        </is>
      </c>
      <c r="C74" s="14">
        <f>(MAX(0,(C30-Assumptions!$F$85))*Assumptions!$F$86)</f>
        <v/>
      </c>
      <c r="D74" s="14">
        <f>(MAX(0,(D30-Assumptions!$F$85))*Assumptions!$F$86)</f>
        <v/>
      </c>
      <c r="E74" s="14">
        <f>(MAX(0,(E30-Assumptions!$F$85))*Assumptions!$F$86)</f>
        <v/>
      </c>
      <c r="F74" s="14">
        <f>(MAX(0,(F30-Assumptions!$F$85))*Assumptions!$F$86)</f>
        <v/>
      </c>
      <c r="G74" s="14">
        <f>(MAX(0,(G30-Assumptions!$F$85))*Assumptions!$F$86)</f>
        <v/>
      </c>
      <c r="H74" s="14">
        <f>(MAX(0,(H30-Assumptions!$F$85))*Assumptions!$F$86)</f>
        <v/>
      </c>
      <c r="I74" s="14">
        <f>(MAX(0,(I30-Assumptions!$F$85))*Assumptions!$F$86)</f>
        <v/>
      </c>
      <c r="J74" s="14">
        <f>(MAX(0,(J30-Assumptions!$F$85))*Assumptions!$F$86)</f>
        <v/>
      </c>
      <c r="K74" s="14">
        <f>(MAX(0,(K30-Assumptions!$F$85))*Assumptions!$F$86)</f>
        <v/>
      </c>
      <c r="L74" s="14">
        <f>(MAX(0,(L30-Assumptions!$F$85))*Assumptions!$F$86)</f>
        <v/>
      </c>
      <c r="M74" s="14">
        <f>(MAX(0,(M30-Assumptions!$F$85))*Assumptions!$F$86)</f>
        <v/>
      </c>
      <c r="N74" s="14">
        <f>(MAX(0,(N30-Assumptions!$F$85))*Assumptions!$F$86)</f>
        <v/>
      </c>
      <c r="O74" s="14">
        <f>(MAX(0,(O30-Assumptions!$F$85))*Assumptions!$F$86)</f>
        <v/>
      </c>
      <c r="P74" s="14">
        <f>(MAX(0,(P30-Assumptions!$F$85))*Assumptions!$F$86)</f>
        <v/>
      </c>
      <c r="Q74" s="14">
        <f>(MAX(0,(Q30-Assumptions!$F$85))*Assumptions!$F$86)</f>
        <v/>
      </c>
      <c r="R74" s="14">
        <f>(MAX(0,(R30-Assumptions!$F$85))*Assumptions!$F$86)</f>
        <v/>
      </c>
      <c r="S74" s="14">
        <f>(MAX(0,(S30-Assumptions!$F$85))*Assumptions!$F$86)</f>
        <v/>
      </c>
      <c r="T74" s="14">
        <f>(MAX(0,(T30-Assumptions!$F$85))*Assumptions!$F$86)</f>
        <v/>
      </c>
      <c r="U74" s="14">
        <f>(MAX(0,(U30-Assumptions!$F$85))*Assumptions!$F$86)</f>
        <v/>
      </c>
      <c r="V74" s="14">
        <f>(MAX(0,(V30-Assumptions!$F$85))*Assumptions!$F$86)</f>
        <v/>
      </c>
      <c r="W74" s="14">
        <f>(MAX(0,(W30-Assumptions!$F$85))*Assumptions!$F$86)</f>
        <v/>
      </c>
      <c r="X74" s="14">
        <f>(MAX(0,(X30-Assumptions!$F$85))*Assumptions!$F$86)</f>
        <v/>
      </c>
      <c r="Y74" s="14">
        <f>(MAX(0,(Y30-Assumptions!$F$85))*Assumptions!$F$86)</f>
        <v/>
      </c>
      <c r="Z74" s="14">
        <f>(MAX(0,(Z30-Assumptions!$F$85))*Assumptions!$F$86)</f>
        <v/>
      </c>
      <c r="AA74" s="14">
        <f>(MAX(0,(AA30-Assumptions!$F$85))*Assumptions!$F$86)</f>
        <v/>
      </c>
      <c r="AB74" s="14">
        <f>(MAX(0,(AB30-Assumptions!$F$85))*Assumptions!$F$86)</f>
        <v/>
      </c>
      <c r="AC74" s="14">
        <f>(MAX(0,(AC30-Assumptions!$F$85))*Assumptions!$F$86)</f>
        <v/>
      </c>
      <c r="AD74" s="14">
        <f>(MAX(0,(AD30-Assumptions!$F$85))*Assumptions!$F$86)</f>
        <v/>
      </c>
      <c r="AE74" s="14">
        <f>(MAX(0,(AE30-Assumptions!$F$85))*Assumptions!$F$86)</f>
        <v/>
      </c>
      <c r="AF74" s="14">
        <f>(MAX(0,(AF30-Assumptions!$F$85))*Assumptions!$F$86)</f>
        <v/>
      </c>
      <c r="AG74" s="14">
        <f>(MAX(0,(AG30-Assumptions!$F$85))*Assumptions!$F$86)</f>
        <v/>
      </c>
      <c r="AH74" s="14">
        <f>(MAX(0,(AH30-Assumptions!$F$85))*Assumptions!$F$86)</f>
        <v/>
      </c>
      <c r="AI74" s="14">
        <f>(MAX(0,(AI30-Assumptions!$F$85))*Assumptions!$F$86)</f>
        <v/>
      </c>
      <c r="AJ74" s="14">
        <f>(MAX(0,(AJ30-Assumptions!$F$85))*Assumptions!$F$86)</f>
        <v/>
      </c>
      <c r="AK74" s="14">
        <f>(MAX(0,(AK30-Assumptions!$F$85))*Assumptions!$F$86)</f>
        <v/>
      </c>
      <c r="AL74" s="14">
        <f>(MAX(0,(AL30-Assumptions!$F$85))*Assumptions!$F$86)</f>
        <v/>
      </c>
    </row>
    <row r="75">
      <c r="A75" s="6" t="inlineStr">
        <is>
          <t>B2B card processing</t>
        </is>
      </c>
      <c r="B75" s="2" t="inlineStr">
        <is>
          <t>cogs_b2b</t>
        </is>
      </c>
      <c r="C75" s="14">
        <f>(C66*Assumptions!$F$68)</f>
        <v/>
      </c>
      <c r="D75" s="14">
        <f>(D66*Assumptions!$F$68)</f>
        <v/>
      </c>
      <c r="E75" s="14">
        <f>(E66*Assumptions!$F$68)</f>
        <v/>
      </c>
      <c r="F75" s="14">
        <f>(F66*Assumptions!$F$68)</f>
        <v/>
      </c>
      <c r="G75" s="14">
        <f>(G66*Assumptions!$F$68)</f>
        <v/>
      </c>
      <c r="H75" s="14">
        <f>(H66*Assumptions!$F$68)</f>
        <v/>
      </c>
      <c r="I75" s="14">
        <f>(I66*Assumptions!$F$68)</f>
        <v/>
      </c>
      <c r="J75" s="14">
        <f>(J66*Assumptions!$F$68)</f>
        <v/>
      </c>
      <c r="K75" s="14">
        <f>(K66*Assumptions!$F$68)</f>
        <v/>
      </c>
      <c r="L75" s="14">
        <f>(L66*Assumptions!$F$68)</f>
        <v/>
      </c>
      <c r="M75" s="14">
        <f>(M66*Assumptions!$F$68)</f>
        <v/>
      </c>
      <c r="N75" s="14">
        <f>(N66*Assumptions!$F$68)</f>
        <v/>
      </c>
      <c r="O75" s="14">
        <f>(O66*Assumptions!$F$68)</f>
        <v/>
      </c>
      <c r="P75" s="14">
        <f>(P66*Assumptions!$F$68)</f>
        <v/>
      </c>
      <c r="Q75" s="14">
        <f>(Q66*Assumptions!$F$68)</f>
        <v/>
      </c>
      <c r="R75" s="14">
        <f>(R66*Assumptions!$F$68)</f>
        <v/>
      </c>
      <c r="S75" s="14">
        <f>(S66*Assumptions!$F$68)</f>
        <v/>
      </c>
      <c r="T75" s="14">
        <f>(T66*Assumptions!$F$68)</f>
        <v/>
      </c>
      <c r="U75" s="14">
        <f>(U66*Assumptions!$F$68)</f>
        <v/>
      </c>
      <c r="V75" s="14">
        <f>(V66*Assumptions!$F$68)</f>
        <v/>
      </c>
      <c r="W75" s="14">
        <f>(W66*Assumptions!$F$68)</f>
        <v/>
      </c>
      <c r="X75" s="14">
        <f>(X66*Assumptions!$F$68)</f>
        <v/>
      </c>
      <c r="Y75" s="14">
        <f>(Y66*Assumptions!$F$68)</f>
        <v/>
      </c>
      <c r="Z75" s="14">
        <f>(Z66*Assumptions!$F$68)</f>
        <v/>
      </c>
      <c r="AA75" s="14">
        <f>(AA66*Assumptions!$F$68)</f>
        <v/>
      </c>
      <c r="AB75" s="14">
        <f>(AB66*Assumptions!$F$68)</f>
        <v/>
      </c>
      <c r="AC75" s="14">
        <f>(AC66*Assumptions!$F$68)</f>
        <v/>
      </c>
      <c r="AD75" s="14">
        <f>(AD66*Assumptions!$F$68)</f>
        <v/>
      </c>
      <c r="AE75" s="14">
        <f>(AE66*Assumptions!$F$68)</f>
        <v/>
      </c>
      <c r="AF75" s="14">
        <f>(AF66*Assumptions!$F$68)</f>
        <v/>
      </c>
      <c r="AG75" s="14">
        <f>(AG66*Assumptions!$F$68)</f>
        <v/>
      </c>
      <c r="AH75" s="14">
        <f>(AH66*Assumptions!$F$68)</f>
        <v/>
      </c>
      <c r="AI75" s="14">
        <f>(AI66*Assumptions!$F$68)</f>
        <v/>
      </c>
      <c r="AJ75" s="14">
        <f>(AJ66*Assumptions!$F$68)</f>
        <v/>
      </c>
      <c r="AK75" s="14">
        <f>(AK66*Assumptions!$F$68)</f>
        <v/>
      </c>
      <c r="AL75" s="14">
        <f>(AL66*Assumptions!$F$68)</f>
        <v/>
      </c>
    </row>
    <row r="76">
      <c r="A76" s="21" t="inlineStr">
        <is>
          <t>Total COGS</t>
        </is>
      </c>
      <c r="B76" s="2" t="inlineStr">
        <is>
          <t>cogs_total</t>
        </is>
      </c>
      <c r="C76" s="23">
        <f>(((((C70+C71)+C72)+C73)+C74)+C75)</f>
        <v/>
      </c>
      <c r="D76" s="23">
        <f>(((((D70+D71)+D72)+D73)+D74)+D75)</f>
        <v/>
      </c>
      <c r="E76" s="23">
        <f>(((((E70+E71)+E72)+E73)+E74)+E75)</f>
        <v/>
      </c>
      <c r="F76" s="23">
        <f>(((((F70+F71)+F72)+F73)+F74)+F75)</f>
        <v/>
      </c>
      <c r="G76" s="23">
        <f>(((((G70+G71)+G72)+G73)+G74)+G75)</f>
        <v/>
      </c>
      <c r="H76" s="23">
        <f>(((((H70+H71)+H72)+H73)+H74)+H75)</f>
        <v/>
      </c>
      <c r="I76" s="23">
        <f>(((((I70+I71)+I72)+I73)+I74)+I75)</f>
        <v/>
      </c>
      <c r="J76" s="23">
        <f>(((((J70+J71)+J72)+J73)+J74)+J75)</f>
        <v/>
      </c>
      <c r="K76" s="23">
        <f>(((((K70+K71)+K72)+K73)+K74)+K75)</f>
        <v/>
      </c>
      <c r="L76" s="23">
        <f>(((((L70+L71)+L72)+L73)+L74)+L75)</f>
        <v/>
      </c>
      <c r="M76" s="23">
        <f>(((((M70+M71)+M72)+M73)+M74)+M75)</f>
        <v/>
      </c>
      <c r="N76" s="23">
        <f>(((((N70+N71)+N72)+N73)+N74)+N75)</f>
        <v/>
      </c>
      <c r="O76" s="23">
        <f>(((((O70+O71)+O72)+O73)+O74)+O75)</f>
        <v/>
      </c>
      <c r="P76" s="23">
        <f>(((((P70+P71)+P72)+P73)+P74)+P75)</f>
        <v/>
      </c>
      <c r="Q76" s="23">
        <f>(((((Q70+Q71)+Q72)+Q73)+Q74)+Q75)</f>
        <v/>
      </c>
      <c r="R76" s="23">
        <f>(((((R70+R71)+R72)+R73)+R74)+R75)</f>
        <v/>
      </c>
      <c r="S76" s="23">
        <f>(((((S70+S71)+S72)+S73)+S74)+S75)</f>
        <v/>
      </c>
      <c r="T76" s="23">
        <f>(((((T70+T71)+T72)+T73)+T74)+T75)</f>
        <v/>
      </c>
      <c r="U76" s="23">
        <f>(((((U70+U71)+U72)+U73)+U74)+U75)</f>
        <v/>
      </c>
      <c r="V76" s="23">
        <f>(((((V70+V71)+V72)+V73)+V74)+V75)</f>
        <v/>
      </c>
      <c r="W76" s="23">
        <f>(((((W70+W71)+W72)+W73)+W74)+W75)</f>
        <v/>
      </c>
      <c r="X76" s="23">
        <f>(((((X70+X71)+X72)+X73)+X74)+X75)</f>
        <v/>
      </c>
      <c r="Y76" s="23">
        <f>(((((Y70+Y71)+Y72)+Y73)+Y74)+Y75)</f>
        <v/>
      </c>
      <c r="Z76" s="23">
        <f>(((((Z70+Z71)+Z72)+Z73)+Z74)+Z75)</f>
        <v/>
      </c>
      <c r="AA76" s="23">
        <f>(((((AA70+AA71)+AA72)+AA73)+AA74)+AA75)</f>
        <v/>
      </c>
      <c r="AB76" s="23">
        <f>(((((AB70+AB71)+AB72)+AB73)+AB74)+AB75)</f>
        <v/>
      </c>
      <c r="AC76" s="23">
        <f>(((((AC70+AC71)+AC72)+AC73)+AC74)+AC75)</f>
        <v/>
      </c>
      <c r="AD76" s="23">
        <f>(((((AD70+AD71)+AD72)+AD73)+AD74)+AD75)</f>
        <v/>
      </c>
      <c r="AE76" s="23">
        <f>(((((AE70+AE71)+AE72)+AE73)+AE74)+AE75)</f>
        <v/>
      </c>
      <c r="AF76" s="23">
        <f>(((((AF70+AF71)+AF72)+AF73)+AF74)+AF75)</f>
        <v/>
      </c>
      <c r="AG76" s="23">
        <f>(((((AG70+AG71)+AG72)+AG73)+AG74)+AG75)</f>
        <v/>
      </c>
      <c r="AH76" s="23">
        <f>(((((AH70+AH71)+AH72)+AH73)+AH74)+AH75)</f>
        <v/>
      </c>
      <c r="AI76" s="23">
        <f>(((((AI70+AI71)+AI72)+AI73)+AI74)+AI75)</f>
        <v/>
      </c>
      <c r="AJ76" s="23">
        <f>(((((AJ70+AJ71)+AJ72)+AJ73)+AJ74)+AJ75)</f>
        <v/>
      </c>
      <c r="AK76" s="23">
        <f>(((((AK70+AK71)+AK72)+AK73)+AK74)+AK75)</f>
        <v/>
      </c>
      <c r="AL76" s="23">
        <f>(((((AL70+AL71)+AL72)+AL73)+AL74)+AL75)</f>
        <v/>
      </c>
    </row>
    <row r="77">
      <c r="A77" s="21" t="inlineStr">
        <is>
          <t>GROSS PROFIT</t>
        </is>
      </c>
      <c r="B77" s="2" t="inlineStr">
        <is>
          <t>gross_profit</t>
        </is>
      </c>
      <c r="C77" s="23">
        <f>(C67-C76)</f>
        <v/>
      </c>
      <c r="D77" s="23">
        <f>(D67-D76)</f>
        <v/>
      </c>
      <c r="E77" s="23">
        <f>(E67-E76)</f>
        <v/>
      </c>
      <c r="F77" s="23">
        <f>(F67-F76)</f>
        <v/>
      </c>
      <c r="G77" s="23">
        <f>(G67-G76)</f>
        <v/>
      </c>
      <c r="H77" s="23">
        <f>(H67-H76)</f>
        <v/>
      </c>
      <c r="I77" s="23">
        <f>(I67-I76)</f>
        <v/>
      </c>
      <c r="J77" s="23">
        <f>(J67-J76)</f>
        <v/>
      </c>
      <c r="K77" s="23">
        <f>(K67-K76)</f>
        <v/>
      </c>
      <c r="L77" s="23">
        <f>(L67-L76)</f>
        <v/>
      </c>
      <c r="M77" s="23">
        <f>(M67-M76)</f>
        <v/>
      </c>
      <c r="N77" s="23">
        <f>(N67-N76)</f>
        <v/>
      </c>
      <c r="O77" s="23">
        <f>(O67-O76)</f>
        <v/>
      </c>
      <c r="P77" s="23">
        <f>(P67-P76)</f>
        <v/>
      </c>
      <c r="Q77" s="23">
        <f>(Q67-Q76)</f>
        <v/>
      </c>
      <c r="R77" s="23">
        <f>(R67-R76)</f>
        <v/>
      </c>
      <c r="S77" s="23">
        <f>(S67-S76)</f>
        <v/>
      </c>
      <c r="T77" s="23">
        <f>(T67-T76)</f>
        <v/>
      </c>
      <c r="U77" s="23">
        <f>(U67-U76)</f>
        <v/>
      </c>
      <c r="V77" s="23">
        <f>(V67-V76)</f>
        <v/>
      </c>
      <c r="W77" s="23">
        <f>(W67-W76)</f>
        <v/>
      </c>
      <c r="X77" s="23">
        <f>(X67-X76)</f>
        <v/>
      </c>
      <c r="Y77" s="23">
        <f>(Y67-Y76)</f>
        <v/>
      </c>
      <c r="Z77" s="23">
        <f>(Z67-Z76)</f>
        <v/>
      </c>
      <c r="AA77" s="23">
        <f>(AA67-AA76)</f>
        <v/>
      </c>
      <c r="AB77" s="23">
        <f>(AB67-AB76)</f>
        <v/>
      </c>
      <c r="AC77" s="23">
        <f>(AC67-AC76)</f>
        <v/>
      </c>
      <c r="AD77" s="23">
        <f>(AD67-AD76)</f>
        <v/>
      </c>
      <c r="AE77" s="23">
        <f>(AE67-AE76)</f>
        <v/>
      </c>
      <c r="AF77" s="23">
        <f>(AF67-AF76)</f>
        <v/>
      </c>
      <c r="AG77" s="23">
        <f>(AG67-AG76)</f>
        <v/>
      </c>
      <c r="AH77" s="23">
        <f>(AH67-AH76)</f>
        <v/>
      </c>
      <c r="AI77" s="23">
        <f>(AI67-AI76)</f>
        <v/>
      </c>
      <c r="AJ77" s="23">
        <f>(AJ67-AJ76)</f>
        <v/>
      </c>
      <c r="AK77" s="23">
        <f>(AK67-AK76)</f>
        <v/>
      </c>
      <c r="AL77" s="23">
        <f>(AL67-AL76)</f>
        <v/>
      </c>
    </row>
    <row r="78">
      <c r="A78" s="6" t="inlineStr">
        <is>
          <t>Gross margin</t>
        </is>
      </c>
      <c r="B78" s="2" t="inlineStr">
        <is>
          <t>gross_margin</t>
        </is>
      </c>
      <c r="C78" s="16">
        <f>IF(C67=0,0,C77/C67)</f>
        <v/>
      </c>
      <c r="D78" s="16">
        <f>IF(D67=0,0,D77/D67)</f>
        <v/>
      </c>
      <c r="E78" s="16">
        <f>IF(E67=0,0,E77/E67)</f>
        <v/>
      </c>
      <c r="F78" s="16">
        <f>IF(F67=0,0,F77/F67)</f>
        <v/>
      </c>
      <c r="G78" s="16">
        <f>IF(G67=0,0,G77/G67)</f>
        <v/>
      </c>
      <c r="H78" s="16">
        <f>IF(H67=0,0,H77/H67)</f>
        <v/>
      </c>
      <c r="I78" s="16">
        <f>IF(I67=0,0,I77/I67)</f>
        <v/>
      </c>
      <c r="J78" s="16">
        <f>IF(J67=0,0,J77/J67)</f>
        <v/>
      </c>
      <c r="K78" s="16">
        <f>IF(K67=0,0,K77/K67)</f>
        <v/>
      </c>
      <c r="L78" s="16">
        <f>IF(L67=0,0,L77/L67)</f>
        <v/>
      </c>
      <c r="M78" s="16">
        <f>IF(M67=0,0,M77/M67)</f>
        <v/>
      </c>
      <c r="N78" s="16">
        <f>IF(N67=0,0,N77/N67)</f>
        <v/>
      </c>
      <c r="O78" s="16">
        <f>IF(O67=0,0,O77/O67)</f>
        <v/>
      </c>
      <c r="P78" s="16">
        <f>IF(P67=0,0,P77/P67)</f>
        <v/>
      </c>
      <c r="Q78" s="16">
        <f>IF(Q67=0,0,Q77/Q67)</f>
        <v/>
      </c>
      <c r="R78" s="16">
        <f>IF(R67=0,0,R77/R67)</f>
        <v/>
      </c>
      <c r="S78" s="16">
        <f>IF(S67=0,0,S77/S67)</f>
        <v/>
      </c>
      <c r="T78" s="16">
        <f>IF(T67=0,0,T77/T67)</f>
        <v/>
      </c>
      <c r="U78" s="16">
        <f>IF(U67=0,0,U77/U67)</f>
        <v/>
      </c>
      <c r="V78" s="16">
        <f>IF(V67=0,0,V77/V67)</f>
        <v/>
      </c>
      <c r="W78" s="16">
        <f>IF(W67=0,0,W77/W67)</f>
        <v/>
      </c>
      <c r="X78" s="16">
        <f>IF(X67=0,0,X77/X67)</f>
        <v/>
      </c>
      <c r="Y78" s="16">
        <f>IF(Y67=0,0,Y77/Y67)</f>
        <v/>
      </c>
      <c r="Z78" s="16">
        <f>IF(Z67=0,0,Z77/Z67)</f>
        <v/>
      </c>
      <c r="AA78" s="16">
        <f>IF(AA67=0,0,AA77/AA67)</f>
        <v/>
      </c>
      <c r="AB78" s="16">
        <f>IF(AB67=0,0,AB77/AB67)</f>
        <v/>
      </c>
      <c r="AC78" s="16">
        <f>IF(AC67=0,0,AC77/AC67)</f>
        <v/>
      </c>
      <c r="AD78" s="16">
        <f>IF(AD67=0,0,AD77/AD67)</f>
        <v/>
      </c>
      <c r="AE78" s="16">
        <f>IF(AE67=0,0,AE77/AE67)</f>
        <v/>
      </c>
      <c r="AF78" s="16">
        <f>IF(AF67=0,0,AF77/AF67)</f>
        <v/>
      </c>
      <c r="AG78" s="16">
        <f>IF(AG67=0,0,AG77/AG67)</f>
        <v/>
      </c>
      <c r="AH78" s="16">
        <f>IF(AH67=0,0,AH77/AH67)</f>
        <v/>
      </c>
      <c r="AI78" s="16">
        <f>IF(AI67=0,0,AI77/AI67)</f>
        <v/>
      </c>
      <c r="AJ78" s="16">
        <f>IF(AJ67=0,0,AJ77/AJ67)</f>
        <v/>
      </c>
      <c r="AK78" s="16">
        <f>IF(AK67=0,0,AK77/AK67)</f>
        <v/>
      </c>
      <c r="AL78" s="16">
        <f>IF(AL67=0,0,AL77/AL67)</f>
        <v/>
      </c>
    </row>
    <row r="80">
      <c r="A80" s="4" t="inlineStr">
        <is>
          <t>OPERATING EXPENSES</t>
        </is>
      </c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5" t="n"/>
      <c r="AC80" s="5" t="n"/>
      <c r="AD80" s="5" t="n"/>
      <c r="AE80" s="5" t="n"/>
      <c r="AF80" s="5" t="n"/>
      <c r="AG80" s="5" t="n"/>
      <c r="AH80" s="5" t="n"/>
      <c r="AI80" s="5" t="n"/>
      <c r="AJ80" s="5" t="n"/>
      <c r="AK80" s="5" t="n"/>
      <c r="AL80" s="5" t="n"/>
    </row>
    <row r="81">
      <c r="A81" s="6" t="inlineStr">
        <is>
          <t>Founder salary</t>
        </is>
      </c>
      <c r="B81" s="2" t="inlineStr">
        <is>
          <t>opex_founder</t>
        </is>
      </c>
      <c r="C81" s="14">
        <f>(Assumptions!$F$10*Assumptions!$F$88)</f>
        <v/>
      </c>
      <c r="D81" s="14">
        <f>(Assumptions!$F$10*Assumptions!$F$88)</f>
        <v/>
      </c>
      <c r="E81" s="14">
        <f>(Assumptions!$F$10*Assumptions!$F$88)</f>
        <v/>
      </c>
      <c r="F81" s="14">
        <f>(Assumptions!$F$10*Assumptions!$F$88)</f>
        <v/>
      </c>
      <c r="G81" s="14">
        <f>(Assumptions!$F$10*Assumptions!$F$88)</f>
        <v/>
      </c>
      <c r="H81" s="14">
        <f>(Assumptions!$F$10*Assumptions!$F$88)</f>
        <v/>
      </c>
      <c r="I81" s="14">
        <f>(Assumptions!$F$10*Assumptions!$F$88)</f>
        <v/>
      </c>
      <c r="J81" s="14">
        <f>(Assumptions!$F$10*Assumptions!$F$88)</f>
        <v/>
      </c>
      <c r="K81" s="14">
        <f>(Assumptions!$F$10*Assumptions!$F$88)</f>
        <v/>
      </c>
      <c r="L81" s="14">
        <f>(Assumptions!$F$10*Assumptions!$F$88)</f>
        <v/>
      </c>
      <c r="M81" s="14">
        <f>(Assumptions!$F$10*Assumptions!$F$88)</f>
        <v/>
      </c>
      <c r="N81" s="14">
        <f>(Assumptions!$F$10*Assumptions!$F$88)</f>
        <v/>
      </c>
      <c r="O81" s="14">
        <f>(Assumptions!$F$10*Assumptions!$F$88)</f>
        <v/>
      </c>
      <c r="P81" s="14">
        <f>(Assumptions!$F$10*Assumptions!$F$88)</f>
        <v/>
      </c>
      <c r="Q81" s="14">
        <f>(Assumptions!$F$10*Assumptions!$F$88)</f>
        <v/>
      </c>
      <c r="R81" s="14">
        <f>(Assumptions!$F$10*Assumptions!$F$88)</f>
        <v/>
      </c>
      <c r="S81" s="14">
        <f>(Assumptions!$F$10*Assumptions!$F$88)</f>
        <v/>
      </c>
      <c r="T81" s="14">
        <f>(Assumptions!$F$10*Assumptions!$F$88)</f>
        <v/>
      </c>
      <c r="U81" s="14">
        <f>(Assumptions!$F$10*Assumptions!$F$88)</f>
        <v/>
      </c>
      <c r="V81" s="14">
        <f>(Assumptions!$F$10*Assumptions!$F$88)</f>
        <v/>
      </c>
      <c r="W81" s="14">
        <f>(Assumptions!$F$10*Assumptions!$F$88)</f>
        <v/>
      </c>
      <c r="X81" s="14">
        <f>(Assumptions!$F$10*Assumptions!$F$88)</f>
        <v/>
      </c>
      <c r="Y81" s="14">
        <f>(Assumptions!$F$10*Assumptions!$F$88)</f>
        <v/>
      </c>
      <c r="Z81" s="14">
        <f>(Assumptions!$F$10*Assumptions!$F$88)</f>
        <v/>
      </c>
      <c r="AA81" s="14">
        <f>(Assumptions!$F$10*Assumptions!$F$88)</f>
        <v/>
      </c>
      <c r="AB81" s="14">
        <f>(Assumptions!$F$10*Assumptions!$F$88)</f>
        <v/>
      </c>
      <c r="AC81" s="14">
        <f>(Assumptions!$F$10*Assumptions!$F$88)</f>
        <v/>
      </c>
      <c r="AD81" s="14">
        <f>(Assumptions!$F$10*Assumptions!$F$88)</f>
        <v/>
      </c>
      <c r="AE81" s="14">
        <f>(Assumptions!$F$10*Assumptions!$F$88)</f>
        <v/>
      </c>
      <c r="AF81" s="14">
        <f>(Assumptions!$F$10*Assumptions!$F$88)</f>
        <v/>
      </c>
      <c r="AG81" s="14">
        <f>(Assumptions!$F$10*Assumptions!$F$88)</f>
        <v/>
      </c>
      <c r="AH81" s="14">
        <f>(Assumptions!$F$10*Assumptions!$F$88)</f>
        <v/>
      </c>
      <c r="AI81" s="14">
        <f>(Assumptions!$F$10*Assumptions!$F$88)</f>
        <v/>
      </c>
      <c r="AJ81" s="14">
        <f>(Assumptions!$F$10*Assumptions!$F$88)</f>
        <v/>
      </c>
      <c r="AK81" s="14">
        <f>(Assumptions!$F$10*Assumptions!$F$88)</f>
        <v/>
      </c>
      <c r="AL81" s="14">
        <f>(Assumptions!$F$10*Assumptions!$F$88)</f>
        <v/>
      </c>
    </row>
    <row r="82">
      <c r="A82" s="6" t="inlineStr">
        <is>
          <t>Contractors</t>
        </is>
      </c>
      <c r="B82" s="2" t="inlineStr">
        <is>
          <t>opex_contractors</t>
        </is>
      </c>
      <c r="C82" s="14">
        <f>CHOOSE(C$3,Assumptions!$F$89,Assumptions!$F$90,Assumptions!$F$91)</f>
        <v/>
      </c>
      <c r="D82" s="14">
        <f>CHOOSE(D$3,Assumptions!$F$89,Assumptions!$F$90,Assumptions!$F$91)</f>
        <v/>
      </c>
      <c r="E82" s="14">
        <f>CHOOSE(E$3,Assumptions!$F$89,Assumptions!$F$90,Assumptions!$F$91)</f>
        <v/>
      </c>
      <c r="F82" s="14">
        <f>CHOOSE(F$3,Assumptions!$F$89,Assumptions!$F$90,Assumptions!$F$91)</f>
        <v/>
      </c>
      <c r="G82" s="14">
        <f>CHOOSE(G$3,Assumptions!$F$89,Assumptions!$F$90,Assumptions!$F$91)</f>
        <v/>
      </c>
      <c r="H82" s="14">
        <f>CHOOSE(H$3,Assumptions!$F$89,Assumptions!$F$90,Assumptions!$F$91)</f>
        <v/>
      </c>
      <c r="I82" s="14">
        <f>CHOOSE(I$3,Assumptions!$F$89,Assumptions!$F$90,Assumptions!$F$91)</f>
        <v/>
      </c>
      <c r="J82" s="14">
        <f>CHOOSE(J$3,Assumptions!$F$89,Assumptions!$F$90,Assumptions!$F$91)</f>
        <v/>
      </c>
      <c r="K82" s="14">
        <f>CHOOSE(K$3,Assumptions!$F$89,Assumptions!$F$90,Assumptions!$F$91)</f>
        <v/>
      </c>
      <c r="L82" s="14">
        <f>CHOOSE(L$3,Assumptions!$F$89,Assumptions!$F$90,Assumptions!$F$91)</f>
        <v/>
      </c>
      <c r="M82" s="14">
        <f>CHOOSE(M$3,Assumptions!$F$89,Assumptions!$F$90,Assumptions!$F$91)</f>
        <v/>
      </c>
      <c r="N82" s="14">
        <f>CHOOSE(N$3,Assumptions!$F$89,Assumptions!$F$90,Assumptions!$F$91)</f>
        <v/>
      </c>
      <c r="O82" s="14">
        <f>CHOOSE(O$3,Assumptions!$F$89,Assumptions!$F$90,Assumptions!$F$91)</f>
        <v/>
      </c>
      <c r="P82" s="14">
        <f>CHOOSE(P$3,Assumptions!$F$89,Assumptions!$F$90,Assumptions!$F$91)</f>
        <v/>
      </c>
      <c r="Q82" s="14">
        <f>CHOOSE(Q$3,Assumptions!$F$89,Assumptions!$F$90,Assumptions!$F$91)</f>
        <v/>
      </c>
      <c r="R82" s="14">
        <f>CHOOSE(R$3,Assumptions!$F$89,Assumptions!$F$90,Assumptions!$F$91)</f>
        <v/>
      </c>
      <c r="S82" s="14">
        <f>CHOOSE(S$3,Assumptions!$F$89,Assumptions!$F$90,Assumptions!$F$91)</f>
        <v/>
      </c>
      <c r="T82" s="14">
        <f>CHOOSE(T$3,Assumptions!$F$89,Assumptions!$F$90,Assumptions!$F$91)</f>
        <v/>
      </c>
      <c r="U82" s="14">
        <f>CHOOSE(U$3,Assumptions!$F$89,Assumptions!$F$90,Assumptions!$F$91)</f>
        <v/>
      </c>
      <c r="V82" s="14">
        <f>CHOOSE(V$3,Assumptions!$F$89,Assumptions!$F$90,Assumptions!$F$91)</f>
        <v/>
      </c>
      <c r="W82" s="14">
        <f>CHOOSE(W$3,Assumptions!$F$89,Assumptions!$F$90,Assumptions!$F$91)</f>
        <v/>
      </c>
      <c r="X82" s="14">
        <f>CHOOSE(X$3,Assumptions!$F$89,Assumptions!$F$90,Assumptions!$F$91)</f>
        <v/>
      </c>
      <c r="Y82" s="14">
        <f>CHOOSE(Y$3,Assumptions!$F$89,Assumptions!$F$90,Assumptions!$F$91)</f>
        <v/>
      </c>
      <c r="Z82" s="14">
        <f>CHOOSE(Z$3,Assumptions!$F$89,Assumptions!$F$90,Assumptions!$F$91)</f>
        <v/>
      </c>
      <c r="AA82" s="14">
        <f>CHOOSE(AA$3,Assumptions!$F$89,Assumptions!$F$90,Assumptions!$F$91)</f>
        <v/>
      </c>
      <c r="AB82" s="14">
        <f>CHOOSE(AB$3,Assumptions!$F$89,Assumptions!$F$90,Assumptions!$F$91)</f>
        <v/>
      </c>
      <c r="AC82" s="14">
        <f>CHOOSE(AC$3,Assumptions!$F$89,Assumptions!$F$90,Assumptions!$F$91)</f>
        <v/>
      </c>
      <c r="AD82" s="14">
        <f>CHOOSE(AD$3,Assumptions!$F$89,Assumptions!$F$90,Assumptions!$F$91)</f>
        <v/>
      </c>
      <c r="AE82" s="14">
        <f>CHOOSE(AE$3,Assumptions!$F$89,Assumptions!$F$90,Assumptions!$F$91)</f>
        <v/>
      </c>
      <c r="AF82" s="14">
        <f>CHOOSE(AF$3,Assumptions!$F$89,Assumptions!$F$90,Assumptions!$F$91)</f>
        <v/>
      </c>
      <c r="AG82" s="14">
        <f>CHOOSE(AG$3,Assumptions!$F$89,Assumptions!$F$90,Assumptions!$F$91)</f>
        <v/>
      </c>
      <c r="AH82" s="14">
        <f>CHOOSE(AH$3,Assumptions!$F$89,Assumptions!$F$90,Assumptions!$F$91)</f>
        <v/>
      </c>
      <c r="AI82" s="14">
        <f>CHOOSE(AI$3,Assumptions!$F$89,Assumptions!$F$90,Assumptions!$F$91)</f>
        <v/>
      </c>
      <c r="AJ82" s="14">
        <f>CHOOSE(AJ$3,Assumptions!$F$89,Assumptions!$F$90,Assumptions!$F$91)</f>
        <v/>
      </c>
      <c r="AK82" s="14">
        <f>CHOOSE(AK$3,Assumptions!$F$89,Assumptions!$F$90,Assumptions!$F$91)</f>
        <v/>
      </c>
      <c r="AL82" s="14">
        <f>CHOOSE(AL$3,Assumptions!$F$89,Assumptions!$F$90,Assumptions!$F$91)</f>
        <v/>
      </c>
    </row>
    <row r="83">
      <c r="A83" s="6" t="inlineStr">
        <is>
          <t>Marketing: Apple Search Ads</t>
        </is>
      </c>
      <c r="B83" s="2" t="inlineStr">
        <is>
          <t>opex_asa</t>
        </is>
      </c>
      <c r="C83" s="14">
        <f>C10</f>
        <v/>
      </c>
      <c r="D83" s="14">
        <f>D10</f>
        <v/>
      </c>
      <c r="E83" s="14">
        <f>E10</f>
        <v/>
      </c>
      <c r="F83" s="14">
        <f>F10</f>
        <v/>
      </c>
      <c r="G83" s="14">
        <f>G10</f>
        <v/>
      </c>
      <c r="H83" s="14">
        <f>H10</f>
        <v/>
      </c>
      <c r="I83" s="14">
        <f>I10</f>
        <v/>
      </c>
      <c r="J83" s="14">
        <f>J10</f>
        <v/>
      </c>
      <c r="K83" s="14">
        <f>K10</f>
        <v/>
      </c>
      <c r="L83" s="14">
        <f>L10</f>
        <v/>
      </c>
      <c r="M83" s="14">
        <f>M10</f>
        <v/>
      </c>
      <c r="N83" s="14">
        <f>N10</f>
        <v/>
      </c>
      <c r="O83" s="14">
        <f>O10</f>
        <v/>
      </c>
      <c r="P83" s="14">
        <f>P10</f>
        <v/>
      </c>
      <c r="Q83" s="14">
        <f>Q10</f>
        <v/>
      </c>
      <c r="R83" s="14">
        <f>R10</f>
        <v/>
      </c>
      <c r="S83" s="14">
        <f>S10</f>
        <v/>
      </c>
      <c r="T83" s="14">
        <f>T10</f>
        <v/>
      </c>
      <c r="U83" s="14">
        <f>U10</f>
        <v/>
      </c>
      <c r="V83" s="14">
        <f>V10</f>
        <v/>
      </c>
      <c r="W83" s="14">
        <f>W10</f>
        <v/>
      </c>
      <c r="X83" s="14">
        <f>X10</f>
        <v/>
      </c>
      <c r="Y83" s="14">
        <f>Y10</f>
        <v/>
      </c>
      <c r="Z83" s="14">
        <f>Z10</f>
        <v/>
      </c>
      <c r="AA83" s="14">
        <f>AA10</f>
        <v/>
      </c>
      <c r="AB83" s="14">
        <f>AB10</f>
        <v/>
      </c>
      <c r="AC83" s="14">
        <f>AC10</f>
        <v/>
      </c>
      <c r="AD83" s="14">
        <f>AD10</f>
        <v/>
      </c>
      <c r="AE83" s="14">
        <f>AE10</f>
        <v/>
      </c>
      <c r="AF83" s="14">
        <f>AF10</f>
        <v/>
      </c>
      <c r="AG83" s="14">
        <f>AG10</f>
        <v/>
      </c>
      <c r="AH83" s="14">
        <f>AH10</f>
        <v/>
      </c>
      <c r="AI83" s="14">
        <f>AI10</f>
        <v/>
      </c>
      <c r="AJ83" s="14">
        <f>AJ10</f>
        <v/>
      </c>
      <c r="AK83" s="14">
        <f>AK10</f>
        <v/>
      </c>
      <c r="AL83" s="14">
        <f>AL10</f>
        <v/>
      </c>
    </row>
    <row r="84">
      <c r="A84" s="6" t="inlineStr">
        <is>
          <t>Marketing: creators</t>
        </is>
      </c>
      <c r="B84" s="2" t="inlineStr">
        <is>
          <t>opex_creators</t>
        </is>
      </c>
      <c r="C84" s="14">
        <f>C8</f>
        <v/>
      </c>
      <c r="D84" s="14">
        <f>D8</f>
        <v/>
      </c>
      <c r="E84" s="14">
        <f>E8</f>
        <v/>
      </c>
      <c r="F84" s="14">
        <f>F8</f>
        <v/>
      </c>
      <c r="G84" s="14">
        <f>G8</f>
        <v/>
      </c>
      <c r="H84" s="14">
        <f>H8</f>
        <v/>
      </c>
      <c r="I84" s="14">
        <f>I8</f>
        <v/>
      </c>
      <c r="J84" s="14">
        <f>J8</f>
        <v/>
      </c>
      <c r="K84" s="14">
        <f>K8</f>
        <v/>
      </c>
      <c r="L84" s="14">
        <f>L8</f>
        <v/>
      </c>
      <c r="M84" s="14">
        <f>M8</f>
        <v/>
      </c>
      <c r="N84" s="14">
        <f>N8</f>
        <v/>
      </c>
      <c r="O84" s="14">
        <f>O8</f>
        <v/>
      </c>
      <c r="P84" s="14">
        <f>P8</f>
        <v/>
      </c>
      <c r="Q84" s="14">
        <f>Q8</f>
        <v/>
      </c>
      <c r="R84" s="14">
        <f>R8</f>
        <v/>
      </c>
      <c r="S84" s="14">
        <f>S8</f>
        <v/>
      </c>
      <c r="T84" s="14">
        <f>T8</f>
        <v/>
      </c>
      <c r="U84" s="14">
        <f>U8</f>
        <v/>
      </c>
      <c r="V84" s="14">
        <f>V8</f>
        <v/>
      </c>
      <c r="W84" s="14">
        <f>W8</f>
        <v/>
      </c>
      <c r="X84" s="14">
        <f>X8</f>
        <v/>
      </c>
      <c r="Y84" s="14">
        <f>Y8</f>
        <v/>
      </c>
      <c r="Z84" s="14">
        <f>Z8</f>
        <v/>
      </c>
      <c r="AA84" s="14">
        <f>AA8</f>
        <v/>
      </c>
      <c r="AB84" s="14">
        <f>AB8</f>
        <v/>
      </c>
      <c r="AC84" s="14">
        <f>AC8</f>
        <v/>
      </c>
      <c r="AD84" s="14">
        <f>AD8</f>
        <v/>
      </c>
      <c r="AE84" s="14">
        <f>AE8</f>
        <v/>
      </c>
      <c r="AF84" s="14">
        <f>AF8</f>
        <v/>
      </c>
      <c r="AG84" s="14">
        <f>AG8</f>
        <v/>
      </c>
      <c r="AH84" s="14">
        <f>AH8</f>
        <v/>
      </c>
      <c r="AI84" s="14">
        <f>AI8</f>
        <v/>
      </c>
      <c r="AJ84" s="14">
        <f>AJ8</f>
        <v/>
      </c>
      <c r="AK84" s="14">
        <f>AK8</f>
        <v/>
      </c>
      <c r="AL84" s="14">
        <f>AL8</f>
        <v/>
      </c>
    </row>
    <row r="85">
      <c r="A85" s="6" t="inlineStr">
        <is>
          <t>Marketing: other</t>
        </is>
      </c>
      <c r="B85" s="2" t="inlineStr">
        <is>
          <t>opex_mkt_other</t>
        </is>
      </c>
      <c r="C85" s="14">
        <f>Assumptions!$F$92</f>
        <v/>
      </c>
      <c r="D85" s="14">
        <f>Assumptions!$F$92</f>
        <v/>
      </c>
      <c r="E85" s="14">
        <f>Assumptions!$F$92</f>
        <v/>
      </c>
      <c r="F85" s="14">
        <f>Assumptions!$F$92</f>
        <v/>
      </c>
      <c r="G85" s="14">
        <f>Assumptions!$F$92</f>
        <v/>
      </c>
      <c r="H85" s="14">
        <f>Assumptions!$F$92</f>
        <v/>
      </c>
      <c r="I85" s="14">
        <f>Assumptions!$F$92</f>
        <v/>
      </c>
      <c r="J85" s="14">
        <f>Assumptions!$F$92</f>
        <v/>
      </c>
      <c r="K85" s="14">
        <f>Assumptions!$F$92</f>
        <v/>
      </c>
      <c r="L85" s="14">
        <f>Assumptions!$F$92</f>
        <v/>
      </c>
      <c r="M85" s="14">
        <f>Assumptions!$F$92</f>
        <v/>
      </c>
      <c r="N85" s="14">
        <f>Assumptions!$F$92</f>
        <v/>
      </c>
      <c r="O85" s="14">
        <f>Assumptions!$F$92</f>
        <v/>
      </c>
      <c r="P85" s="14">
        <f>Assumptions!$F$92</f>
        <v/>
      </c>
      <c r="Q85" s="14">
        <f>Assumptions!$F$92</f>
        <v/>
      </c>
      <c r="R85" s="14">
        <f>Assumptions!$F$92</f>
        <v/>
      </c>
      <c r="S85" s="14">
        <f>Assumptions!$F$92</f>
        <v/>
      </c>
      <c r="T85" s="14">
        <f>Assumptions!$F$92</f>
        <v/>
      </c>
      <c r="U85" s="14">
        <f>Assumptions!$F$92</f>
        <v/>
      </c>
      <c r="V85" s="14">
        <f>Assumptions!$F$92</f>
        <v/>
      </c>
      <c r="W85" s="14">
        <f>Assumptions!$F$92</f>
        <v/>
      </c>
      <c r="X85" s="14">
        <f>Assumptions!$F$92</f>
        <v/>
      </c>
      <c r="Y85" s="14">
        <f>Assumptions!$F$92</f>
        <v/>
      </c>
      <c r="Z85" s="14">
        <f>Assumptions!$F$92</f>
        <v/>
      </c>
      <c r="AA85" s="14">
        <f>Assumptions!$F$92</f>
        <v/>
      </c>
      <c r="AB85" s="14">
        <f>Assumptions!$F$92</f>
        <v/>
      </c>
      <c r="AC85" s="14">
        <f>Assumptions!$F$92</f>
        <v/>
      </c>
      <c r="AD85" s="14">
        <f>Assumptions!$F$92</f>
        <v/>
      </c>
      <c r="AE85" s="14">
        <f>Assumptions!$F$92</f>
        <v/>
      </c>
      <c r="AF85" s="14">
        <f>Assumptions!$F$92</f>
        <v/>
      </c>
      <c r="AG85" s="14">
        <f>Assumptions!$F$92</f>
        <v/>
      </c>
      <c r="AH85" s="14">
        <f>Assumptions!$F$92</f>
        <v/>
      </c>
      <c r="AI85" s="14">
        <f>Assumptions!$F$92</f>
        <v/>
      </c>
      <c r="AJ85" s="14">
        <f>Assumptions!$F$92</f>
        <v/>
      </c>
      <c r="AK85" s="14">
        <f>Assumptions!$F$92</f>
        <v/>
      </c>
      <c r="AL85" s="14">
        <f>Assumptions!$F$92</f>
        <v/>
      </c>
    </row>
    <row r="86">
      <c r="A86" s="6" t="inlineStr">
        <is>
          <t>Legal &amp; compliance</t>
        </is>
      </c>
      <c r="B86" s="2" t="inlineStr">
        <is>
          <t>opex_legal</t>
        </is>
      </c>
      <c r="C86" s="14">
        <f>(((IF((C$2=1),(((Assumptions!$F$93+Assumptions!$F$94)+Assumptions!$F$95)+Assumptions!$F$96),0)+Assumptions!$F$97)+IF(AND((C$2&gt;1),(MOD((C$2-1),12)=0)),Assumptions!$F$98,0))+IF(AND((Assumptions!$F$11=1),(C$2&gt;=Assumptions!$F$99)),Assumptions!$F$100,0))</f>
        <v/>
      </c>
      <c r="D86" s="14">
        <f>(((IF((D$2=1),(((Assumptions!$F$93+Assumptions!$F$94)+Assumptions!$F$95)+Assumptions!$F$96),0)+Assumptions!$F$97)+IF(AND((D$2&gt;1),(MOD((D$2-1),12)=0)),Assumptions!$F$98,0))+IF(AND((Assumptions!$F$11=1),(D$2&gt;=Assumptions!$F$99)),Assumptions!$F$100,0))</f>
        <v/>
      </c>
      <c r="E86" s="14">
        <f>(((IF((E$2=1),(((Assumptions!$F$93+Assumptions!$F$94)+Assumptions!$F$95)+Assumptions!$F$96),0)+Assumptions!$F$97)+IF(AND((E$2&gt;1),(MOD((E$2-1),12)=0)),Assumptions!$F$98,0))+IF(AND((Assumptions!$F$11=1),(E$2&gt;=Assumptions!$F$99)),Assumptions!$F$100,0))</f>
        <v/>
      </c>
      <c r="F86" s="14">
        <f>(((IF((F$2=1),(((Assumptions!$F$93+Assumptions!$F$94)+Assumptions!$F$95)+Assumptions!$F$96),0)+Assumptions!$F$97)+IF(AND((F$2&gt;1),(MOD((F$2-1),12)=0)),Assumptions!$F$98,0))+IF(AND((Assumptions!$F$11=1),(F$2&gt;=Assumptions!$F$99)),Assumptions!$F$100,0))</f>
        <v/>
      </c>
      <c r="G86" s="14">
        <f>(((IF((G$2=1),(((Assumptions!$F$93+Assumptions!$F$94)+Assumptions!$F$95)+Assumptions!$F$96),0)+Assumptions!$F$97)+IF(AND((G$2&gt;1),(MOD((G$2-1),12)=0)),Assumptions!$F$98,0))+IF(AND((Assumptions!$F$11=1),(G$2&gt;=Assumptions!$F$99)),Assumptions!$F$100,0))</f>
        <v/>
      </c>
      <c r="H86" s="14">
        <f>(((IF((H$2=1),(((Assumptions!$F$93+Assumptions!$F$94)+Assumptions!$F$95)+Assumptions!$F$96),0)+Assumptions!$F$97)+IF(AND((H$2&gt;1),(MOD((H$2-1),12)=0)),Assumptions!$F$98,0))+IF(AND((Assumptions!$F$11=1),(H$2&gt;=Assumptions!$F$99)),Assumptions!$F$100,0))</f>
        <v/>
      </c>
      <c r="I86" s="14">
        <f>(((IF((I$2=1),(((Assumptions!$F$93+Assumptions!$F$94)+Assumptions!$F$95)+Assumptions!$F$96),0)+Assumptions!$F$97)+IF(AND((I$2&gt;1),(MOD((I$2-1),12)=0)),Assumptions!$F$98,0))+IF(AND((Assumptions!$F$11=1),(I$2&gt;=Assumptions!$F$99)),Assumptions!$F$100,0))</f>
        <v/>
      </c>
      <c r="J86" s="14">
        <f>(((IF((J$2=1),(((Assumptions!$F$93+Assumptions!$F$94)+Assumptions!$F$95)+Assumptions!$F$96),0)+Assumptions!$F$97)+IF(AND((J$2&gt;1),(MOD((J$2-1),12)=0)),Assumptions!$F$98,0))+IF(AND((Assumptions!$F$11=1),(J$2&gt;=Assumptions!$F$99)),Assumptions!$F$100,0))</f>
        <v/>
      </c>
      <c r="K86" s="14">
        <f>(((IF((K$2=1),(((Assumptions!$F$93+Assumptions!$F$94)+Assumptions!$F$95)+Assumptions!$F$96),0)+Assumptions!$F$97)+IF(AND((K$2&gt;1),(MOD((K$2-1),12)=0)),Assumptions!$F$98,0))+IF(AND((Assumptions!$F$11=1),(K$2&gt;=Assumptions!$F$99)),Assumptions!$F$100,0))</f>
        <v/>
      </c>
      <c r="L86" s="14">
        <f>(((IF((L$2=1),(((Assumptions!$F$93+Assumptions!$F$94)+Assumptions!$F$95)+Assumptions!$F$96),0)+Assumptions!$F$97)+IF(AND((L$2&gt;1),(MOD((L$2-1),12)=0)),Assumptions!$F$98,0))+IF(AND((Assumptions!$F$11=1),(L$2&gt;=Assumptions!$F$99)),Assumptions!$F$100,0))</f>
        <v/>
      </c>
      <c r="M86" s="14">
        <f>(((IF((M$2=1),(((Assumptions!$F$93+Assumptions!$F$94)+Assumptions!$F$95)+Assumptions!$F$96),0)+Assumptions!$F$97)+IF(AND((M$2&gt;1),(MOD((M$2-1),12)=0)),Assumptions!$F$98,0))+IF(AND((Assumptions!$F$11=1),(M$2&gt;=Assumptions!$F$99)),Assumptions!$F$100,0))</f>
        <v/>
      </c>
      <c r="N86" s="14">
        <f>(((IF((N$2=1),(((Assumptions!$F$93+Assumptions!$F$94)+Assumptions!$F$95)+Assumptions!$F$96),0)+Assumptions!$F$97)+IF(AND((N$2&gt;1),(MOD((N$2-1),12)=0)),Assumptions!$F$98,0))+IF(AND((Assumptions!$F$11=1),(N$2&gt;=Assumptions!$F$99)),Assumptions!$F$100,0))</f>
        <v/>
      </c>
      <c r="O86" s="14">
        <f>(((IF((O$2=1),(((Assumptions!$F$93+Assumptions!$F$94)+Assumptions!$F$95)+Assumptions!$F$96),0)+Assumptions!$F$97)+IF(AND((O$2&gt;1),(MOD((O$2-1),12)=0)),Assumptions!$F$98,0))+IF(AND((Assumptions!$F$11=1),(O$2&gt;=Assumptions!$F$99)),Assumptions!$F$100,0))</f>
        <v/>
      </c>
      <c r="P86" s="14">
        <f>(((IF((P$2=1),(((Assumptions!$F$93+Assumptions!$F$94)+Assumptions!$F$95)+Assumptions!$F$96),0)+Assumptions!$F$97)+IF(AND((P$2&gt;1),(MOD((P$2-1),12)=0)),Assumptions!$F$98,0))+IF(AND((Assumptions!$F$11=1),(P$2&gt;=Assumptions!$F$99)),Assumptions!$F$100,0))</f>
        <v/>
      </c>
      <c r="Q86" s="14">
        <f>(((IF((Q$2=1),(((Assumptions!$F$93+Assumptions!$F$94)+Assumptions!$F$95)+Assumptions!$F$96),0)+Assumptions!$F$97)+IF(AND((Q$2&gt;1),(MOD((Q$2-1),12)=0)),Assumptions!$F$98,0))+IF(AND((Assumptions!$F$11=1),(Q$2&gt;=Assumptions!$F$99)),Assumptions!$F$100,0))</f>
        <v/>
      </c>
      <c r="R86" s="14">
        <f>(((IF((R$2=1),(((Assumptions!$F$93+Assumptions!$F$94)+Assumptions!$F$95)+Assumptions!$F$96),0)+Assumptions!$F$97)+IF(AND((R$2&gt;1),(MOD((R$2-1),12)=0)),Assumptions!$F$98,0))+IF(AND((Assumptions!$F$11=1),(R$2&gt;=Assumptions!$F$99)),Assumptions!$F$100,0))</f>
        <v/>
      </c>
      <c r="S86" s="14">
        <f>(((IF((S$2=1),(((Assumptions!$F$93+Assumptions!$F$94)+Assumptions!$F$95)+Assumptions!$F$96),0)+Assumptions!$F$97)+IF(AND((S$2&gt;1),(MOD((S$2-1),12)=0)),Assumptions!$F$98,0))+IF(AND((Assumptions!$F$11=1),(S$2&gt;=Assumptions!$F$99)),Assumptions!$F$100,0))</f>
        <v/>
      </c>
      <c r="T86" s="14">
        <f>(((IF((T$2=1),(((Assumptions!$F$93+Assumptions!$F$94)+Assumptions!$F$95)+Assumptions!$F$96),0)+Assumptions!$F$97)+IF(AND((T$2&gt;1),(MOD((T$2-1),12)=0)),Assumptions!$F$98,0))+IF(AND((Assumptions!$F$11=1),(T$2&gt;=Assumptions!$F$99)),Assumptions!$F$100,0))</f>
        <v/>
      </c>
      <c r="U86" s="14">
        <f>(((IF((U$2=1),(((Assumptions!$F$93+Assumptions!$F$94)+Assumptions!$F$95)+Assumptions!$F$96),0)+Assumptions!$F$97)+IF(AND((U$2&gt;1),(MOD((U$2-1),12)=0)),Assumptions!$F$98,0))+IF(AND((Assumptions!$F$11=1),(U$2&gt;=Assumptions!$F$99)),Assumptions!$F$100,0))</f>
        <v/>
      </c>
      <c r="V86" s="14">
        <f>(((IF((V$2=1),(((Assumptions!$F$93+Assumptions!$F$94)+Assumptions!$F$95)+Assumptions!$F$96),0)+Assumptions!$F$97)+IF(AND((V$2&gt;1),(MOD((V$2-1),12)=0)),Assumptions!$F$98,0))+IF(AND((Assumptions!$F$11=1),(V$2&gt;=Assumptions!$F$99)),Assumptions!$F$100,0))</f>
        <v/>
      </c>
      <c r="W86" s="14">
        <f>(((IF((W$2=1),(((Assumptions!$F$93+Assumptions!$F$94)+Assumptions!$F$95)+Assumptions!$F$96),0)+Assumptions!$F$97)+IF(AND((W$2&gt;1),(MOD((W$2-1),12)=0)),Assumptions!$F$98,0))+IF(AND((Assumptions!$F$11=1),(W$2&gt;=Assumptions!$F$99)),Assumptions!$F$100,0))</f>
        <v/>
      </c>
      <c r="X86" s="14">
        <f>(((IF((X$2=1),(((Assumptions!$F$93+Assumptions!$F$94)+Assumptions!$F$95)+Assumptions!$F$96),0)+Assumptions!$F$97)+IF(AND((X$2&gt;1),(MOD((X$2-1),12)=0)),Assumptions!$F$98,0))+IF(AND((Assumptions!$F$11=1),(X$2&gt;=Assumptions!$F$99)),Assumptions!$F$100,0))</f>
        <v/>
      </c>
      <c r="Y86" s="14">
        <f>(((IF((Y$2=1),(((Assumptions!$F$93+Assumptions!$F$94)+Assumptions!$F$95)+Assumptions!$F$96),0)+Assumptions!$F$97)+IF(AND((Y$2&gt;1),(MOD((Y$2-1),12)=0)),Assumptions!$F$98,0))+IF(AND((Assumptions!$F$11=1),(Y$2&gt;=Assumptions!$F$99)),Assumptions!$F$100,0))</f>
        <v/>
      </c>
      <c r="Z86" s="14">
        <f>(((IF((Z$2=1),(((Assumptions!$F$93+Assumptions!$F$94)+Assumptions!$F$95)+Assumptions!$F$96),0)+Assumptions!$F$97)+IF(AND((Z$2&gt;1),(MOD((Z$2-1),12)=0)),Assumptions!$F$98,0))+IF(AND((Assumptions!$F$11=1),(Z$2&gt;=Assumptions!$F$99)),Assumptions!$F$100,0))</f>
        <v/>
      </c>
      <c r="AA86" s="14">
        <f>(((IF((AA$2=1),(((Assumptions!$F$93+Assumptions!$F$94)+Assumptions!$F$95)+Assumptions!$F$96),0)+Assumptions!$F$97)+IF(AND((AA$2&gt;1),(MOD((AA$2-1),12)=0)),Assumptions!$F$98,0))+IF(AND((Assumptions!$F$11=1),(AA$2&gt;=Assumptions!$F$99)),Assumptions!$F$100,0))</f>
        <v/>
      </c>
      <c r="AB86" s="14">
        <f>(((IF((AB$2=1),(((Assumptions!$F$93+Assumptions!$F$94)+Assumptions!$F$95)+Assumptions!$F$96),0)+Assumptions!$F$97)+IF(AND((AB$2&gt;1),(MOD((AB$2-1),12)=0)),Assumptions!$F$98,0))+IF(AND((Assumptions!$F$11=1),(AB$2&gt;=Assumptions!$F$99)),Assumptions!$F$100,0))</f>
        <v/>
      </c>
      <c r="AC86" s="14">
        <f>(((IF((AC$2=1),(((Assumptions!$F$93+Assumptions!$F$94)+Assumptions!$F$95)+Assumptions!$F$96),0)+Assumptions!$F$97)+IF(AND((AC$2&gt;1),(MOD((AC$2-1),12)=0)),Assumptions!$F$98,0))+IF(AND((Assumptions!$F$11=1),(AC$2&gt;=Assumptions!$F$99)),Assumptions!$F$100,0))</f>
        <v/>
      </c>
      <c r="AD86" s="14">
        <f>(((IF((AD$2=1),(((Assumptions!$F$93+Assumptions!$F$94)+Assumptions!$F$95)+Assumptions!$F$96),0)+Assumptions!$F$97)+IF(AND((AD$2&gt;1),(MOD((AD$2-1),12)=0)),Assumptions!$F$98,0))+IF(AND((Assumptions!$F$11=1),(AD$2&gt;=Assumptions!$F$99)),Assumptions!$F$100,0))</f>
        <v/>
      </c>
      <c r="AE86" s="14">
        <f>(((IF((AE$2=1),(((Assumptions!$F$93+Assumptions!$F$94)+Assumptions!$F$95)+Assumptions!$F$96),0)+Assumptions!$F$97)+IF(AND((AE$2&gt;1),(MOD((AE$2-1),12)=0)),Assumptions!$F$98,0))+IF(AND((Assumptions!$F$11=1),(AE$2&gt;=Assumptions!$F$99)),Assumptions!$F$100,0))</f>
        <v/>
      </c>
      <c r="AF86" s="14">
        <f>(((IF((AF$2=1),(((Assumptions!$F$93+Assumptions!$F$94)+Assumptions!$F$95)+Assumptions!$F$96),0)+Assumptions!$F$97)+IF(AND((AF$2&gt;1),(MOD((AF$2-1),12)=0)),Assumptions!$F$98,0))+IF(AND((Assumptions!$F$11=1),(AF$2&gt;=Assumptions!$F$99)),Assumptions!$F$100,0))</f>
        <v/>
      </c>
      <c r="AG86" s="14">
        <f>(((IF((AG$2=1),(((Assumptions!$F$93+Assumptions!$F$94)+Assumptions!$F$95)+Assumptions!$F$96),0)+Assumptions!$F$97)+IF(AND((AG$2&gt;1),(MOD((AG$2-1),12)=0)),Assumptions!$F$98,0))+IF(AND((Assumptions!$F$11=1),(AG$2&gt;=Assumptions!$F$99)),Assumptions!$F$100,0))</f>
        <v/>
      </c>
      <c r="AH86" s="14">
        <f>(((IF((AH$2=1),(((Assumptions!$F$93+Assumptions!$F$94)+Assumptions!$F$95)+Assumptions!$F$96),0)+Assumptions!$F$97)+IF(AND((AH$2&gt;1),(MOD((AH$2-1),12)=0)),Assumptions!$F$98,0))+IF(AND((Assumptions!$F$11=1),(AH$2&gt;=Assumptions!$F$99)),Assumptions!$F$100,0))</f>
        <v/>
      </c>
      <c r="AI86" s="14">
        <f>(((IF((AI$2=1),(((Assumptions!$F$93+Assumptions!$F$94)+Assumptions!$F$95)+Assumptions!$F$96),0)+Assumptions!$F$97)+IF(AND((AI$2&gt;1),(MOD((AI$2-1),12)=0)),Assumptions!$F$98,0))+IF(AND((Assumptions!$F$11=1),(AI$2&gt;=Assumptions!$F$99)),Assumptions!$F$100,0))</f>
        <v/>
      </c>
      <c r="AJ86" s="14">
        <f>(((IF((AJ$2=1),(((Assumptions!$F$93+Assumptions!$F$94)+Assumptions!$F$95)+Assumptions!$F$96),0)+Assumptions!$F$97)+IF(AND((AJ$2&gt;1),(MOD((AJ$2-1),12)=0)),Assumptions!$F$98,0))+IF(AND((Assumptions!$F$11=1),(AJ$2&gt;=Assumptions!$F$99)),Assumptions!$F$100,0))</f>
        <v/>
      </c>
      <c r="AK86" s="14">
        <f>(((IF((AK$2=1),(((Assumptions!$F$93+Assumptions!$F$94)+Assumptions!$F$95)+Assumptions!$F$96),0)+Assumptions!$F$97)+IF(AND((AK$2&gt;1),(MOD((AK$2-1),12)=0)),Assumptions!$F$98,0))+IF(AND((Assumptions!$F$11=1),(AK$2&gt;=Assumptions!$F$99)),Assumptions!$F$100,0))</f>
        <v/>
      </c>
      <c r="AL86" s="14">
        <f>(((IF((AL$2=1),(((Assumptions!$F$93+Assumptions!$F$94)+Assumptions!$F$95)+Assumptions!$F$96),0)+Assumptions!$F$97)+IF(AND((AL$2&gt;1),(MOD((AL$2-1),12)=0)),Assumptions!$F$98,0))+IF(AND((Assumptions!$F$11=1),(AL$2&gt;=Assumptions!$F$99)),Assumptions!$F$100,0))</f>
        <v/>
      </c>
    </row>
    <row r="87">
      <c r="A87" s="6" t="inlineStr">
        <is>
          <t>Software / tools</t>
        </is>
      </c>
      <c r="B87" s="2" t="inlineStr">
        <is>
          <t>opex_tools</t>
        </is>
      </c>
      <c r="C87" s="14">
        <f>CHOOSE(C$3,Assumptions!$F$101,Assumptions!$F$102,Assumptions!$F$103)</f>
        <v/>
      </c>
      <c r="D87" s="14">
        <f>CHOOSE(D$3,Assumptions!$F$101,Assumptions!$F$102,Assumptions!$F$103)</f>
        <v/>
      </c>
      <c r="E87" s="14">
        <f>CHOOSE(E$3,Assumptions!$F$101,Assumptions!$F$102,Assumptions!$F$103)</f>
        <v/>
      </c>
      <c r="F87" s="14">
        <f>CHOOSE(F$3,Assumptions!$F$101,Assumptions!$F$102,Assumptions!$F$103)</f>
        <v/>
      </c>
      <c r="G87" s="14">
        <f>CHOOSE(G$3,Assumptions!$F$101,Assumptions!$F$102,Assumptions!$F$103)</f>
        <v/>
      </c>
      <c r="H87" s="14">
        <f>CHOOSE(H$3,Assumptions!$F$101,Assumptions!$F$102,Assumptions!$F$103)</f>
        <v/>
      </c>
      <c r="I87" s="14">
        <f>CHOOSE(I$3,Assumptions!$F$101,Assumptions!$F$102,Assumptions!$F$103)</f>
        <v/>
      </c>
      <c r="J87" s="14">
        <f>CHOOSE(J$3,Assumptions!$F$101,Assumptions!$F$102,Assumptions!$F$103)</f>
        <v/>
      </c>
      <c r="K87" s="14">
        <f>CHOOSE(K$3,Assumptions!$F$101,Assumptions!$F$102,Assumptions!$F$103)</f>
        <v/>
      </c>
      <c r="L87" s="14">
        <f>CHOOSE(L$3,Assumptions!$F$101,Assumptions!$F$102,Assumptions!$F$103)</f>
        <v/>
      </c>
      <c r="M87" s="14">
        <f>CHOOSE(M$3,Assumptions!$F$101,Assumptions!$F$102,Assumptions!$F$103)</f>
        <v/>
      </c>
      <c r="N87" s="14">
        <f>CHOOSE(N$3,Assumptions!$F$101,Assumptions!$F$102,Assumptions!$F$103)</f>
        <v/>
      </c>
      <c r="O87" s="14">
        <f>CHOOSE(O$3,Assumptions!$F$101,Assumptions!$F$102,Assumptions!$F$103)</f>
        <v/>
      </c>
      <c r="P87" s="14">
        <f>CHOOSE(P$3,Assumptions!$F$101,Assumptions!$F$102,Assumptions!$F$103)</f>
        <v/>
      </c>
      <c r="Q87" s="14">
        <f>CHOOSE(Q$3,Assumptions!$F$101,Assumptions!$F$102,Assumptions!$F$103)</f>
        <v/>
      </c>
      <c r="R87" s="14">
        <f>CHOOSE(R$3,Assumptions!$F$101,Assumptions!$F$102,Assumptions!$F$103)</f>
        <v/>
      </c>
      <c r="S87" s="14">
        <f>CHOOSE(S$3,Assumptions!$F$101,Assumptions!$F$102,Assumptions!$F$103)</f>
        <v/>
      </c>
      <c r="T87" s="14">
        <f>CHOOSE(T$3,Assumptions!$F$101,Assumptions!$F$102,Assumptions!$F$103)</f>
        <v/>
      </c>
      <c r="U87" s="14">
        <f>CHOOSE(U$3,Assumptions!$F$101,Assumptions!$F$102,Assumptions!$F$103)</f>
        <v/>
      </c>
      <c r="V87" s="14">
        <f>CHOOSE(V$3,Assumptions!$F$101,Assumptions!$F$102,Assumptions!$F$103)</f>
        <v/>
      </c>
      <c r="W87" s="14">
        <f>CHOOSE(W$3,Assumptions!$F$101,Assumptions!$F$102,Assumptions!$F$103)</f>
        <v/>
      </c>
      <c r="X87" s="14">
        <f>CHOOSE(X$3,Assumptions!$F$101,Assumptions!$F$102,Assumptions!$F$103)</f>
        <v/>
      </c>
      <c r="Y87" s="14">
        <f>CHOOSE(Y$3,Assumptions!$F$101,Assumptions!$F$102,Assumptions!$F$103)</f>
        <v/>
      </c>
      <c r="Z87" s="14">
        <f>CHOOSE(Z$3,Assumptions!$F$101,Assumptions!$F$102,Assumptions!$F$103)</f>
        <v/>
      </c>
      <c r="AA87" s="14">
        <f>CHOOSE(AA$3,Assumptions!$F$101,Assumptions!$F$102,Assumptions!$F$103)</f>
        <v/>
      </c>
      <c r="AB87" s="14">
        <f>CHOOSE(AB$3,Assumptions!$F$101,Assumptions!$F$102,Assumptions!$F$103)</f>
        <v/>
      </c>
      <c r="AC87" s="14">
        <f>CHOOSE(AC$3,Assumptions!$F$101,Assumptions!$F$102,Assumptions!$F$103)</f>
        <v/>
      </c>
      <c r="AD87" s="14">
        <f>CHOOSE(AD$3,Assumptions!$F$101,Assumptions!$F$102,Assumptions!$F$103)</f>
        <v/>
      </c>
      <c r="AE87" s="14">
        <f>CHOOSE(AE$3,Assumptions!$F$101,Assumptions!$F$102,Assumptions!$F$103)</f>
        <v/>
      </c>
      <c r="AF87" s="14">
        <f>CHOOSE(AF$3,Assumptions!$F$101,Assumptions!$F$102,Assumptions!$F$103)</f>
        <v/>
      </c>
      <c r="AG87" s="14">
        <f>CHOOSE(AG$3,Assumptions!$F$101,Assumptions!$F$102,Assumptions!$F$103)</f>
        <v/>
      </c>
      <c r="AH87" s="14">
        <f>CHOOSE(AH$3,Assumptions!$F$101,Assumptions!$F$102,Assumptions!$F$103)</f>
        <v/>
      </c>
      <c r="AI87" s="14">
        <f>CHOOSE(AI$3,Assumptions!$F$101,Assumptions!$F$102,Assumptions!$F$103)</f>
        <v/>
      </c>
      <c r="AJ87" s="14">
        <f>CHOOSE(AJ$3,Assumptions!$F$101,Assumptions!$F$102,Assumptions!$F$103)</f>
        <v/>
      </c>
      <c r="AK87" s="14">
        <f>CHOOSE(AK$3,Assumptions!$F$101,Assumptions!$F$102,Assumptions!$F$103)</f>
        <v/>
      </c>
      <c r="AL87" s="14">
        <f>CHOOSE(AL$3,Assumptions!$F$101,Assumptions!$F$102,Assumptions!$F$103)</f>
        <v/>
      </c>
    </row>
    <row r="88">
      <c r="A88" s="6" t="inlineStr">
        <is>
          <t>Apple / Google developer fees</t>
        </is>
      </c>
      <c r="B88" s="2" t="inlineStr">
        <is>
          <t>opex_stores</t>
        </is>
      </c>
      <c r="C88" s="14">
        <f>(IF((MOD((C$2-1),12)=0),Assumptions!$F$104,0)+IF((C$2=1),Assumptions!$F$105,0))</f>
        <v/>
      </c>
      <c r="D88" s="14">
        <f>(IF((MOD((D$2-1),12)=0),Assumptions!$F$104,0)+IF((D$2=1),Assumptions!$F$105,0))</f>
        <v/>
      </c>
      <c r="E88" s="14">
        <f>(IF((MOD((E$2-1),12)=0),Assumptions!$F$104,0)+IF((E$2=1),Assumptions!$F$105,0))</f>
        <v/>
      </c>
      <c r="F88" s="14">
        <f>(IF((MOD((F$2-1),12)=0),Assumptions!$F$104,0)+IF((F$2=1),Assumptions!$F$105,0))</f>
        <v/>
      </c>
      <c r="G88" s="14">
        <f>(IF((MOD((G$2-1),12)=0),Assumptions!$F$104,0)+IF((G$2=1),Assumptions!$F$105,0))</f>
        <v/>
      </c>
      <c r="H88" s="14">
        <f>(IF((MOD((H$2-1),12)=0),Assumptions!$F$104,0)+IF((H$2=1),Assumptions!$F$105,0))</f>
        <v/>
      </c>
      <c r="I88" s="14">
        <f>(IF((MOD((I$2-1),12)=0),Assumptions!$F$104,0)+IF((I$2=1),Assumptions!$F$105,0))</f>
        <v/>
      </c>
      <c r="J88" s="14">
        <f>(IF((MOD((J$2-1),12)=0),Assumptions!$F$104,0)+IF((J$2=1),Assumptions!$F$105,0))</f>
        <v/>
      </c>
      <c r="K88" s="14">
        <f>(IF((MOD((K$2-1),12)=0),Assumptions!$F$104,0)+IF((K$2=1),Assumptions!$F$105,0))</f>
        <v/>
      </c>
      <c r="L88" s="14">
        <f>(IF((MOD((L$2-1),12)=0),Assumptions!$F$104,0)+IF((L$2=1),Assumptions!$F$105,0))</f>
        <v/>
      </c>
      <c r="M88" s="14">
        <f>(IF((MOD((M$2-1),12)=0),Assumptions!$F$104,0)+IF((M$2=1),Assumptions!$F$105,0))</f>
        <v/>
      </c>
      <c r="N88" s="14">
        <f>(IF((MOD((N$2-1),12)=0),Assumptions!$F$104,0)+IF((N$2=1),Assumptions!$F$105,0))</f>
        <v/>
      </c>
      <c r="O88" s="14">
        <f>(IF((MOD((O$2-1),12)=0),Assumptions!$F$104,0)+IF((O$2=1),Assumptions!$F$105,0))</f>
        <v/>
      </c>
      <c r="P88" s="14">
        <f>(IF((MOD((P$2-1),12)=0),Assumptions!$F$104,0)+IF((P$2=1),Assumptions!$F$105,0))</f>
        <v/>
      </c>
      <c r="Q88" s="14">
        <f>(IF((MOD((Q$2-1),12)=0),Assumptions!$F$104,0)+IF((Q$2=1),Assumptions!$F$105,0))</f>
        <v/>
      </c>
      <c r="R88" s="14">
        <f>(IF((MOD((R$2-1),12)=0),Assumptions!$F$104,0)+IF((R$2=1),Assumptions!$F$105,0))</f>
        <v/>
      </c>
      <c r="S88" s="14">
        <f>(IF((MOD((S$2-1),12)=0),Assumptions!$F$104,0)+IF((S$2=1),Assumptions!$F$105,0))</f>
        <v/>
      </c>
      <c r="T88" s="14">
        <f>(IF((MOD((T$2-1),12)=0),Assumptions!$F$104,0)+IF((T$2=1),Assumptions!$F$105,0))</f>
        <v/>
      </c>
      <c r="U88" s="14">
        <f>(IF((MOD((U$2-1),12)=0),Assumptions!$F$104,0)+IF((U$2=1),Assumptions!$F$105,0))</f>
        <v/>
      </c>
      <c r="V88" s="14">
        <f>(IF((MOD((V$2-1),12)=0),Assumptions!$F$104,0)+IF((V$2=1),Assumptions!$F$105,0))</f>
        <v/>
      </c>
      <c r="W88" s="14">
        <f>(IF((MOD((W$2-1),12)=0),Assumptions!$F$104,0)+IF((W$2=1),Assumptions!$F$105,0))</f>
        <v/>
      </c>
      <c r="X88" s="14">
        <f>(IF((MOD((X$2-1),12)=0),Assumptions!$F$104,0)+IF((X$2=1),Assumptions!$F$105,0))</f>
        <v/>
      </c>
      <c r="Y88" s="14">
        <f>(IF((MOD((Y$2-1),12)=0),Assumptions!$F$104,0)+IF((Y$2=1),Assumptions!$F$105,0))</f>
        <v/>
      </c>
      <c r="Z88" s="14">
        <f>(IF((MOD((Z$2-1),12)=0),Assumptions!$F$104,0)+IF((Z$2=1),Assumptions!$F$105,0))</f>
        <v/>
      </c>
      <c r="AA88" s="14">
        <f>(IF((MOD((AA$2-1),12)=0),Assumptions!$F$104,0)+IF((AA$2=1),Assumptions!$F$105,0))</f>
        <v/>
      </c>
      <c r="AB88" s="14">
        <f>(IF((MOD((AB$2-1),12)=0),Assumptions!$F$104,0)+IF((AB$2=1),Assumptions!$F$105,0))</f>
        <v/>
      </c>
      <c r="AC88" s="14">
        <f>(IF((MOD((AC$2-1),12)=0),Assumptions!$F$104,0)+IF((AC$2=1),Assumptions!$F$105,0))</f>
        <v/>
      </c>
      <c r="AD88" s="14">
        <f>(IF((MOD((AD$2-1),12)=0),Assumptions!$F$104,0)+IF((AD$2=1),Assumptions!$F$105,0))</f>
        <v/>
      </c>
      <c r="AE88" s="14">
        <f>(IF((MOD((AE$2-1),12)=0),Assumptions!$F$104,0)+IF((AE$2=1),Assumptions!$F$105,0))</f>
        <v/>
      </c>
      <c r="AF88" s="14">
        <f>(IF((MOD((AF$2-1),12)=0),Assumptions!$F$104,0)+IF((AF$2=1),Assumptions!$F$105,0))</f>
        <v/>
      </c>
      <c r="AG88" s="14">
        <f>(IF((MOD((AG$2-1),12)=0),Assumptions!$F$104,0)+IF((AG$2=1),Assumptions!$F$105,0))</f>
        <v/>
      </c>
      <c r="AH88" s="14">
        <f>(IF((MOD((AH$2-1),12)=0),Assumptions!$F$104,0)+IF((AH$2=1),Assumptions!$F$105,0))</f>
        <v/>
      </c>
      <c r="AI88" s="14">
        <f>(IF((MOD((AI$2-1),12)=0),Assumptions!$F$104,0)+IF((AI$2=1),Assumptions!$F$105,0))</f>
        <v/>
      </c>
      <c r="AJ88" s="14">
        <f>(IF((MOD((AJ$2-1),12)=0),Assumptions!$F$104,0)+IF((AJ$2=1),Assumptions!$F$105,0))</f>
        <v/>
      </c>
      <c r="AK88" s="14">
        <f>(IF((MOD((AK$2-1),12)=0),Assumptions!$F$104,0)+IF((AK$2=1),Assumptions!$F$105,0))</f>
        <v/>
      </c>
      <c r="AL88" s="14">
        <f>(IF((MOD((AL$2-1),12)=0),Assumptions!$F$104,0)+IF((AL$2=1),Assumptions!$F$105,0))</f>
        <v/>
      </c>
    </row>
    <row r="89">
      <c r="A89" s="6" t="inlineStr">
        <is>
          <t>Insurance</t>
        </is>
      </c>
      <c r="B89" s="2" t="inlineStr">
        <is>
          <t>opex_insurance</t>
        </is>
      </c>
      <c r="C89" s="14">
        <f>Assumptions!$F$106</f>
        <v/>
      </c>
      <c r="D89" s="14">
        <f>Assumptions!$F$106</f>
        <v/>
      </c>
      <c r="E89" s="14">
        <f>Assumptions!$F$106</f>
        <v/>
      </c>
      <c r="F89" s="14">
        <f>Assumptions!$F$106</f>
        <v/>
      </c>
      <c r="G89" s="14">
        <f>Assumptions!$F$106</f>
        <v/>
      </c>
      <c r="H89" s="14">
        <f>Assumptions!$F$106</f>
        <v/>
      </c>
      <c r="I89" s="14">
        <f>Assumptions!$F$106</f>
        <v/>
      </c>
      <c r="J89" s="14">
        <f>Assumptions!$F$106</f>
        <v/>
      </c>
      <c r="K89" s="14">
        <f>Assumptions!$F$106</f>
        <v/>
      </c>
      <c r="L89" s="14">
        <f>Assumptions!$F$106</f>
        <v/>
      </c>
      <c r="M89" s="14">
        <f>Assumptions!$F$106</f>
        <v/>
      </c>
      <c r="N89" s="14">
        <f>Assumptions!$F$106</f>
        <v/>
      </c>
      <c r="O89" s="14">
        <f>Assumptions!$F$106</f>
        <v/>
      </c>
      <c r="P89" s="14">
        <f>Assumptions!$F$106</f>
        <v/>
      </c>
      <c r="Q89" s="14">
        <f>Assumptions!$F$106</f>
        <v/>
      </c>
      <c r="R89" s="14">
        <f>Assumptions!$F$106</f>
        <v/>
      </c>
      <c r="S89" s="14">
        <f>Assumptions!$F$106</f>
        <v/>
      </c>
      <c r="T89" s="14">
        <f>Assumptions!$F$106</f>
        <v/>
      </c>
      <c r="U89" s="14">
        <f>Assumptions!$F$106</f>
        <v/>
      </c>
      <c r="V89" s="14">
        <f>Assumptions!$F$106</f>
        <v/>
      </c>
      <c r="W89" s="14">
        <f>Assumptions!$F$106</f>
        <v/>
      </c>
      <c r="X89" s="14">
        <f>Assumptions!$F$106</f>
        <v/>
      </c>
      <c r="Y89" s="14">
        <f>Assumptions!$F$106</f>
        <v/>
      </c>
      <c r="Z89" s="14">
        <f>Assumptions!$F$106</f>
        <v/>
      </c>
      <c r="AA89" s="14">
        <f>Assumptions!$F$106</f>
        <v/>
      </c>
      <c r="AB89" s="14">
        <f>Assumptions!$F$106</f>
        <v/>
      </c>
      <c r="AC89" s="14">
        <f>Assumptions!$F$106</f>
        <v/>
      </c>
      <c r="AD89" s="14">
        <f>Assumptions!$F$106</f>
        <v/>
      </c>
      <c r="AE89" s="14">
        <f>Assumptions!$F$106</f>
        <v/>
      </c>
      <c r="AF89" s="14">
        <f>Assumptions!$F$106</f>
        <v/>
      </c>
      <c r="AG89" s="14">
        <f>Assumptions!$F$106</f>
        <v/>
      </c>
      <c r="AH89" s="14">
        <f>Assumptions!$F$106</f>
        <v/>
      </c>
      <c r="AI89" s="14">
        <f>Assumptions!$F$106</f>
        <v/>
      </c>
      <c r="AJ89" s="14">
        <f>Assumptions!$F$106</f>
        <v/>
      </c>
      <c r="AK89" s="14">
        <f>Assumptions!$F$106</f>
        <v/>
      </c>
      <c r="AL89" s="14">
        <f>Assumptions!$F$106</f>
        <v/>
      </c>
    </row>
    <row r="90">
      <c r="A90" s="21" t="inlineStr">
        <is>
          <t>Total operating expenses</t>
        </is>
      </c>
      <c r="B90" s="2" t="inlineStr">
        <is>
          <t>opex_total</t>
        </is>
      </c>
      <c r="C90" s="23">
        <f>((((((((C81+C82)+C83)+C84)+C85)+C86)+C87)+C88)+C89)</f>
        <v/>
      </c>
      <c r="D90" s="23">
        <f>((((((((D81+D82)+D83)+D84)+D85)+D86)+D87)+D88)+D89)</f>
        <v/>
      </c>
      <c r="E90" s="23">
        <f>((((((((E81+E82)+E83)+E84)+E85)+E86)+E87)+E88)+E89)</f>
        <v/>
      </c>
      <c r="F90" s="23">
        <f>((((((((F81+F82)+F83)+F84)+F85)+F86)+F87)+F88)+F89)</f>
        <v/>
      </c>
      <c r="G90" s="23">
        <f>((((((((G81+G82)+G83)+G84)+G85)+G86)+G87)+G88)+G89)</f>
        <v/>
      </c>
      <c r="H90" s="23">
        <f>((((((((H81+H82)+H83)+H84)+H85)+H86)+H87)+H88)+H89)</f>
        <v/>
      </c>
      <c r="I90" s="23">
        <f>((((((((I81+I82)+I83)+I84)+I85)+I86)+I87)+I88)+I89)</f>
        <v/>
      </c>
      <c r="J90" s="23">
        <f>((((((((J81+J82)+J83)+J84)+J85)+J86)+J87)+J88)+J89)</f>
        <v/>
      </c>
      <c r="K90" s="23">
        <f>((((((((K81+K82)+K83)+K84)+K85)+K86)+K87)+K88)+K89)</f>
        <v/>
      </c>
      <c r="L90" s="23">
        <f>((((((((L81+L82)+L83)+L84)+L85)+L86)+L87)+L88)+L89)</f>
        <v/>
      </c>
      <c r="M90" s="23">
        <f>((((((((M81+M82)+M83)+M84)+M85)+M86)+M87)+M88)+M89)</f>
        <v/>
      </c>
      <c r="N90" s="23">
        <f>((((((((N81+N82)+N83)+N84)+N85)+N86)+N87)+N88)+N89)</f>
        <v/>
      </c>
      <c r="O90" s="23">
        <f>((((((((O81+O82)+O83)+O84)+O85)+O86)+O87)+O88)+O89)</f>
        <v/>
      </c>
      <c r="P90" s="23">
        <f>((((((((P81+P82)+P83)+P84)+P85)+P86)+P87)+P88)+P89)</f>
        <v/>
      </c>
      <c r="Q90" s="23">
        <f>((((((((Q81+Q82)+Q83)+Q84)+Q85)+Q86)+Q87)+Q88)+Q89)</f>
        <v/>
      </c>
      <c r="R90" s="23">
        <f>((((((((R81+R82)+R83)+R84)+R85)+R86)+R87)+R88)+R89)</f>
        <v/>
      </c>
      <c r="S90" s="23">
        <f>((((((((S81+S82)+S83)+S84)+S85)+S86)+S87)+S88)+S89)</f>
        <v/>
      </c>
      <c r="T90" s="23">
        <f>((((((((T81+T82)+T83)+T84)+T85)+T86)+T87)+T88)+T89)</f>
        <v/>
      </c>
      <c r="U90" s="23">
        <f>((((((((U81+U82)+U83)+U84)+U85)+U86)+U87)+U88)+U89)</f>
        <v/>
      </c>
      <c r="V90" s="23">
        <f>((((((((V81+V82)+V83)+V84)+V85)+V86)+V87)+V88)+V89)</f>
        <v/>
      </c>
      <c r="W90" s="23">
        <f>((((((((W81+W82)+W83)+W84)+W85)+W86)+W87)+W88)+W89)</f>
        <v/>
      </c>
      <c r="X90" s="23">
        <f>((((((((X81+X82)+X83)+X84)+X85)+X86)+X87)+X88)+X89)</f>
        <v/>
      </c>
      <c r="Y90" s="23">
        <f>((((((((Y81+Y82)+Y83)+Y84)+Y85)+Y86)+Y87)+Y88)+Y89)</f>
        <v/>
      </c>
      <c r="Z90" s="23">
        <f>((((((((Z81+Z82)+Z83)+Z84)+Z85)+Z86)+Z87)+Z88)+Z89)</f>
        <v/>
      </c>
      <c r="AA90" s="23">
        <f>((((((((AA81+AA82)+AA83)+AA84)+AA85)+AA86)+AA87)+AA88)+AA89)</f>
        <v/>
      </c>
      <c r="AB90" s="23">
        <f>((((((((AB81+AB82)+AB83)+AB84)+AB85)+AB86)+AB87)+AB88)+AB89)</f>
        <v/>
      </c>
      <c r="AC90" s="23">
        <f>((((((((AC81+AC82)+AC83)+AC84)+AC85)+AC86)+AC87)+AC88)+AC89)</f>
        <v/>
      </c>
      <c r="AD90" s="23">
        <f>((((((((AD81+AD82)+AD83)+AD84)+AD85)+AD86)+AD87)+AD88)+AD89)</f>
        <v/>
      </c>
      <c r="AE90" s="23">
        <f>((((((((AE81+AE82)+AE83)+AE84)+AE85)+AE86)+AE87)+AE88)+AE89)</f>
        <v/>
      </c>
      <c r="AF90" s="23">
        <f>((((((((AF81+AF82)+AF83)+AF84)+AF85)+AF86)+AF87)+AF88)+AF89)</f>
        <v/>
      </c>
      <c r="AG90" s="23">
        <f>((((((((AG81+AG82)+AG83)+AG84)+AG85)+AG86)+AG87)+AG88)+AG89)</f>
        <v/>
      </c>
      <c r="AH90" s="23">
        <f>((((((((AH81+AH82)+AH83)+AH84)+AH85)+AH86)+AH87)+AH88)+AH89)</f>
        <v/>
      </c>
      <c r="AI90" s="23">
        <f>((((((((AI81+AI82)+AI83)+AI84)+AI85)+AI86)+AI87)+AI88)+AI89)</f>
        <v/>
      </c>
      <c r="AJ90" s="23">
        <f>((((((((AJ81+AJ82)+AJ83)+AJ84)+AJ85)+AJ86)+AJ87)+AJ88)+AJ89)</f>
        <v/>
      </c>
      <c r="AK90" s="23">
        <f>((((((((AK81+AK82)+AK83)+AK84)+AK85)+AK86)+AK87)+AK88)+AK89)</f>
        <v/>
      </c>
      <c r="AL90" s="23">
        <f>((((((((AL81+AL82)+AL83)+AL84)+AL85)+AL86)+AL87)+AL88)+AL89)</f>
        <v/>
      </c>
    </row>
    <row r="91">
      <c r="A91" s="21" t="inlineStr">
        <is>
          <t>OPERATING INCOME (EBIT)</t>
        </is>
      </c>
      <c r="B91" s="2" t="inlineStr">
        <is>
          <t>ebit</t>
        </is>
      </c>
      <c r="C91" s="23">
        <f>(C77-C90)</f>
        <v/>
      </c>
      <c r="D91" s="23">
        <f>(D77-D90)</f>
        <v/>
      </c>
      <c r="E91" s="23">
        <f>(E77-E90)</f>
        <v/>
      </c>
      <c r="F91" s="23">
        <f>(F77-F90)</f>
        <v/>
      </c>
      <c r="G91" s="23">
        <f>(G77-G90)</f>
        <v/>
      </c>
      <c r="H91" s="23">
        <f>(H77-H90)</f>
        <v/>
      </c>
      <c r="I91" s="23">
        <f>(I77-I90)</f>
        <v/>
      </c>
      <c r="J91" s="23">
        <f>(J77-J90)</f>
        <v/>
      </c>
      <c r="K91" s="23">
        <f>(K77-K90)</f>
        <v/>
      </c>
      <c r="L91" s="23">
        <f>(L77-L90)</f>
        <v/>
      </c>
      <c r="M91" s="23">
        <f>(M77-M90)</f>
        <v/>
      </c>
      <c r="N91" s="23">
        <f>(N77-N90)</f>
        <v/>
      </c>
      <c r="O91" s="23">
        <f>(O77-O90)</f>
        <v/>
      </c>
      <c r="P91" s="23">
        <f>(P77-P90)</f>
        <v/>
      </c>
      <c r="Q91" s="23">
        <f>(Q77-Q90)</f>
        <v/>
      </c>
      <c r="R91" s="23">
        <f>(R77-R90)</f>
        <v/>
      </c>
      <c r="S91" s="23">
        <f>(S77-S90)</f>
        <v/>
      </c>
      <c r="T91" s="23">
        <f>(T77-T90)</f>
        <v/>
      </c>
      <c r="U91" s="23">
        <f>(U77-U90)</f>
        <v/>
      </c>
      <c r="V91" s="23">
        <f>(V77-V90)</f>
        <v/>
      </c>
      <c r="W91" s="23">
        <f>(W77-W90)</f>
        <v/>
      </c>
      <c r="X91" s="23">
        <f>(X77-X90)</f>
        <v/>
      </c>
      <c r="Y91" s="23">
        <f>(Y77-Y90)</f>
        <v/>
      </c>
      <c r="Z91" s="23">
        <f>(Z77-Z90)</f>
        <v/>
      </c>
      <c r="AA91" s="23">
        <f>(AA77-AA90)</f>
        <v/>
      </c>
      <c r="AB91" s="23">
        <f>(AB77-AB90)</f>
        <v/>
      </c>
      <c r="AC91" s="23">
        <f>(AC77-AC90)</f>
        <v/>
      </c>
      <c r="AD91" s="23">
        <f>(AD77-AD90)</f>
        <v/>
      </c>
      <c r="AE91" s="23">
        <f>(AE77-AE90)</f>
        <v/>
      </c>
      <c r="AF91" s="23">
        <f>(AF77-AF90)</f>
        <v/>
      </c>
      <c r="AG91" s="23">
        <f>(AG77-AG90)</f>
        <v/>
      </c>
      <c r="AH91" s="23">
        <f>(AH77-AH90)</f>
        <v/>
      </c>
      <c r="AI91" s="23">
        <f>(AI77-AI90)</f>
        <v/>
      </c>
      <c r="AJ91" s="23">
        <f>(AJ77-AJ90)</f>
        <v/>
      </c>
      <c r="AK91" s="23">
        <f>(AK77-AK90)</f>
        <v/>
      </c>
      <c r="AL91" s="23">
        <f>(AL77-AL90)</f>
        <v/>
      </c>
    </row>
    <row r="92">
      <c r="A92" s="6" t="inlineStr">
        <is>
          <t>Operating margin</t>
        </is>
      </c>
      <c r="B92" s="2" t="inlineStr">
        <is>
          <t>ebit_margin</t>
        </is>
      </c>
      <c r="C92" s="16">
        <f>IF(C67=0,0,C91/C67)</f>
        <v/>
      </c>
      <c r="D92" s="16">
        <f>IF(D67=0,0,D91/D67)</f>
        <v/>
      </c>
      <c r="E92" s="16">
        <f>IF(E67=0,0,E91/E67)</f>
        <v/>
      </c>
      <c r="F92" s="16">
        <f>IF(F67=0,0,F91/F67)</f>
        <v/>
      </c>
      <c r="G92" s="16">
        <f>IF(G67=0,0,G91/G67)</f>
        <v/>
      </c>
      <c r="H92" s="16">
        <f>IF(H67=0,0,H91/H67)</f>
        <v/>
      </c>
      <c r="I92" s="16">
        <f>IF(I67=0,0,I91/I67)</f>
        <v/>
      </c>
      <c r="J92" s="16">
        <f>IF(J67=0,0,J91/J67)</f>
        <v/>
      </c>
      <c r="K92" s="16">
        <f>IF(K67=0,0,K91/K67)</f>
        <v/>
      </c>
      <c r="L92" s="16">
        <f>IF(L67=0,0,L91/L67)</f>
        <v/>
      </c>
      <c r="M92" s="16">
        <f>IF(M67=0,0,M91/M67)</f>
        <v/>
      </c>
      <c r="N92" s="16">
        <f>IF(N67=0,0,N91/N67)</f>
        <v/>
      </c>
      <c r="O92" s="16">
        <f>IF(O67=0,0,O91/O67)</f>
        <v/>
      </c>
      <c r="P92" s="16">
        <f>IF(P67=0,0,P91/P67)</f>
        <v/>
      </c>
      <c r="Q92" s="16">
        <f>IF(Q67=0,0,Q91/Q67)</f>
        <v/>
      </c>
      <c r="R92" s="16">
        <f>IF(R67=0,0,R91/R67)</f>
        <v/>
      </c>
      <c r="S92" s="16">
        <f>IF(S67=0,0,S91/S67)</f>
        <v/>
      </c>
      <c r="T92" s="16">
        <f>IF(T67=0,0,T91/T67)</f>
        <v/>
      </c>
      <c r="U92" s="16">
        <f>IF(U67=0,0,U91/U67)</f>
        <v/>
      </c>
      <c r="V92" s="16">
        <f>IF(V67=0,0,V91/V67)</f>
        <v/>
      </c>
      <c r="W92" s="16">
        <f>IF(W67=0,0,W91/W67)</f>
        <v/>
      </c>
      <c r="X92" s="16">
        <f>IF(X67=0,0,X91/X67)</f>
        <v/>
      </c>
      <c r="Y92" s="16">
        <f>IF(Y67=0,0,Y91/Y67)</f>
        <v/>
      </c>
      <c r="Z92" s="16">
        <f>IF(Z67=0,0,Z91/Z67)</f>
        <v/>
      </c>
      <c r="AA92" s="16">
        <f>IF(AA67=0,0,AA91/AA67)</f>
        <v/>
      </c>
      <c r="AB92" s="16">
        <f>IF(AB67=0,0,AB91/AB67)</f>
        <v/>
      </c>
      <c r="AC92" s="16">
        <f>IF(AC67=0,0,AC91/AC67)</f>
        <v/>
      </c>
      <c r="AD92" s="16">
        <f>IF(AD67=0,0,AD91/AD67)</f>
        <v/>
      </c>
      <c r="AE92" s="16">
        <f>IF(AE67=0,0,AE91/AE67)</f>
        <v/>
      </c>
      <c r="AF92" s="16">
        <f>IF(AF67=0,0,AF91/AF67)</f>
        <v/>
      </c>
      <c r="AG92" s="16">
        <f>IF(AG67=0,0,AG91/AG67)</f>
        <v/>
      </c>
      <c r="AH92" s="16">
        <f>IF(AH67=0,0,AH91/AH67)</f>
        <v/>
      </c>
      <c r="AI92" s="16">
        <f>IF(AI67=0,0,AI91/AI67)</f>
        <v/>
      </c>
      <c r="AJ92" s="16">
        <f>IF(AJ67=0,0,AJ91/AJ67)</f>
        <v/>
      </c>
      <c r="AK92" s="16">
        <f>IF(AK67=0,0,AK91/AK67)</f>
        <v/>
      </c>
      <c r="AL92" s="16">
        <f>IF(AL67=0,0,AL91/AL67)</f>
        <v/>
      </c>
    </row>
    <row r="94">
      <c r="A94" s="4" t="inlineStr">
        <is>
          <t>CASH</t>
        </is>
      </c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</row>
    <row r="95">
      <c r="A95" s="6" t="inlineStr">
        <is>
          <t>In-app billings net of refunds &amp; store fee</t>
        </is>
      </c>
      <c r="B95" s="2" t="inlineStr">
        <is>
          <t>bill_net</t>
        </is>
      </c>
      <c r="C95" s="14">
        <f>(C30*Assumptions!$F$112)</f>
        <v/>
      </c>
      <c r="D95" s="14">
        <f>(D30*Assumptions!$F$112)</f>
        <v/>
      </c>
      <c r="E95" s="14">
        <f>(E30*Assumptions!$F$112)</f>
        <v/>
      </c>
      <c r="F95" s="14">
        <f>(F30*Assumptions!$F$112)</f>
        <v/>
      </c>
      <c r="G95" s="14">
        <f>(G30*Assumptions!$F$112)</f>
        <v/>
      </c>
      <c r="H95" s="14">
        <f>(H30*Assumptions!$F$112)</f>
        <v/>
      </c>
      <c r="I95" s="14">
        <f>(I30*Assumptions!$F$112)</f>
        <v/>
      </c>
      <c r="J95" s="14">
        <f>(J30*Assumptions!$F$112)</f>
        <v/>
      </c>
      <c r="K95" s="14">
        <f>(K30*Assumptions!$F$112)</f>
        <v/>
      </c>
      <c r="L95" s="14">
        <f>(L30*Assumptions!$F$112)</f>
        <v/>
      </c>
      <c r="M95" s="14">
        <f>(M30*Assumptions!$F$112)</f>
        <v/>
      </c>
      <c r="N95" s="14">
        <f>(N30*Assumptions!$F$112)</f>
        <v/>
      </c>
      <c r="O95" s="14">
        <f>(O30*Assumptions!$F$112)</f>
        <v/>
      </c>
      <c r="P95" s="14">
        <f>(P30*Assumptions!$F$112)</f>
        <v/>
      </c>
      <c r="Q95" s="14">
        <f>(Q30*Assumptions!$F$112)</f>
        <v/>
      </c>
      <c r="R95" s="14">
        <f>(R30*Assumptions!$F$112)</f>
        <v/>
      </c>
      <c r="S95" s="14">
        <f>(S30*Assumptions!$F$112)</f>
        <v/>
      </c>
      <c r="T95" s="14">
        <f>(T30*Assumptions!$F$112)</f>
        <v/>
      </c>
      <c r="U95" s="14">
        <f>(U30*Assumptions!$F$112)</f>
        <v/>
      </c>
      <c r="V95" s="14">
        <f>(V30*Assumptions!$F$112)</f>
        <v/>
      </c>
      <c r="W95" s="14">
        <f>(W30*Assumptions!$F$112)</f>
        <v/>
      </c>
      <c r="X95" s="14">
        <f>(X30*Assumptions!$F$112)</f>
        <v/>
      </c>
      <c r="Y95" s="14">
        <f>(Y30*Assumptions!$F$112)</f>
        <v/>
      </c>
      <c r="Z95" s="14">
        <f>(Z30*Assumptions!$F$112)</f>
        <v/>
      </c>
      <c r="AA95" s="14">
        <f>(AA30*Assumptions!$F$112)</f>
        <v/>
      </c>
      <c r="AB95" s="14">
        <f>(AB30*Assumptions!$F$112)</f>
        <v/>
      </c>
      <c r="AC95" s="14">
        <f>(AC30*Assumptions!$F$112)</f>
        <v/>
      </c>
      <c r="AD95" s="14">
        <f>(AD30*Assumptions!$F$112)</f>
        <v/>
      </c>
      <c r="AE95" s="14">
        <f>(AE30*Assumptions!$F$112)</f>
        <v/>
      </c>
      <c r="AF95" s="14">
        <f>(AF30*Assumptions!$F$112)</f>
        <v/>
      </c>
      <c r="AG95" s="14">
        <f>(AG30*Assumptions!$F$112)</f>
        <v/>
      </c>
      <c r="AH95" s="14">
        <f>(AH30*Assumptions!$F$112)</f>
        <v/>
      </c>
      <c r="AI95" s="14">
        <f>(AI30*Assumptions!$F$112)</f>
        <v/>
      </c>
      <c r="AJ95" s="14">
        <f>(AJ30*Assumptions!$F$112)</f>
        <v/>
      </c>
      <c r="AK95" s="14">
        <f>(AK30*Assumptions!$F$112)</f>
        <v/>
      </c>
      <c r="AL95" s="14">
        <f>(AL30*Assumptions!$F$112)</f>
        <v/>
      </c>
    </row>
    <row r="96">
      <c r="A96" s="6" t="inlineStr">
        <is>
          <t>Change in deferred revenue (annual plans paid upfront)</t>
        </is>
      </c>
      <c r="B96" s="2" t="inlineStr">
        <is>
          <t>deferred_chg</t>
        </is>
      </c>
      <c r="C96" s="14">
        <f>(C95-C60)</f>
        <v/>
      </c>
      <c r="D96" s="14">
        <f>(D95-D60)</f>
        <v/>
      </c>
      <c r="E96" s="14">
        <f>(E95-E60)</f>
        <v/>
      </c>
      <c r="F96" s="14">
        <f>(F95-F60)</f>
        <v/>
      </c>
      <c r="G96" s="14">
        <f>(G95-G60)</f>
        <v/>
      </c>
      <c r="H96" s="14">
        <f>(H95-H60)</f>
        <v/>
      </c>
      <c r="I96" s="14">
        <f>(I95-I60)</f>
        <v/>
      </c>
      <c r="J96" s="14">
        <f>(J95-J60)</f>
        <v/>
      </c>
      <c r="K96" s="14">
        <f>(K95-K60)</f>
        <v/>
      </c>
      <c r="L96" s="14">
        <f>(L95-L60)</f>
        <v/>
      </c>
      <c r="M96" s="14">
        <f>(M95-M60)</f>
        <v/>
      </c>
      <c r="N96" s="14">
        <f>(N95-N60)</f>
        <v/>
      </c>
      <c r="O96" s="14">
        <f>(O95-O60)</f>
        <v/>
      </c>
      <c r="P96" s="14">
        <f>(P95-P60)</f>
        <v/>
      </c>
      <c r="Q96" s="14">
        <f>(Q95-Q60)</f>
        <v/>
      </c>
      <c r="R96" s="14">
        <f>(R95-R60)</f>
        <v/>
      </c>
      <c r="S96" s="14">
        <f>(S95-S60)</f>
        <v/>
      </c>
      <c r="T96" s="14">
        <f>(T95-T60)</f>
        <v/>
      </c>
      <c r="U96" s="14">
        <f>(U95-U60)</f>
        <v/>
      </c>
      <c r="V96" s="14">
        <f>(V95-V60)</f>
        <v/>
      </c>
      <c r="W96" s="14">
        <f>(W95-W60)</f>
        <v/>
      </c>
      <c r="X96" s="14">
        <f>(X95-X60)</f>
        <v/>
      </c>
      <c r="Y96" s="14">
        <f>(Y95-Y60)</f>
        <v/>
      </c>
      <c r="Z96" s="14">
        <f>(Z95-Z60)</f>
        <v/>
      </c>
      <c r="AA96" s="14">
        <f>(AA95-AA60)</f>
        <v/>
      </c>
      <c r="AB96" s="14">
        <f>(AB95-AB60)</f>
        <v/>
      </c>
      <c r="AC96" s="14">
        <f>(AC95-AC60)</f>
        <v/>
      </c>
      <c r="AD96" s="14">
        <f>(AD95-AD60)</f>
        <v/>
      </c>
      <c r="AE96" s="14">
        <f>(AE95-AE60)</f>
        <v/>
      </c>
      <c r="AF96" s="14">
        <f>(AF95-AF60)</f>
        <v/>
      </c>
      <c r="AG96" s="14">
        <f>(AG95-AG60)</f>
        <v/>
      </c>
      <c r="AH96" s="14">
        <f>(AH95-AH60)</f>
        <v/>
      </c>
      <c r="AI96" s="14">
        <f>(AI95-AI60)</f>
        <v/>
      </c>
      <c r="AJ96" s="14">
        <f>(AJ95-AJ60)</f>
        <v/>
      </c>
      <c r="AK96" s="14">
        <f>(AK95-AK60)</f>
        <v/>
      </c>
      <c r="AL96" s="14">
        <f>(AL95-AL60)</f>
        <v/>
      </c>
    </row>
    <row r="97">
      <c r="A97" s="21" t="inlineStr">
        <is>
          <t>Operating cash flow</t>
        </is>
      </c>
      <c r="B97" s="2" t="inlineStr">
        <is>
          <t>cash_flow</t>
        </is>
      </c>
      <c r="C97" s="23">
        <f>(C91+C96)</f>
        <v/>
      </c>
      <c r="D97" s="23">
        <f>(D91+D96)</f>
        <v/>
      </c>
      <c r="E97" s="23">
        <f>(E91+E96)</f>
        <v/>
      </c>
      <c r="F97" s="23">
        <f>(F91+F96)</f>
        <v/>
      </c>
      <c r="G97" s="23">
        <f>(G91+G96)</f>
        <v/>
      </c>
      <c r="H97" s="23">
        <f>(H91+H96)</f>
        <v/>
      </c>
      <c r="I97" s="23">
        <f>(I91+I96)</f>
        <v/>
      </c>
      <c r="J97" s="23">
        <f>(J91+J96)</f>
        <v/>
      </c>
      <c r="K97" s="23">
        <f>(K91+K96)</f>
        <v/>
      </c>
      <c r="L97" s="23">
        <f>(L91+L96)</f>
        <v/>
      </c>
      <c r="M97" s="23">
        <f>(M91+M96)</f>
        <v/>
      </c>
      <c r="N97" s="23">
        <f>(N91+N96)</f>
        <v/>
      </c>
      <c r="O97" s="23">
        <f>(O91+O96)</f>
        <v/>
      </c>
      <c r="P97" s="23">
        <f>(P91+P96)</f>
        <v/>
      </c>
      <c r="Q97" s="23">
        <f>(Q91+Q96)</f>
        <v/>
      </c>
      <c r="R97" s="23">
        <f>(R91+R96)</f>
        <v/>
      </c>
      <c r="S97" s="23">
        <f>(S91+S96)</f>
        <v/>
      </c>
      <c r="T97" s="23">
        <f>(T91+T96)</f>
        <v/>
      </c>
      <c r="U97" s="23">
        <f>(U91+U96)</f>
        <v/>
      </c>
      <c r="V97" s="23">
        <f>(V91+V96)</f>
        <v/>
      </c>
      <c r="W97" s="23">
        <f>(W91+W96)</f>
        <v/>
      </c>
      <c r="X97" s="23">
        <f>(X91+X96)</f>
        <v/>
      </c>
      <c r="Y97" s="23">
        <f>(Y91+Y96)</f>
        <v/>
      </c>
      <c r="Z97" s="23">
        <f>(Z91+Z96)</f>
        <v/>
      </c>
      <c r="AA97" s="23">
        <f>(AA91+AA96)</f>
        <v/>
      </c>
      <c r="AB97" s="23">
        <f>(AB91+AB96)</f>
        <v/>
      </c>
      <c r="AC97" s="23">
        <f>(AC91+AC96)</f>
        <v/>
      </c>
      <c r="AD97" s="23">
        <f>(AD91+AD96)</f>
        <v/>
      </c>
      <c r="AE97" s="23">
        <f>(AE91+AE96)</f>
        <v/>
      </c>
      <c r="AF97" s="23">
        <f>(AF91+AF96)</f>
        <v/>
      </c>
      <c r="AG97" s="23">
        <f>(AG91+AG96)</f>
        <v/>
      </c>
      <c r="AH97" s="23">
        <f>(AH91+AH96)</f>
        <v/>
      </c>
      <c r="AI97" s="23">
        <f>(AI91+AI96)</f>
        <v/>
      </c>
      <c r="AJ97" s="23">
        <f>(AJ91+AJ96)</f>
        <v/>
      </c>
      <c r="AK97" s="23">
        <f>(AK91+AK96)</f>
        <v/>
      </c>
      <c r="AL97" s="23">
        <f>(AL91+AL96)</f>
        <v/>
      </c>
    </row>
    <row r="98">
      <c r="A98" s="21" t="inlineStr">
        <is>
          <t>Cumulative cash (from $0 at launch)</t>
        </is>
      </c>
      <c r="B98" s="2" t="inlineStr">
        <is>
          <t>cash_cum</t>
        </is>
      </c>
      <c r="C98" s="23">
        <f>(0+C97)</f>
        <v/>
      </c>
      <c r="D98" s="23">
        <f>(C98+D97)</f>
        <v/>
      </c>
      <c r="E98" s="23">
        <f>(D98+E97)</f>
        <v/>
      </c>
      <c r="F98" s="23">
        <f>(E98+F97)</f>
        <v/>
      </c>
      <c r="G98" s="23">
        <f>(F98+G97)</f>
        <v/>
      </c>
      <c r="H98" s="23">
        <f>(G98+H97)</f>
        <v/>
      </c>
      <c r="I98" s="23">
        <f>(H98+I97)</f>
        <v/>
      </c>
      <c r="J98" s="23">
        <f>(I98+J97)</f>
        <v/>
      </c>
      <c r="K98" s="23">
        <f>(J98+K97)</f>
        <v/>
      </c>
      <c r="L98" s="23">
        <f>(K98+L97)</f>
        <v/>
      </c>
      <c r="M98" s="23">
        <f>(L98+M97)</f>
        <v/>
      </c>
      <c r="N98" s="23">
        <f>(M98+N97)</f>
        <v/>
      </c>
      <c r="O98" s="23">
        <f>(N98+O97)</f>
        <v/>
      </c>
      <c r="P98" s="23">
        <f>(O98+P97)</f>
        <v/>
      </c>
      <c r="Q98" s="23">
        <f>(P98+Q97)</f>
        <v/>
      </c>
      <c r="R98" s="23">
        <f>(Q98+R97)</f>
        <v/>
      </c>
      <c r="S98" s="23">
        <f>(R98+S97)</f>
        <v/>
      </c>
      <c r="T98" s="23">
        <f>(S98+T97)</f>
        <v/>
      </c>
      <c r="U98" s="23">
        <f>(T98+U97)</f>
        <v/>
      </c>
      <c r="V98" s="23">
        <f>(U98+V97)</f>
        <v/>
      </c>
      <c r="W98" s="23">
        <f>(V98+W97)</f>
        <v/>
      </c>
      <c r="X98" s="23">
        <f>(W98+X97)</f>
        <v/>
      </c>
      <c r="Y98" s="23">
        <f>(X98+Y97)</f>
        <v/>
      </c>
      <c r="Z98" s="23">
        <f>(Y98+Z97)</f>
        <v/>
      </c>
      <c r="AA98" s="23">
        <f>(Z98+AA97)</f>
        <v/>
      </c>
      <c r="AB98" s="23">
        <f>(AA98+AB97)</f>
        <v/>
      </c>
      <c r="AC98" s="23">
        <f>(AB98+AC97)</f>
        <v/>
      </c>
      <c r="AD98" s="23">
        <f>(AC98+AD97)</f>
        <v/>
      </c>
      <c r="AE98" s="23">
        <f>(AD98+AE97)</f>
        <v/>
      </c>
      <c r="AF98" s="23">
        <f>(AE98+AF97)</f>
        <v/>
      </c>
      <c r="AG98" s="23">
        <f>(AF98+AG97)</f>
        <v/>
      </c>
      <c r="AH98" s="23">
        <f>(AG98+AH97)</f>
        <v/>
      </c>
      <c r="AI98" s="23">
        <f>(AH98+AI97)</f>
        <v/>
      </c>
      <c r="AJ98" s="23">
        <f>(AI98+AJ97)</f>
        <v/>
      </c>
      <c r="AK98" s="23">
        <f>(AJ98+AK97)</f>
        <v/>
      </c>
      <c r="AL98" s="23">
        <f>(AK98+AL97)</f>
        <v/>
      </c>
    </row>
    <row r="99">
      <c r="A99" s="6" t="inlineStr">
        <is>
          <t>Cumulative operating income</t>
        </is>
      </c>
      <c r="B99" s="2" t="inlineStr">
        <is>
          <t>ebit_cum</t>
        </is>
      </c>
      <c r="C99" s="14">
        <f>(0+C91)</f>
        <v/>
      </c>
      <c r="D99" s="14">
        <f>(C99+D91)</f>
        <v/>
      </c>
      <c r="E99" s="14">
        <f>(D99+E91)</f>
        <v/>
      </c>
      <c r="F99" s="14">
        <f>(E99+F91)</f>
        <v/>
      </c>
      <c r="G99" s="14">
        <f>(F99+G91)</f>
        <v/>
      </c>
      <c r="H99" s="14">
        <f>(G99+H91)</f>
        <v/>
      </c>
      <c r="I99" s="14">
        <f>(H99+I91)</f>
        <v/>
      </c>
      <c r="J99" s="14">
        <f>(I99+J91)</f>
        <v/>
      </c>
      <c r="K99" s="14">
        <f>(J99+K91)</f>
        <v/>
      </c>
      <c r="L99" s="14">
        <f>(K99+L91)</f>
        <v/>
      </c>
      <c r="M99" s="14">
        <f>(L99+M91)</f>
        <v/>
      </c>
      <c r="N99" s="14">
        <f>(M99+N91)</f>
        <v/>
      </c>
      <c r="O99" s="14">
        <f>(N99+O91)</f>
        <v/>
      </c>
      <c r="P99" s="14">
        <f>(O99+P91)</f>
        <v/>
      </c>
      <c r="Q99" s="14">
        <f>(P99+Q91)</f>
        <v/>
      </c>
      <c r="R99" s="14">
        <f>(Q99+R91)</f>
        <v/>
      </c>
      <c r="S99" s="14">
        <f>(R99+S91)</f>
        <v/>
      </c>
      <c r="T99" s="14">
        <f>(S99+T91)</f>
        <v/>
      </c>
      <c r="U99" s="14">
        <f>(T99+U91)</f>
        <v/>
      </c>
      <c r="V99" s="14">
        <f>(U99+V91)</f>
        <v/>
      </c>
      <c r="W99" s="14">
        <f>(V99+W91)</f>
        <v/>
      </c>
      <c r="X99" s="14">
        <f>(W99+X91)</f>
        <v/>
      </c>
      <c r="Y99" s="14">
        <f>(X99+Y91)</f>
        <v/>
      </c>
      <c r="Z99" s="14">
        <f>(Y99+Z91)</f>
        <v/>
      </c>
      <c r="AA99" s="14">
        <f>(Z99+AA91)</f>
        <v/>
      </c>
      <c r="AB99" s="14">
        <f>(AA99+AB91)</f>
        <v/>
      </c>
      <c r="AC99" s="14">
        <f>(AB99+AC91)</f>
        <v/>
      </c>
      <c r="AD99" s="14">
        <f>(AC99+AD91)</f>
        <v/>
      </c>
      <c r="AE99" s="14">
        <f>(AD99+AE91)</f>
        <v/>
      </c>
      <c r="AF99" s="14">
        <f>(AE99+AF91)</f>
        <v/>
      </c>
      <c r="AG99" s="14">
        <f>(AF99+AG91)</f>
        <v/>
      </c>
      <c r="AH99" s="14">
        <f>(AG99+AH91)</f>
        <v/>
      </c>
      <c r="AI99" s="14">
        <f>(AH99+AI91)</f>
        <v/>
      </c>
      <c r="AJ99" s="14">
        <f>(AI99+AJ91)</f>
        <v/>
      </c>
      <c r="AK99" s="14">
        <f>(AJ99+AK91)</f>
        <v/>
      </c>
      <c r="AL99" s="14">
        <f>(AK99+AL91)</f>
        <v/>
      </c>
    </row>
    <row r="101">
      <c r="A101" s="4" t="inlineStr">
        <is>
          <t>KPIs</t>
        </is>
      </c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</row>
    <row r="102">
      <c r="A102" s="6" t="inlineStr">
        <is>
          <t>ARPU: total revenue / MAU</t>
        </is>
      </c>
      <c r="B102" s="2" t="inlineStr">
        <is>
          <t>arpu</t>
        </is>
      </c>
      <c r="C102" s="15">
        <f>IF(C36=0,0,C67/C36)</f>
        <v/>
      </c>
      <c r="D102" s="15">
        <f>IF(D36=0,0,D67/D36)</f>
        <v/>
      </c>
      <c r="E102" s="15">
        <f>IF(E36=0,0,E67/E36)</f>
        <v/>
      </c>
      <c r="F102" s="15">
        <f>IF(F36=0,0,F67/F36)</f>
        <v/>
      </c>
      <c r="G102" s="15">
        <f>IF(G36=0,0,G67/G36)</f>
        <v/>
      </c>
      <c r="H102" s="15">
        <f>IF(H36=0,0,H67/H36)</f>
        <v/>
      </c>
      <c r="I102" s="15">
        <f>IF(I36=0,0,I67/I36)</f>
        <v/>
      </c>
      <c r="J102" s="15">
        <f>IF(J36=0,0,J67/J36)</f>
        <v/>
      </c>
      <c r="K102" s="15">
        <f>IF(K36=0,0,K67/K36)</f>
        <v/>
      </c>
      <c r="L102" s="15">
        <f>IF(L36=0,0,L67/L36)</f>
        <v/>
      </c>
      <c r="M102" s="15">
        <f>IF(M36=0,0,M67/M36)</f>
        <v/>
      </c>
      <c r="N102" s="15">
        <f>IF(N36=0,0,N67/N36)</f>
        <v/>
      </c>
      <c r="O102" s="15">
        <f>IF(O36=0,0,O67/O36)</f>
        <v/>
      </c>
      <c r="P102" s="15">
        <f>IF(P36=0,0,P67/P36)</f>
        <v/>
      </c>
      <c r="Q102" s="15">
        <f>IF(Q36=0,0,Q67/Q36)</f>
        <v/>
      </c>
      <c r="R102" s="15">
        <f>IF(R36=0,0,R67/R36)</f>
        <v/>
      </c>
      <c r="S102" s="15">
        <f>IF(S36=0,0,S67/S36)</f>
        <v/>
      </c>
      <c r="T102" s="15">
        <f>IF(T36=0,0,T67/T36)</f>
        <v/>
      </c>
      <c r="U102" s="15">
        <f>IF(U36=0,0,U67/U36)</f>
        <v/>
      </c>
      <c r="V102" s="15">
        <f>IF(V36=0,0,V67/V36)</f>
        <v/>
      </c>
      <c r="W102" s="15">
        <f>IF(W36=0,0,W67/W36)</f>
        <v/>
      </c>
      <c r="X102" s="15">
        <f>IF(X36=0,0,X67/X36)</f>
        <v/>
      </c>
      <c r="Y102" s="15">
        <f>IF(Y36=0,0,Y67/Y36)</f>
        <v/>
      </c>
      <c r="Z102" s="15">
        <f>IF(Z36=0,0,Z67/Z36)</f>
        <v/>
      </c>
      <c r="AA102" s="15">
        <f>IF(AA36=0,0,AA67/AA36)</f>
        <v/>
      </c>
      <c r="AB102" s="15">
        <f>IF(AB36=0,0,AB67/AB36)</f>
        <v/>
      </c>
      <c r="AC102" s="15">
        <f>IF(AC36=0,0,AC67/AC36)</f>
        <v/>
      </c>
      <c r="AD102" s="15">
        <f>IF(AD36=0,0,AD67/AD36)</f>
        <v/>
      </c>
      <c r="AE102" s="15">
        <f>IF(AE36=0,0,AE67/AE36)</f>
        <v/>
      </c>
      <c r="AF102" s="15">
        <f>IF(AF36=0,0,AF67/AF36)</f>
        <v/>
      </c>
      <c r="AG102" s="15">
        <f>IF(AG36=0,0,AG67/AG36)</f>
        <v/>
      </c>
      <c r="AH102" s="15">
        <f>IF(AH36=0,0,AH67/AH36)</f>
        <v/>
      </c>
      <c r="AI102" s="15">
        <f>IF(AI36=0,0,AI67/AI36)</f>
        <v/>
      </c>
      <c r="AJ102" s="15">
        <f>IF(AJ36=0,0,AJ67/AJ36)</f>
        <v/>
      </c>
      <c r="AK102" s="15">
        <f>IF(AK36=0,0,AK67/AK36)</f>
        <v/>
      </c>
      <c r="AL102" s="15">
        <f>IF(AL36=0,0,AL67/AL36)</f>
        <v/>
      </c>
    </row>
    <row r="103">
      <c r="A103" s="6" t="inlineStr">
        <is>
          <t>ARPPU: net subscription revenue / paid subscriber</t>
        </is>
      </c>
      <c r="B103" s="2" t="inlineStr">
        <is>
          <t>arppu</t>
        </is>
      </c>
      <c r="C103" s="15">
        <f>IF(C29=0,0,C60/C29)</f>
        <v/>
      </c>
      <c r="D103" s="15">
        <f>IF(D29=0,0,D60/D29)</f>
        <v/>
      </c>
      <c r="E103" s="15">
        <f>IF(E29=0,0,E60/E29)</f>
        <v/>
      </c>
      <c r="F103" s="15">
        <f>IF(F29=0,0,F60/F29)</f>
        <v/>
      </c>
      <c r="G103" s="15">
        <f>IF(G29=0,0,G60/G29)</f>
        <v/>
      </c>
      <c r="H103" s="15">
        <f>IF(H29=0,0,H60/H29)</f>
        <v/>
      </c>
      <c r="I103" s="15">
        <f>IF(I29=0,0,I60/I29)</f>
        <v/>
      </c>
      <c r="J103" s="15">
        <f>IF(J29=0,0,J60/J29)</f>
        <v/>
      </c>
      <c r="K103" s="15">
        <f>IF(K29=0,0,K60/K29)</f>
        <v/>
      </c>
      <c r="L103" s="15">
        <f>IF(L29=0,0,L60/L29)</f>
        <v/>
      </c>
      <c r="M103" s="15">
        <f>IF(M29=0,0,M60/M29)</f>
        <v/>
      </c>
      <c r="N103" s="15">
        <f>IF(N29=0,0,N60/N29)</f>
        <v/>
      </c>
      <c r="O103" s="15">
        <f>IF(O29=0,0,O60/O29)</f>
        <v/>
      </c>
      <c r="P103" s="15">
        <f>IF(P29=0,0,P60/P29)</f>
        <v/>
      </c>
      <c r="Q103" s="15">
        <f>IF(Q29=0,0,Q60/Q29)</f>
        <v/>
      </c>
      <c r="R103" s="15">
        <f>IF(R29=0,0,R60/R29)</f>
        <v/>
      </c>
      <c r="S103" s="15">
        <f>IF(S29=0,0,S60/S29)</f>
        <v/>
      </c>
      <c r="T103" s="15">
        <f>IF(T29=0,0,T60/T29)</f>
        <v/>
      </c>
      <c r="U103" s="15">
        <f>IF(U29=0,0,U60/U29)</f>
        <v/>
      </c>
      <c r="V103" s="15">
        <f>IF(V29=0,0,V60/V29)</f>
        <v/>
      </c>
      <c r="W103" s="15">
        <f>IF(W29=0,0,W60/W29)</f>
        <v/>
      </c>
      <c r="X103" s="15">
        <f>IF(X29=0,0,X60/X29)</f>
        <v/>
      </c>
      <c r="Y103" s="15">
        <f>IF(Y29=0,0,Y60/Y29)</f>
        <v/>
      </c>
      <c r="Z103" s="15">
        <f>IF(Z29=0,0,Z60/Z29)</f>
        <v/>
      </c>
      <c r="AA103" s="15">
        <f>IF(AA29=0,0,AA60/AA29)</f>
        <v/>
      </c>
      <c r="AB103" s="15">
        <f>IF(AB29=0,0,AB60/AB29)</f>
        <v/>
      </c>
      <c r="AC103" s="15">
        <f>IF(AC29=0,0,AC60/AC29)</f>
        <v/>
      </c>
      <c r="AD103" s="15">
        <f>IF(AD29=0,0,AD60/AD29)</f>
        <v/>
      </c>
      <c r="AE103" s="15">
        <f>IF(AE29=0,0,AE60/AE29)</f>
        <v/>
      </c>
      <c r="AF103" s="15">
        <f>IF(AF29=0,0,AF60/AF29)</f>
        <v/>
      </c>
      <c r="AG103" s="15">
        <f>IF(AG29=0,0,AG60/AG29)</f>
        <v/>
      </c>
      <c r="AH103" s="15">
        <f>IF(AH29=0,0,AH60/AH29)</f>
        <v/>
      </c>
      <c r="AI103" s="15">
        <f>IF(AI29=0,0,AI60/AI29)</f>
        <v/>
      </c>
      <c r="AJ103" s="15">
        <f>IF(AJ29=0,0,AJ60/AJ29)</f>
        <v/>
      </c>
      <c r="AK103" s="15">
        <f>IF(AK29=0,0,AK60/AK29)</f>
        <v/>
      </c>
      <c r="AL103" s="15">
        <f>IF(AL29=0,0,AL60/AL29)</f>
        <v/>
      </c>
    </row>
    <row r="104">
      <c r="A104" s="6" t="inlineStr">
        <is>
          <t>CAC: paid channels (ASA + creators) per payer they bring</t>
        </is>
      </c>
      <c r="B104" s="2" t="inlineStr">
        <is>
          <t>cac_paid</t>
        </is>
      </c>
      <c r="C104" s="14">
        <f>IF(((C11+C9)*Assumptions!$F$111)=0,0,(C10+C8)/((C11+C9)*Assumptions!$F$111))</f>
        <v/>
      </c>
      <c r="D104" s="14">
        <f>IF(((D11+D9)*Assumptions!$F$111)=0,0,(D10+D8)/((D11+D9)*Assumptions!$F$111))</f>
        <v/>
      </c>
      <c r="E104" s="14">
        <f>IF(((E11+E9)*Assumptions!$F$111)=0,0,(E10+E8)/((E11+E9)*Assumptions!$F$111))</f>
        <v/>
      </c>
      <c r="F104" s="14">
        <f>IF(((F11+F9)*Assumptions!$F$111)=0,0,(F10+F8)/((F11+F9)*Assumptions!$F$111))</f>
        <v/>
      </c>
      <c r="G104" s="14">
        <f>IF(((G11+G9)*Assumptions!$F$111)=0,0,(G10+G8)/((G11+G9)*Assumptions!$F$111))</f>
        <v/>
      </c>
      <c r="H104" s="14">
        <f>IF(((H11+H9)*Assumptions!$F$111)=0,0,(H10+H8)/((H11+H9)*Assumptions!$F$111))</f>
        <v/>
      </c>
      <c r="I104" s="14">
        <f>IF(((I11+I9)*Assumptions!$F$111)=0,0,(I10+I8)/((I11+I9)*Assumptions!$F$111))</f>
        <v/>
      </c>
      <c r="J104" s="14">
        <f>IF(((J11+J9)*Assumptions!$F$111)=0,0,(J10+J8)/((J11+J9)*Assumptions!$F$111))</f>
        <v/>
      </c>
      <c r="K104" s="14">
        <f>IF(((K11+K9)*Assumptions!$F$111)=0,0,(K10+K8)/((K11+K9)*Assumptions!$F$111))</f>
        <v/>
      </c>
      <c r="L104" s="14">
        <f>IF(((L11+L9)*Assumptions!$F$111)=0,0,(L10+L8)/((L11+L9)*Assumptions!$F$111))</f>
        <v/>
      </c>
      <c r="M104" s="14">
        <f>IF(((M11+M9)*Assumptions!$F$111)=0,0,(M10+M8)/((M11+M9)*Assumptions!$F$111))</f>
        <v/>
      </c>
      <c r="N104" s="14">
        <f>IF(((N11+N9)*Assumptions!$F$111)=0,0,(N10+N8)/((N11+N9)*Assumptions!$F$111))</f>
        <v/>
      </c>
      <c r="O104" s="14">
        <f>IF(((O11+O9)*Assumptions!$F$111)=0,0,(O10+O8)/((O11+O9)*Assumptions!$F$111))</f>
        <v/>
      </c>
      <c r="P104" s="14">
        <f>IF(((P11+P9)*Assumptions!$F$111)=0,0,(P10+P8)/((P11+P9)*Assumptions!$F$111))</f>
        <v/>
      </c>
      <c r="Q104" s="14">
        <f>IF(((Q11+Q9)*Assumptions!$F$111)=0,0,(Q10+Q8)/((Q11+Q9)*Assumptions!$F$111))</f>
        <v/>
      </c>
      <c r="R104" s="14">
        <f>IF(((R11+R9)*Assumptions!$F$111)=0,0,(R10+R8)/((R11+R9)*Assumptions!$F$111))</f>
        <v/>
      </c>
      <c r="S104" s="14">
        <f>IF(((S11+S9)*Assumptions!$F$111)=0,0,(S10+S8)/((S11+S9)*Assumptions!$F$111))</f>
        <v/>
      </c>
      <c r="T104" s="14">
        <f>IF(((T11+T9)*Assumptions!$F$111)=0,0,(T10+T8)/((T11+T9)*Assumptions!$F$111))</f>
        <v/>
      </c>
      <c r="U104" s="14">
        <f>IF(((U11+U9)*Assumptions!$F$111)=0,0,(U10+U8)/((U11+U9)*Assumptions!$F$111))</f>
        <v/>
      </c>
      <c r="V104" s="14">
        <f>IF(((V11+V9)*Assumptions!$F$111)=0,0,(V10+V8)/((V11+V9)*Assumptions!$F$111))</f>
        <v/>
      </c>
      <c r="W104" s="14">
        <f>IF(((W11+W9)*Assumptions!$F$111)=0,0,(W10+W8)/((W11+W9)*Assumptions!$F$111))</f>
        <v/>
      </c>
      <c r="X104" s="14">
        <f>IF(((X11+X9)*Assumptions!$F$111)=0,0,(X10+X8)/((X11+X9)*Assumptions!$F$111))</f>
        <v/>
      </c>
      <c r="Y104" s="14">
        <f>IF(((Y11+Y9)*Assumptions!$F$111)=0,0,(Y10+Y8)/((Y11+Y9)*Assumptions!$F$111))</f>
        <v/>
      </c>
      <c r="Z104" s="14">
        <f>IF(((Z11+Z9)*Assumptions!$F$111)=0,0,(Z10+Z8)/((Z11+Z9)*Assumptions!$F$111))</f>
        <v/>
      </c>
      <c r="AA104" s="14">
        <f>IF(((AA11+AA9)*Assumptions!$F$111)=0,0,(AA10+AA8)/((AA11+AA9)*Assumptions!$F$111))</f>
        <v/>
      </c>
      <c r="AB104" s="14">
        <f>IF(((AB11+AB9)*Assumptions!$F$111)=0,0,(AB10+AB8)/((AB11+AB9)*Assumptions!$F$111))</f>
        <v/>
      </c>
      <c r="AC104" s="14">
        <f>IF(((AC11+AC9)*Assumptions!$F$111)=0,0,(AC10+AC8)/((AC11+AC9)*Assumptions!$F$111))</f>
        <v/>
      </c>
      <c r="AD104" s="14">
        <f>IF(((AD11+AD9)*Assumptions!$F$111)=0,0,(AD10+AD8)/((AD11+AD9)*Assumptions!$F$111))</f>
        <v/>
      </c>
      <c r="AE104" s="14">
        <f>IF(((AE11+AE9)*Assumptions!$F$111)=0,0,(AE10+AE8)/((AE11+AE9)*Assumptions!$F$111))</f>
        <v/>
      </c>
      <c r="AF104" s="14">
        <f>IF(((AF11+AF9)*Assumptions!$F$111)=0,0,(AF10+AF8)/((AF11+AF9)*Assumptions!$F$111))</f>
        <v/>
      </c>
      <c r="AG104" s="14">
        <f>IF(((AG11+AG9)*Assumptions!$F$111)=0,0,(AG10+AG8)/((AG11+AG9)*Assumptions!$F$111))</f>
        <v/>
      </c>
      <c r="AH104" s="14">
        <f>IF(((AH11+AH9)*Assumptions!$F$111)=0,0,(AH10+AH8)/((AH11+AH9)*Assumptions!$F$111))</f>
        <v/>
      </c>
      <c r="AI104" s="14">
        <f>IF(((AI11+AI9)*Assumptions!$F$111)=0,0,(AI10+AI8)/((AI11+AI9)*Assumptions!$F$111))</f>
        <v/>
      </c>
      <c r="AJ104" s="14">
        <f>IF(((AJ11+AJ9)*Assumptions!$F$111)=0,0,(AJ10+AJ8)/((AJ11+AJ9)*Assumptions!$F$111))</f>
        <v/>
      </c>
      <c r="AK104" s="14">
        <f>IF(((AK11+AK9)*Assumptions!$F$111)=0,0,(AK10+AK8)/((AK11+AK9)*Assumptions!$F$111))</f>
        <v/>
      </c>
      <c r="AL104" s="14">
        <f>IF(((AL11+AL9)*Assumptions!$F$111)=0,0,(AL10+AL8)/((AL11+AL9)*Assumptions!$F$111))</f>
        <v/>
      </c>
    </row>
    <row r="105">
      <c r="A105" s="6" t="inlineStr">
        <is>
          <t>EBIT &gt;= 0 this month (1 = yes)</t>
        </is>
      </c>
      <c r="B105" s="2" t="inlineStr">
        <is>
          <t>flag_be</t>
        </is>
      </c>
      <c r="C105" s="8">
        <f>IF((C91&gt;=0),1,0)</f>
        <v/>
      </c>
      <c r="D105" s="8">
        <f>IF((D91&gt;=0),1,0)</f>
        <v/>
      </c>
      <c r="E105" s="8">
        <f>IF((E91&gt;=0),1,0)</f>
        <v/>
      </c>
      <c r="F105" s="8">
        <f>IF((F91&gt;=0),1,0)</f>
        <v/>
      </c>
      <c r="G105" s="8">
        <f>IF((G91&gt;=0),1,0)</f>
        <v/>
      </c>
      <c r="H105" s="8">
        <f>IF((H91&gt;=0),1,0)</f>
        <v/>
      </c>
      <c r="I105" s="8">
        <f>IF((I91&gt;=0),1,0)</f>
        <v/>
      </c>
      <c r="J105" s="8">
        <f>IF((J91&gt;=0),1,0)</f>
        <v/>
      </c>
      <c r="K105" s="8">
        <f>IF((K91&gt;=0),1,0)</f>
        <v/>
      </c>
      <c r="L105" s="8">
        <f>IF((L91&gt;=0),1,0)</f>
        <v/>
      </c>
      <c r="M105" s="8">
        <f>IF((M91&gt;=0),1,0)</f>
        <v/>
      </c>
      <c r="N105" s="8">
        <f>IF((N91&gt;=0),1,0)</f>
        <v/>
      </c>
      <c r="O105" s="8">
        <f>IF((O91&gt;=0),1,0)</f>
        <v/>
      </c>
      <c r="P105" s="8">
        <f>IF((P91&gt;=0),1,0)</f>
        <v/>
      </c>
      <c r="Q105" s="8">
        <f>IF((Q91&gt;=0),1,0)</f>
        <v/>
      </c>
      <c r="R105" s="8">
        <f>IF((R91&gt;=0),1,0)</f>
        <v/>
      </c>
      <c r="S105" s="8">
        <f>IF((S91&gt;=0),1,0)</f>
        <v/>
      </c>
      <c r="T105" s="8">
        <f>IF((T91&gt;=0),1,0)</f>
        <v/>
      </c>
      <c r="U105" s="8">
        <f>IF((U91&gt;=0),1,0)</f>
        <v/>
      </c>
      <c r="V105" s="8">
        <f>IF((V91&gt;=0),1,0)</f>
        <v/>
      </c>
      <c r="W105" s="8">
        <f>IF((W91&gt;=0),1,0)</f>
        <v/>
      </c>
      <c r="X105" s="8">
        <f>IF((X91&gt;=0),1,0)</f>
        <v/>
      </c>
      <c r="Y105" s="8">
        <f>IF((Y91&gt;=0),1,0)</f>
        <v/>
      </c>
      <c r="Z105" s="8">
        <f>IF((Z91&gt;=0),1,0)</f>
        <v/>
      </c>
      <c r="AA105" s="8">
        <f>IF((AA91&gt;=0),1,0)</f>
        <v/>
      </c>
      <c r="AB105" s="8">
        <f>IF((AB91&gt;=0),1,0)</f>
        <v/>
      </c>
      <c r="AC105" s="8">
        <f>IF((AC91&gt;=0),1,0)</f>
        <v/>
      </c>
      <c r="AD105" s="8">
        <f>IF((AD91&gt;=0),1,0)</f>
        <v/>
      </c>
      <c r="AE105" s="8">
        <f>IF((AE91&gt;=0),1,0)</f>
        <v/>
      </c>
      <c r="AF105" s="8">
        <f>IF((AF91&gt;=0),1,0)</f>
        <v/>
      </c>
      <c r="AG105" s="8">
        <f>IF((AG91&gt;=0),1,0)</f>
        <v/>
      </c>
      <c r="AH105" s="8">
        <f>IF((AH91&gt;=0),1,0)</f>
        <v/>
      </c>
      <c r="AI105" s="8">
        <f>IF((AI91&gt;=0),1,0)</f>
        <v/>
      </c>
      <c r="AJ105" s="8">
        <f>IF((AJ91&gt;=0),1,0)</f>
        <v/>
      </c>
      <c r="AK105" s="8">
        <f>IF((AK91&gt;=0),1,0)</f>
        <v/>
      </c>
      <c r="AL105" s="8">
        <f>IF((AL91&gt;=0),1,0)</f>
        <v/>
      </c>
    </row>
    <row r="106">
      <c r="A106" s="6" t="inlineStr">
        <is>
          <t>EBIT &gt;= 0 this month and every month after</t>
        </is>
      </c>
      <c r="B106" s="2" t="inlineStr">
        <is>
          <t>flag_be_sus</t>
        </is>
      </c>
      <c r="C106" s="8">
        <f>IF(AND((C91&gt;=0),(D106=1)),1,0)</f>
        <v/>
      </c>
      <c r="D106" s="8">
        <f>IF(AND((D91&gt;=0),(E106=1)),1,0)</f>
        <v/>
      </c>
      <c r="E106" s="8">
        <f>IF(AND((E91&gt;=0),(F106=1)),1,0)</f>
        <v/>
      </c>
      <c r="F106" s="8">
        <f>IF(AND((F91&gt;=0),(G106=1)),1,0)</f>
        <v/>
      </c>
      <c r="G106" s="8">
        <f>IF(AND((G91&gt;=0),(H106=1)),1,0)</f>
        <v/>
      </c>
      <c r="H106" s="8">
        <f>IF(AND((H91&gt;=0),(I106=1)),1,0)</f>
        <v/>
      </c>
      <c r="I106" s="8">
        <f>IF(AND((I91&gt;=0),(J106=1)),1,0)</f>
        <v/>
      </c>
      <c r="J106" s="8">
        <f>IF(AND((J91&gt;=0),(K106=1)),1,0)</f>
        <v/>
      </c>
      <c r="K106" s="8">
        <f>IF(AND((K91&gt;=0),(L106=1)),1,0)</f>
        <v/>
      </c>
      <c r="L106" s="8">
        <f>IF(AND((L91&gt;=0),(M106=1)),1,0)</f>
        <v/>
      </c>
      <c r="M106" s="8">
        <f>IF(AND((M91&gt;=0),(N106=1)),1,0)</f>
        <v/>
      </c>
      <c r="N106" s="8">
        <f>IF(AND((N91&gt;=0),(O106=1)),1,0)</f>
        <v/>
      </c>
      <c r="O106" s="8">
        <f>IF(AND((O91&gt;=0),(P106=1)),1,0)</f>
        <v/>
      </c>
      <c r="P106" s="8">
        <f>IF(AND((P91&gt;=0),(Q106=1)),1,0)</f>
        <v/>
      </c>
      <c r="Q106" s="8">
        <f>IF(AND((Q91&gt;=0),(R106=1)),1,0)</f>
        <v/>
      </c>
      <c r="R106" s="8">
        <f>IF(AND((R91&gt;=0),(S106=1)),1,0)</f>
        <v/>
      </c>
      <c r="S106" s="8">
        <f>IF(AND((S91&gt;=0),(T106=1)),1,0)</f>
        <v/>
      </c>
      <c r="T106" s="8">
        <f>IF(AND((T91&gt;=0),(U106=1)),1,0)</f>
        <v/>
      </c>
      <c r="U106" s="8">
        <f>IF(AND((U91&gt;=0),(V106=1)),1,0)</f>
        <v/>
      </c>
      <c r="V106" s="8">
        <f>IF(AND((V91&gt;=0),(W106=1)),1,0)</f>
        <v/>
      </c>
      <c r="W106" s="8">
        <f>IF(AND((W91&gt;=0),(X106=1)),1,0)</f>
        <v/>
      </c>
      <c r="X106" s="8">
        <f>IF(AND((X91&gt;=0),(Y106=1)),1,0)</f>
        <v/>
      </c>
      <c r="Y106" s="8">
        <f>IF(AND((Y91&gt;=0),(Z106=1)),1,0)</f>
        <v/>
      </c>
      <c r="Z106" s="8">
        <f>IF(AND((Z91&gt;=0),(AA106=1)),1,0)</f>
        <v/>
      </c>
      <c r="AA106" s="8">
        <f>IF(AND((AA91&gt;=0),(AB106=1)),1,0)</f>
        <v/>
      </c>
      <c r="AB106" s="8">
        <f>IF(AND((AB91&gt;=0),(AC106=1)),1,0)</f>
        <v/>
      </c>
      <c r="AC106" s="8">
        <f>IF(AND((AC91&gt;=0),(AD106=1)),1,0)</f>
        <v/>
      </c>
      <c r="AD106" s="8">
        <f>IF(AND((AD91&gt;=0),(AE106=1)),1,0)</f>
        <v/>
      </c>
      <c r="AE106" s="8">
        <f>IF(AND((AE91&gt;=0),(AF106=1)),1,0)</f>
        <v/>
      </c>
      <c r="AF106" s="8">
        <f>IF(AND((AF91&gt;=0),(AG106=1)),1,0)</f>
        <v/>
      </c>
      <c r="AG106" s="8">
        <f>IF(AND((AG91&gt;=0),(AH106=1)),1,0)</f>
        <v/>
      </c>
      <c r="AH106" s="8">
        <f>IF(AND((AH91&gt;=0),(AI106=1)),1,0)</f>
        <v/>
      </c>
      <c r="AI106" s="8">
        <f>IF(AND((AI91&gt;=0),(AJ106=1)),1,0)</f>
        <v/>
      </c>
      <c r="AJ106" s="8">
        <f>IF(AND((AJ91&gt;=0),(AK106=1)),1,0)</f>
        <v/>
      </c>
      <c r="AK106" s="8">
        <f>IF(AND((AK91&gt;=0),(AL106=1)),1,0)</f>
        <v/>
      </c>
      <c r="AL106" s="8">
        <f>IF((AL91&gt;=0),1,0)</f>
        <v/>
      </c>
    </row>
    <row r="107">
      <c r="A107" s="6" t="inlineStr">
        <is>
          <t>Cumulative cash &gt;= 0 this month and every month after</t>
        </is>
      </c>
      <c r="B107" s="2" t="inlineStr">
        <is>
          <t>flag_cash_sus</t>
        </is>
      </c>
      <c r="C107" s="8">
        <f>IF(AND((C98&gt;=0),(D107=1)),1,0)</f>
        <v/>
      </c>
      <c r="D107" s="8">
        <f>IF(AND((D98&gt;=0),(E107=1)),1,0)</f>
        <v/>
      </c>
      <c r="E107" s="8">
        <f>IF(AND((E98&gt;=0),(F107=1)),1,0)</f>
        <v/>
      </c>
      <c r="F107" s="8">
        <f>IF(AND((F98&gt;=0),(G107=1)),1,0)</f>
        <v/>
      </c>
      <c r="G107" s="8">
        <f>IF(AND((G98&gt;=0),(H107=1)),1,0)</f>
        <v/>
      </c>
      <c r="H107" s="8">
        <f>IF(AND((H98&gt;=0),(I107=1)),1,0)</f>
        <v/>
      </c>
      <c r="I107" s="8">
        <f>IF(AND((I98&gt;=0),(J107=1)),1,0)</f>
        <v/>
      </c>
      <c r="J107" s="8">
        <f>IF(AND((J98&gt;=0),(K107=1)),1,0)</f>
        <v/>
      </c>
      <c r="K107" s="8">
        <f>IF(AND((K98&gt;=0),(L107=1)),1,0)</f>
        <v/>
      </c>
      <c r="L107" s="8">
        <f>IF(AND((L98&gt;=0),(M107=1)),1,0)</f>
        <v/>
      </c>
      <c r="M107" s="8">
        <f>IF(AND((M98&gt;=0),(N107=1)),1,0)</f>
        <v/>
      </c>
      <c r="N107" s="8">
        <f>IF(AND((N98&gt;=0),(O107=1)),1,0)</f>
        <v/>
      </c>
      <c r="O107" s="8">
        <f>IF(AND((O98&gt;=0),(P107=1)),1,0)</f>
        <v/>
      </c>
      <c r="P107" s="8">
        <f>IF(AND((P98&gt;=0),(Q107=1)),1,0)</f>
        <v/>
      </c>
      <c r="Q107" s="8">
        <f>IF(AND((Q98&gt;=0),(R107=1)),1,0)</f>
        <v/>
      </c>
      <c r="R107" s="8">
        <f>IF(AND((R98&gt;=0),(S107=1)),1,0)</f>
        <v/>
      </c>
      <c r="S107" s="8">
        <f>IF(AND((S98&gt;=0),(T107=1)),1,0)</f>
        <v/>
      </c>
      <c r="T107" s="8">
        <f>IF(AND((T98&gt;=0),(U107=1)),1,0)</f>
        <v/>
      </c>
      <c r="U107" s="8">
        <f>IF(AND((U98&gt;=0),(V107=1)),1,0)</f>
        <v/>
      </c>
      <c r="V107" s="8">
        <f>IF(AND((V98&gt;=0),(W107=1)),1,0)</f>
        <v/>
      </c>
      <c r="W107" s="8">
        <f>IF(AND((W98&gt;=0),(X107=1)),1,0)</f>
        <v/>
      </c>
      <c r="X107" s="8">
        <f>IF(AND((X98&gt;=0),(Y107=1)),1,0)</f>
        <v/>
      </c>
      <c r="Y107" s="8">
        <f>IF(AND((Y98&gt;=0),(Z107=1)),1,0)</f>
        <v/>
      </c>
      <c r="Z107" s="8">
        <f>IF(AND((Z98&gt;=0),(AA107=1)),1,0)</f>
        <v/>
      </c>
      <c r="AA107" s="8">
        <f>IF(AND((AA98&gt;=0),(AB107=1)),1,0)</f>
        <v/>
      </c>
      <c r="AB107" s="8">
        <f>IF(AND((AB98&gt;=0),(AC107=1)),1,0)</f>
        <v/>
      </c>
      <c r="AC107" s="8">
        <f>IF(AND((AC98&gt;=0),(AD107=1)),1,0)</f>
        <v/>
      </c>
      <c r="AD107" s="8">
        <f>IF(AND((AD98&gt;=0),(AE107=1)),1,0)</f>
        <v/>
      </c>
      <c r="AE107" s="8">
        <f>IF(AND((AE98&gt;=0),(AF107=1)),1,0)</f>
        <v/>
      </c>
      <c r="AF107" s="8">
        <f>IF(AND((AF98&gt;=0),(AG107=1)),1,0)</f>
        <v/>
      </c>
      <c r="AG107" s="8">
        <f>IF(AND((AG98&gt;=0),(AH107=1)),1,0)</f>
        <v/>
      </c>
      <c r="AH107" s="8">
        <f>IF(AND((AH98&gt;=0),(AI107=1)),1,0)</f>
        <v/>
      </c>
      <c r="AI107" s="8">
        <f>IF(AND((AI98&gt;=0),(AJ107=1)),1,0)</f>
        <v/>
      </c>
      <c r="AJ107" s="8">
        <f>IF(AND((AJ98&gt;=0),(AK107=1)),1,0)</f>
        <v/>
      </c>
      <c r="AK107" s="8">
        <f>IF(AND((AK98&gt;=0),(AL107=1)),1,0)</f>
        <v/>
      </c>
      <c r="AL107" s="8">
        <f>IF((AL98&gt;=0),1,0)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10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A1" s="1" t="inlineStr">
        <is>
          <t>Tenbagger: Bull case, monthly (USD). All cells are formulas driven by the Assumptions sheet.</t>
        </is>
      </c>
    </row>
    <row r="2">
      <c r="A2" s="3" t="inlineStr">
        <is>
          <t>Month</t>
        </is>
      </c>
      <c r="B2" s="19" t="n"/>
      <c r="C2" s="20" t="n">
        <v>1</v>
      </c>
      <c r="D2" s="20" t="n">
        <v>2</v>
      </c>
      <c r="E2" s="20" t="n">
        <v>3</v>
      </c>
      <c r="F2" s="20" t="n">
        <v>4</v>
      </c>
      <c r="G2" s="20" t="n">
        <v>5</v>
      </c>
      <c r="H2" s="20" t="n">
        <v>6</v>
      </c>
      <c r="I2" s="20" t="n">
        <v>7</v>
      </c>
      <c r="J2" s="20" t="n">
        <v>8</v>
      </c>
      <c r="K2" s="20" t="n">
        <v>9</v>
      </c>
      <c r="L2" s="20" t="n">
        <v>10</v>
      </c>
      <c r="M2" s="20" t="n">
        <v>11</v>
      </c>
      <c r="N2" s="20" t="n">
        <v>12</v>
      </c>
      <c r="O2" s="20" t="n">
        <v>13</v>
      </c>
      <c r="P2" s="20" t="n">
        <v>14</v>
      </c>
      <c r="Q2" s="20" t="n">
        <v>15</v>
      </c>
      <c r="R2" s="20" t="n">
        <v>16</v>
      </c>
      <c r="S2" s="20" t="n">
        <v>17</v>
      </c>
      <c r="T2" s="20" t="n">
        <v>18</v>
      </c>
      <c r="U2" s="20" t="n">
        <v>19</v>
      </c>
      <c r="V2" s="20" t="n">
        <v>20</v>
      </c>
      <c r="W2" s="20" t="n">
        <v>21</v>
      </c>
      <c r="X2" s="20" t="n">
        <v>22</v>
      </c>
      <c r="Y2" s="20" t="n">
        <v>23</v>
      </c>
      <c r="Z2" s="20" t="n">
        <v>24</v>
      </c>
      <c r="AA2" s="20" t="n">
        <v>25</v>
      </c>
      <c r="AB2" s="20" t="n">
        <v>26</v>
      </c>
      <c r="AC2" s="20" t="n">
        <v>27</v>
      </c>
      <c r="AD2" s="20" t="n">
        <v>28</v>
      </c>
      <c r="AE2" s="20" t="n">
        <v>29</v>
      </c>
      <c r="AF2" s="20" t="n">
        <v>30</v>
      </c>
      <c r="AG2" s="20" t="n">
        <v>31</v>
      </c>
      <c r="AH2" s="20" t="n">
        <v>32</v>
      </c>
      <c r="AI2" s="20" t="n">
        <v>33</v>
      </c>
      <c r="AJ2" s="20" t="n">
        <v>34</v>
      </c>
      <c r="AK2" s="20" t="n">
        <v>35</v>
      </c>
      <c r="AL2" s="20" t="n">
        <v>36</v>
      </c>
    </row>
    <row r="3">
      <c r="A3" s="3" t="inlineStr">
        <is>
          <t>Fiscal year</t>
        </is>
      </c>
      <c r="B3" s="19" t="n"/>
      <c r="C3" s="20" t="n">
        <v>1</v>
      </c>
      <c r="D3" s="20" t="n">
        <v>1</v>
      </c>
      <c r="E3" s="20" t="n">
        <v>1</v>
      </c>
      <c r="F3" s="20" t="n">
        <v>1</v>
      </c>
      <c r="G3" s="20" t="n">
        <v>1</v>
      </c>
      <c r="H3" s="20" t="n">
        <v>1</v>
      </c>
      <c r="I3" s="20" t="n">
        <v>1</v>
      </c>
      <c r="J3" s="20" t="n">
        <v>1</v>
      </c>
      <c r="K3" s="20" t="n">
        <v>1</v>
      </c>
      <c r="L3" s="20" t="n">
        <v>1</v>
      </c>
      <c r="M3" s="20" t="n">
        <v>1</v>
      </c>
      <c r="N3" s="20" t="n">
        <v>1</v>
      </c>
      <c r="O3" s="20" t="n">
        <v>2</v>
      </c>
      <c r="P3" s="20" t="n">
        <v>2</v>
      </c>
      <c r="Q3" s="20" t="n">
        <v>2</v>
      </c>
      <c r="R3" s="20" t="n">
        <v>2</v>
      </c>
      <c r="S3" s="20" t="n">
        <v>2</v>
      </c>
      <c r="T3" s="20" t="n">
        <v>2</v>
      </c>
      <c r="U3" s="20" t="n">
        <v>2</v>
      </c>
      <c r="V3" s="20" t="n">
        <v>2</v>
      </c>
      <c r="W3" s="20" t="n">
        <v>2</v>
      </c>
      <c r="X3" s="20" t="n">
        <v>2</v>
      </c>
      <c r="Y3" s="20" t="n">
        <v>2</v>
      </c>
      <c r="Z3" s="20" t="n">
        <v>2</v>
      </c>
      <c r="AA3" s="20" t="n">
        <v>3</v>
      </c>
      <c r="AB3" s="20" t="n">
        <v>3</v>
      </c>
      <c r="AC3" s="20" t="n">
        <v>3</v>
      </c>
      <c r="AD3" s="20" t="n">
        <v>3</v>
      </c>
      <c r="AE3" s="20" t="n">
        <v>3</v>
      </c>
      <c r="AF3" s="20" t="n">
        <v>3</v>
      </c>
      <c r="AG3" s="20" t="n">
        <v>3</v>
      </c>
      <c r="AH3" s="20" t="n">
        <v>3</v>
      </c>
      <c r="AI3" s="20" t="n">
        <v>3</v>
      </c>
      <c r="AJ3" s="20" t="n">
        <v>3</v>
      </c>
      <c r="AK3" s="20" t="n">
        <v>3</v>
      </c>
      <c r="AL3" s="20" t="n">
        <v>3</v>
      </c>
    </row>
    <row r="4">
      <c r="A4" s="3" t="inlineStr">
        <is>
          <t>Calendar month</t>
        </is>
      </c>
      <c r="B4" s="19" t="n"/>
      <c r="C4" s="20" t="inlineStr">
        <is>
          <t>Jan-27</t>
        </is>
      </c>
      <c r="D4" s="20" t="inlineStr">
        <is>
          <t>Feb-27</t>
        </is>
      </c>
      <c r="E4" s="20" t="inlineStr">
        <is>
          <t>Mar-27</t>
        </is>
      </c>
      <c r="F4" s="20" t="inlineStr">
        <is>
          <t>Apr-27</t>
        </is>
      </c>
      <c r="G4" s="20" t="inlineStr">
        <is>
          <t>May-27</t>
        </is>
      </c>
      <c r="H4" s="20" t="inlineStr">
        <is>
          <t>Jun-27</t>
        </is>
      </c>
      <c r="I4" s="20" t="inlineStr">
        <is>
          <t>Jul-27</t>
        </is>
      </c>
      <c r="J4" s="20" t="inlineStr">
        <is>
          <t>Aug-27</t>
        </is>
      </c>
      <c r="K4" s="20" t="inlineStr">
        <is>
          <t>Sep-27</t>
        </is>
      </c>
      <c r="L4" s="20" t="inlineStr">
        <is>
          <t>Oct-27</t>
        </is>
      </c>
      <c r="M4" s="20" t="inlineStr">
        <is>
          <t>Nov-27</t>
        </is>
      </c>
      <c r="N4" s="20" t="inlineStr">
        <is>
          <t>Dec-27</t>
        </is>
      </c>
      <c r="O4" s="20" t="inlineStr">
        <is>
          <t>Jan-28</t>
        </is>
      </c>
      <c r="P4" s="20" t="inlineStr">
        <is>
          <t>Feb-28</t>
        </is>
      </c>
      <c r="Q4" s="20" t="inlineStr">
        <is>
          <t>Mar-28</t>
        </is>
      </c>
      <c r="R4" s="20" t="inlineStr">
        <is>
          <t>Apr-28</t>
        </is>
      </c>
      <c r="S4" s="20" t="inlineStr">
        <is>
          <t>May-28</t>
        </is>
      </c>
      <c r="T4" s="20" t="inlineStr">
        <is>
          <t>Jun-28</t>
        </is>
      </c>
      <c r="U4" s="20" t="inlineStr">
        <is>
          <t>Jul-28</t>
        </is>
      </c>
      <c r="V4" s="20" t="inlineStr">
        <is>
          <t>Aug-28</t>
        </is>
      </c>
      <c r="W4" s="20" t="inlineStr">
        <is>
          <t>Sep-28</t>
        </is>
      </c>
      <c r="X4" s="20" t="inlineStr">
        <is>
          <t>Oct-28</t>
        </is>
      </c>
      <c r="Y4" s="20" t="inlineStr">
        <is>
          <t>Nov-28</t>
        </is>
      </c>
      <c r="Z4" s="20" t="inlineStr">
        <is>
          <t>Dec-28</t>
        </is>
      </c>
      <c r="AA4" s="20" t="inlineStr">
        <is>
          <t>Jan-29</t>
        </is>
      </c>
      <c r="AB4" s="20" t="inlineStr">
        <is>
          <t>Feb-29</t>
        </is>
      </c>
      <c r="AC4" s="20" t="inlineStr">
        <is>
          <t>Mar-29</t>
        </is>
      </c>
      <c r="AD4" s="20" t="inlineStr">
        <is>
          <t>Apr-29</t>
        </is>
      </c>
      <c r="AE4" s="20" t="inlineStr">
        <is>
          <t>May-29</t>
        </is>
      </c>
      <c r="AF4" s="20" t="inlineStr">
        <is>
          <t>Jun-29</t>
        </is>
      </c>
      <c r="AG4" s="20" t="inlineStr">
        <is>
          <t>Jul-29</t>
        </is>
      </c>
      <c r="AH4" s="20" t="inlineStr">
        <is>
          <t>Aug-29</t>
        </is>
      </c>
      <c r="AI4" s="20" t="inlineStr">
        <is>
          <t>Sep-29</t>
        </is>
      </c>
      <c r="AJ4" s="20" t="inlineStr">
        <is>
          <t>Oct-29</t>
        </is>
      </c>
      <c r="AK4" s="20" t="inlineStr">
        <is>
          <t>Nov-29</t>
        </is>
      </c>
      <c r="AL4" s="20" t="inlineStr">
        <is>
          <t>Dec-29</t>
        </is>
      </c>
    </row>
    <row r="5">
      <c r="A5" s="4" t="inlineStr">
        <is>
          <t>ACQUISITION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</row>
    <row r="6">
      <c r="A6" s="6" t="inlineStr">
        <is>
          <t>Installs: organic / SEO / ASO</t>
        </is>
      </c>
      <c r="B6" s="2" t="inlineStr">
        <is>
          <t>inst_org</t>
        </is>
      </c>
      <c r="C6" s="17">
        <f>(Assumptions!$G$13*((1+Assumptions!$G$14)^(C$2-1)))</f>
        <v/>
      </c>
      <c r="D6" s="17">
        <f>(Assumptions!$G$13*((1+Assumptions!$G$14)^(D$2-1)))</f>
        <v/>
      </c>
      <c r="E6" s="17">
        <f>(Assumptions!$G$13*((1+Assumptions!$G$14)^(E$2-1)))</f>
        <v/>
      </c>
      <c r="F6" s="17">
        <f>(Assumptions!$G$13*((1+Assumptions!$G$14)^(F$2-1)))</f>
        <v/>
      </c>
      <c r="G6" s="17">
        <f>(Assumptions!$G$13*((1+Assumptions!$G$14)^(G$2-1)))</f>
        <v/>
      </c>
      <c r="H6" s="17">
        <f>(Assumptions!$G$13*((1+Assumptions!$G$14)^(H$2-1)))</f>
        <v/>
      </c>
      <c r="I6" s="17">
        <f>(Assumptions!$G$13*((1+Assumptions!$G$14)^(I$2-1)))</f>
        <v/>
      </c>
      <c r="J6" s="17">
        <f>(Assumptions!$G$13*((1+Assumptions!$G$14)^(J$2-1)))</f>
        <v/>
      </c>
      <c r="K6" s="17">
        <f>(Assumptions!$G$13*((1+Assumptions!$G$14)^(K$2-1)))</f>
        <v/>
      </c>
      <c r="L6" s="17">
        <f>(Assumptions!$G$13*((1+Assumptions!$G$14)^(L$2-1)))</f>
        <v/>
      </c>
      <c r="M6" s="17">
        <f>(Assumptions!$G$13*((1+Assumptions!$G$14)^(M$2-1)))</f>
        <v/>
      </c>
      <c r="N6" s="17">
        <f>(Assumptions!$G$13*((1+Assumptions!$G$14)^(N$2-1)))</f>
        <v/>
      </c>
      <c r="O6" s="17">
        <f>(Assumptions!$G$13*((1+Assumptions!$G$14)^(O$2-1)))</f>
        <v/>
      </c>
      <c r="P6" s="17">
        <f>(Assumptions!$G$13*((1+Assumptions!$G$14)^(P$2-1)))</f>
        <v/>
      </c>
      <c r="Q6" s="17">
        <f>(Assumptions!$G$13*((1+Assumptions!$G$14)^(Q$2-1)))</f>
        <v/>
      </c>
      <c r="R6" s="17">
        <f>(Assumptions!$G$13*((1+Assumptions!$G$14)^(R$2-1)))</f>
        <v/>
      </c>
      <c r="S6" s="17">
        <f>(Assumptions!$G$13*((1+Assumptions!$G$14)^(S$2-1)))</f>
        <v/>
      </c>
      <c r="T6" s="17">
        <f>(Assumptions!$G$13*((1+Assumptions!$G$14)^(T$2-1)))</f>
        <v/>
      </c>
      <c r="U6" s="17">
        <f>(Assumptions!$G$13*((1+Assumptions!$G$14)^(U$2-1)))</f>
        <v/>
      </c>
      <c r="V6" s="17">
        <f>(Assumptions!$G$13*((1+Assumptions!$G$14)^(V$2-1)))</f>
        <v/>
      </c>
      <c r="W6" s="17">
        <f>(Assumptions!$G$13*((1+Assumptions!$G$14)^(W$2-1)))</f>
        <v/>
      </c>
      <c r="X6" s="17">
        <f>(Assumptions!$G$13*((1+Assumptions!$G$14)^(X$2-1)))</f>
        <v/>
      </c>
      <c r="Y6" s="17">
        <f>(Assumptions!$G$13*((1+Assumptions!$G$14)^(Y$2-1)))</f>
        <v/>
      </c>
      <c r="Z6" s="17">
        <f>(Assumptions!$G$13*((1+Assumptions!$G$14)^(Z$2-1)))</f>
        <v/>
      </c>
      <c r="AA6" s="17">
        <f>(Assumptions!$G$13*((1+Assumptions!$G$14)^(AA$2-1)))</f>
        <v/>
      </c>
      <c r="AB6" s="17">
        <f>(Assumptions!$G$13*((1+Assumptions!$G$14)^(AB$2-1)))</f>
        <v/>
      </c>
      <c r="AC6" s="17">
        <f>(Assumptions!$G$13*((1+Assumptions!$G$14)^(AC$2-1)))</f>
        <v/>
      </c>
      <c r="AD6" s="17">
        <f>(Assumptions!$G$13*((1+Assumptions!$G$14)^(AD$2-1)))</f>
        <v/>
      </c>
      <c r="AE6" s="17">
        <f>(Assumptions!$G$13*((1+Assumptions!$G$14)^(AE$2-1)))</f>
        <v/>
      </c>
      <c r="AF6" s="17">
        <f>(Assumptions!$G$13*((1+Assumptions!$G$14)^(AF$2-1)))</f>
        <v/>
      </c>
      <c r="AG6" s="17">
        <f>(Assumptions!$G$13*((1+Assumptions!$G$14)^(AG$2-1)))</f>
        <v/>
      </c>
      <c r="AH6" s="17">
        <f>(Assumptions!$G$13*((1+Assumptions!$G$14)^(AH$2-1)))</f>
        <v/>
      </c>
      <c r="AI6" s="17">
        <f>(Assumptions!$G$13*((1+Assumptions!$G$14)^(AI$2-1)))</f>
        <v/>
      </c>
      <c r="AJ6" s="17">
        <f>(Assumptions!$G$13*((1+Assumptions!$G$14)^(AJ$2-1)))</f>
        <v/>
      </c>
      <c r="AK6" s="17">
        <f>(Assumptions!$G$13*((1+Assumptions!$G$14)^(AK$2-1)))</f>
        <v/>
      </c>
      <c r="AL6" s="17">
        <f>(Assumptions!$G$13*((1+Assumptions!$G$14)^(AL$2-1)))</f>
        <v/>
      </c>
    </row>
    <row r="7">
      <c r="A7" s="6" t="inlineStr">
        <is>
          <t>Installs: referral (x prior-month MAU)</t>
        </is>
      </c>
      <c r="B7" s="2" t="inlineStr">
        <is>
          <t>inst_ref</t>
        </is>
      </c>
      <c r="C7" s="17">
        <f>(Assumptions!$G$15*0)</f>
        <v/>
      </c>
      <c r="D7" s="17">
        <f>(Assumptions!$G$15*C36)</f>
        <v/>
      </c>
      <c r="E7" s="17">
        <f>(Assumptions!$G$15*D36)</f>
        <v/>
      </c>
      <c r="F7" s="17">
        <f>(Assumptions!$G$15*E36)</f>
        <v/>
      </c>
      <c r="G7" s="17">
        <f>(Assumptions!$G$15*F36)</f>
        <v/>
      </c>
      <c r="H7" s="17">
        <f>(Assumptions!$G$15*G36)</f>
        <v/>
      </c>
      <c r="I7" s="17">
        <f>(Assumptions!$G$15*H36)</f>
        <v/>
      </c>
      <c r="J7" s="17">
        <f>(Assumptions!$G$15*I36)</f>
        <v/>
      </c>
      <c r="K7" s="17">
        <f>(Assumptions!$G$15*J36)</f>
        <v/>
      </c>
      <c r="L7" s="17">
        <f>(Assumptions!$G$15*K36)</f>
        <v/>
      </c>
      <c r="M7" s="17">
        <f>(Assumptions!$G$15*L36)</f>
        <v/>
      </c>
      <c r="N7" s="17">
        <f>(Assumptions!$G$15*M36)</f>
        <v/>
      </c>
      <c r="O7" s="17">
        <f>(Assumptions!$G$15*N36)</f>
        <v/>
      </c>
      <c r="P7" s="17">
        <f>(Assumptions!$G$15*O36)</f>
        <v/>
      </c>
      <c r="Q7" s="17">
        <f>(Assumptions!$G$15*P36)</f>
        <v/>
      </c>
      <c r="R7" s="17">
        <f>(Assumptions!$G$15*Q36)</f>
        <v/>
      </c>
      <c r="S7" s="17">
        <f>(Assumptions!$G$15*R36)</f>
        <v/>
      </c>
      <c r="T7" s="17">
        <f>(Assumptions!$G$15*S36)</f>
        <v/>
      </c>
      <c r="U7" s="17">
        <f>(Assumptions!$G$15*T36)</f>
        <v/>
      </c>
      <c r="V7" s="17">
        <f>(Assumptions!$G$15*U36)</f>
        <v/>
      </c>
      <c r="W7" s="17">
        <f>(Assumptions!$G$15*V36)</f>
        <v/>
      </c>
      <c r="X7" s="17">
        <f>(Assumptions!$G$15*W36)</f>
        <v/>
      </c>
      <c r="Y7" s="17">
        <f>(Assumptions!$G$15*X36)</f>
        <v/>
      </c>
      <c r="Z7" s="17">
        <f>(Assumptions!$G$15*Y36)</f>
        <v/>
      </c>
      <c r="AA7" s="17">
        <f>(Assumptions!$G$15*Z36)</f>
        <v/>
      </c>
      <c r="AB7" s="17">
        <f>(Assumptions!$G$15*AA36)</f>
        <v/>
      </c>
      <c r="AC7" s="17">
        <f>(Assumptions!$G$15*AB36)</f>
        <v/>
      </c>
      <c r="AD7" s="17">
        <f>(Assumptions!$G$15*AC36)</f>
        <v/>
      </c>
      <c r="AE7" s="17">
        <f>(Assumptions!$G$15*AD36)</f>
        <v/>
      </c>
      <c r="AF7" s="17">
        <f>(Assumptions!$G$15*AE36)</f>
        <v/>
      </c>
      <c r="AG7" s="17">
        <f>(Assumptions!$G$15*AF36)</f>
        <v/>
      </c>
      <c r="AH7" s="17">
        <f>(Assumptions!$G$15*AG36)</f>
        <v/>
      </c>
      <c r="AI7" s="17">
        <f>(Assumptions!$G$15*AH36)</f>
        <v/>
      </c>
      <c r="AJ7" s="17">
        <f>(Assumptions!$G$15*AI36)</f>
        <v/>
      </c>
      <c r="AK7" s="17">
        <f>(Assumptions!$G$15*AJ36)</f>
        <v/>
      </c>
      <c r="AL7" s="17">
        <f>(Assumptions!$G$15*AK36)</f>
        <v/>
      </c>
    </row>
    <row r="8">
      <c r="A8" s="6" t="inlineStr">
        <is>
          <t>Creator spend</t>
        </is>
      </c>
      <c r="B8" s="2" t="inlineStr">
        <is>
          <t>spend_creators</t>
        </is>
      </c>
      <c r="C8" s="14">
        <f>IF((C$2&gt;=Assumptions!$G$16),(Assumptions!$G$17*((1+Assumptions!$G$18)^(C$2-Assumptions!$G$16))),0)</f>
        <v/>
      </c>
      <c r="D8" s="14">
        <f>IF((D$2&gt;=Assumptions!$G$16),(Assumptions!$G$17*((1+Assumptions!$G$18)^(D$2-Assumptions!$G$16))),0)</f>
        <v/>
      </c>
      <c r="E8" s="14">
        <f>IF((E$2&gt;=Assumptions!$G$16),(Assumptions!$G$17*((1+Assumptions!$G$18)^(E$2-Assumptions!$G$16))),0)</f>
        <v/>
      </c>
      <c r="F8" s="14">
        <f>IF((F$2&gt;=Assumptions!$G$16),(Assumptions!$G$17*((1+Assumptions!$G$18)^(F$2-Assumptions!$G$16))),0)</f>
        <v/>
      </c>
      <c r="G8" s="14">
        <f>IF((G$2&gt;=Assumptions!$G$16),(Assumptions!$G$17*((1+Assumptions!$G$18)^(G$2-Assumptions!$G$16))),0)</f>
        <v/>
      </c>
      <c r="H8" s="14">
        <f>IF((H$2&gt;=Assumptions!$G$16),(Assumptions!$G$17*((1+Assumptions!$G$18)^(H$2-Assumptions!$G$16))),0)</f>
        <v/>
      </c>
      <c r="I8" s="14">
        <f>IF((I$2&gt;=Assumptions!$G$16),(Assumptions!$G$17*((1+Assumptions!$G$18)^(I$2-Assumptions!$G$16))),0)</f>
        <v/>
      </c>
      <c r="J8" s="14">
        <f>IF((J$2&gt;=Assumptions!$G$16),(Assumptions!$G$17*((1+Assumptions!$G$18)^(J$2-Assumptions!$G$16))),0)</f>
        <v/>
      </c>
      <c r="K8" s="14">
        <f>IF((K$2&gt;=Assumptions!$G$16),(Assumptions!$G$17*((1+Assumptions!$G$18)^(K$2-Assumptions!$G$16))),0)</f>
        <v/>
      </c>
      <c r="L8" s="14">
        <f>IF((L$2&gt;=Assumptions!$G$16),(Assumptions!$G$17*((1+Assumptions!$G$18)^(L$2-Assumptions!$G$16))),0)</f>
        <v/>
      </c>
      <c r="M8" s="14">
        <f>IF((M$2&gt;=Assumptions!$G$16),(Assumptions!$G$17*((1+Assumptions!$G$18)^(M$2-Assumptions!$G$16))),0)</f>
        <v/>
      </c>
      <c r="N8" s="14">
        <f>IF((N$2&gt;=Assumptions!$G$16),(Assumptions!$G$17*((1+Assumptions!$G$18)^(N$2-Assumptions!$G$16))),0)</f>
        <v/>
      </c>
      <c r="O8" s="14">
        <f>IF((O$2&gt;=Assumptions!$G$16),(Assumptions!$G$17*((1+Assumptions!$G$18)^(O$2-Assumptions!$G$16))),0)</f>
        <v/>
      </c>
      <c r="P8" s="14">
        <f>IF((P$2&gt;=Assumptions!$G$16),(Assumptions!$G$17*((1+Assumptions!$G$18)^(P$2-Assumptions!$G$16))),0)</f>
        <v/>
      </c>
      <c r="Q8" s="14">
        <f>IF((Q$2&gt;=Assumptions!$G$16),(Assumptions!$G$17*((1+Assumptions!$G$18)^(Q$2-Assumptions!$G$16))),0)</f>
        <v/>
      </c>
      <c r="R8" s="14">
        <f>IF((R$2&gt;=Assumptions!$G$16),(Assumptions!$G$17*((1+Assumptions!$G$18)^(R$2-Assumptions!$G$16))),0)</f>
        <v/>
      </c>
      <c r="S8" s="14">
        <f>IF((S$2&gt;=Assumptions!$G$16),(Assumptions!$G$17*((1+Assumptions!$G$18)^(S$2-Assumptions!$G$16))),0)</f>
        <v/>
      </c>
      <c r="T8" s="14">
        <f>IF((T$2&gt;=Assumptions!$G$16),(Assumptions!$G$17*((1+Assumptions!$G$18)^(T$2-Assumptions!$G$16))),0)</f>
        <v/>
      </c>
      <c r="U8" s="14">
        <f>IF((U$2&gt;=Assumptions!$G$16),(Assumptions!$G$17*((1+Assumptions!$G$18)^(U$2-Assumptions!$G$16))),0)</f>
        <v/>
      </c>
      <c r="V8" s="14">
        <f>IF((V$2&gt;=Assumptions!$G$16),(Assumptions!$G$17*((1+Assumptions!$G$18)^(V$2-Assumptions!$G$16))),0)</f>
        <v/>
      </c>
      <c r="W8" s="14">
        <f>IF((W$2&gt;=Assumptions!$G$16),(Assumptions!$G$17*((1+Assumptions!$G$18)^(W$2-Assumptions!$G$16))),0)</f>
        <v/>
      </c>
      <c r="X8" s="14">
        <f>IF((X$2&gt;=Assumptions!$G$16),(Assumptions!$G$17*((1+Assumptions!$G$18)^(X$2-Assumptions!$G$16))),0)</f>
        <v/>
      </c>
      <c r="Y8" s="14">
        <f>IF((Y$2&gt;=Assumptions!$G$16),(Assumptions!$G$17*((1+Assumptions!$G$18)^(Y$2-Assumptions!$G$16))),0)</f>
        <v/>
      </c>
      <c r="Z8" s="14">
        <f>IF((Z$2&gt;=Assumptions!$G$16),(Assumptions!$G$17*((1+Assumptions!$G$18)^(Z$2-Assumptions!$G$16))),0)</f>
        <v/>
      </c>
      <c r="AA8" s="14">
        <f>IF((AA$2&gt;=Assumptions!$G$16),(Assumptions!$G$17*((1+Assumptions!$G$18)^(AA$2-Assumptions!$G$16))),0)</f>
        <v/>
      </c>
      <c r="AB8" s="14">
        <f>IF((AB$2&gt;=Assumptions!$G$16),(Assumptions!$G$17*((1+Assumptions!$G$18)^(AB$2-Assumptions!$G$16))),0)</f>
        <v/>
      </c>
      <c r="AC8" s="14">
        <f>IF((AC$2&gt;=Assumptions!$G$16),(Assumptions!$G$17*((1+Assumptions!$G$18)^(AC$2-Assumptions!$G$16))),0)</f>
        <v/>
      </c>
      <c r="AD8" s="14">
        <f>IF((AD$2&gt;=Assumptions!$G$16),(Assumptions!$G$17*((1+Assumptions!$G$18)^(AD$2-Assumptions!$G$16))),0)</f>
        <v/>
      </c>
      <c r="AE8" s="14">
        <f>IF((AE$2&gt;=Assumptions!$G$16),(Assumptions!$G$17*((1+Assumptions!$G$18)^(AE$2-Assumptions!$G$16))),0)</f>
        <v/>
      </c>
      <c r="AF8" s="14">
        <f>IF((AF$2&gt;=Assumptions!$G$16),(Assumptions!$G$17*((1+Assumptions!$G$18)^(AF$2-Assumptions!$G$16))),0)</f>
        <v/>
      </c>
      <c r="AG8" s="14">
        <f>IF((AG$2&gt;=Assumptions!$G$16),(Assumptions!$G$17*((1+Assumptions!$G$18)^(AG$2-Assumptions!$G$16))),0)</f>
        <v/>
      </c>
      <c r="AH8" s="14">
        <f>IF((AH$2&gt;=Assumptions!$G$16),(Assumptions!$G$17*((1+Assumptions!$G$18)^(AH$2-Assumptions!$G$16))),0)</f>
        <v/>
      </c>
      <c r="AI8" s="14">
        <f>IF((AI$2&gt;=Assumptions!$G$16),(Assumptions!$G$17*((1+Assumptions!$G$18)^(AI$2-Assumptions!$G$16))),0)</f>
        <v/>
      </c>
      <c r="AJ8" s="14">
        <f>IF((AJ$2&gt;=Assumptions!$G$16),(Assumptions!$G$17*((1+Assumptions!$G$18)^(AJ$2-Assumptions!$G$16))),0)</f>
        <v/>
      </c>
      <c r="AK8" s="14">
        <f>IF((AK$2&gt;=Assumptions!$G$16),(Assumptions!$G$17*((1+Assumptions!$G$18)^(AK$2-Assumptions!$G$16))),0)</f>
        <v/>
      </c>
      <c r="AL8" s="14">
        <f>IF((AL$2&gt;=Assumptions!$G$16),(Assumptions!$G$17*((1+Assumptions!$G$18)^(AL$2-Assumptions!$G$16))),0)</f>
        <v/>
      </c>
    </row>
    <row r="9">
      <c r="A9" s="6" t="inlineStr">
        <is>
          <t>Installs: creators</t>
        </is>
      </c>
      <c r="B9" s="2" t="inlineStr">
        <is>
          <t>inst_creators</t>
        </is>
      </c>
      <c r="C9" s="17">
        <f>IF(Assumptions!$G$19=0,0,C8/Assumptions!$G$19)</f>
        <v/>
      </c>
      <c r="D9" s="17">
        <f>IF(Assumptions!$G$19=0,0,D8/Assumptions!$G$19)</f>
        <v/>
      </c>
      <c r="E9" s="17">
        <f>IF(Assumptions!$G$19=0,0,E8/Assumptions!$G$19)</f>
        <v/>
      </c>
      <c r="F9" s="17">
        <f>IF(Assumptions!$G$19=0,0,F8/Assumptions!$G$19)</f>
        <v/>
      </c>
      <c r="G9" s="17">
        <f>IF(Assumptions!$G$19=0,0,G8/Assumptions!$G$19)</f>
        <v/>
      </c>
      <c r="H9" s="17">
        <f>IF(Assumptions!$G$19=0,0,H8/Assumptions!$G$19)</f>
        <v/>
      </c>
      <c r="I9" s="17">
        <f>IF(Assumptions!$G$19=0,0,I8/Assumptions!$G$19)</f>
        <v/>
      </c>
      <c r="J9" s="17">
        <f>IF(Assumptions!$G$19=0,0,J8/Assumptions!$G$19)</f>
        <v/>
      </c>
      <c r="K9" s="17">
        <f>IF(Assumptions!$G$19=0,0,K8/Assumptions!$G$19)</f>
        <v/>
      </c>
      <c r="L9" s="17">
        <f>IF(Assumptions!$G$19=0,0,L8/Assumptions!$G$19)</f>
        <v/>
      </c>
      <c r="M9" s="17">
        <f>IF(Assumptions!$G$19=0,0,M8/Assumptions!$G$19)</f>
        <v/>
      </c>
      <c r="N9" s="17">
        <f>IF(Assumptions!$G$19=0,0,N8/Assumptions!$G$19)</f>
        <v/>
      </c>
      <c r="O9" s="17">
        <f>IF(Assumptions!$G$19=0,0,O8/Assumptions!$G$19)</f>
        <v/>
      </c>
      <c r="P9" s="17">
        <f>IF(Assumptions!$G$19=0,0,P8/Assumptions!$G$19)</f>
        <v/>
      </c>
      <c r="Q9" s="17">
        <f>IF(Assumptions!$G$19=0,0,Q8/Assumptions!$G$19)</f>
        <v/>
      </c>
      <c r="R9" s="17">
        <f>IF(Assumptions!$G$19=0,0,R8/Assumptions!$G$19)</f>
        <v/>
      </c>
      <c r="S9" s="17">
        <f>IF(Assumptions!$G$19=0,0,S8/Assumptions!$G$19)</f>
        <v/>
      </c>
      <c r="T9" s="17">
        <f>IF(Assumptions!$G$19=0,0,T8/Assumptions!$G$19)</f>
        <v/>
      </c>
      <c r="U9" s="17">
        <f>IF(Assumptions!$G$19=0,0,U8/Assumptions!$G$19)</f>
        <v/>
      </c>
      <c r="V9" s="17">
        <f>IF(Assumptions!$G$19=0,0,V8/Assumptions!$G$19)</f>
        <v/>
      </c>
      <c r="W9" s="17">
        <f>IF(Assumptions!$G$19=0,0,W8/Assumptions!$G$19)</f>
        <v/>
      </c>
      <c r="X9" s="17">
        <f>IF(Assumptions!$G$19=0,0,X8/Assumptions!$G$19)</f>
        <v/>
      </c>
      <c r="Y9" s="17">
        <f>IF(Assumptions!$G$19=0,0,Y8/Assumptions!$G$19)</f>
        <v/>
      </c>
      <c r="Z9" s="17">
        <f>IF(Assumptions!$G$19=0,0,Z8/Assumptions!$G$19)</f>
        <v/>
      </c>
      <c r="AA9" s="17">
        <f>IF(Assumptions!$G$19=0,0,AA8/Assumptions!$G$19)</f>
        <v/>
      </c>
      <c r="AB9" s="17">
        <f>IF(Assumptions!$G$19=0,0,AB8/Assumptions!$G$19)</f>
        <v/>
      </c>
      <c r="AC9" s="17">
        <f>IF(Assumptions!$G$19=0,0,AC8/Assumptions!$G$19)</f>
        <v/>
      </c>
      <c r="AD9" s="17">
        <f>IF(Assumptions!$G$19=0,0,AD8/Assumptions!$G$19)</f>
        <v/>
      </c>
      <c r="AE9" s="17">
        <f>IF(Assumptions!$G$19=0,0,AE8/Assumptions!$G$19)</f>
        <v/>
      </c>
      <c r="AF9" s="17">
        <f>IF(Assumptions!$G$19=0,0,AF8/Assumptions!$G$19)</f>
        <v/>
      </c>
      <c r="AG9" s="17">
        <f>IF(Assumptions!$G$19=0,0,AG8/Assumptions!$G$19)</f>
        <v/>
      </c>
      <c r="AH9" s="17">
        <f>IF(Assumptions!$G$19=0,0,AH8/Assumptions!$G$19)</f>
        <v/>
      </c>
      <c r="AI9" s="17">
        <f>IF(Assumptions!$G$19=0,0,AI8/Assumptions!$G$19)</f>
        <v/>
      </c>
      <c r="AJ9" s="17">
        <f>IF(Assumptions!$G$19=0,0,AJ8/Assumptions!$G$19)</f>
        <v/>
      </c>
      <c r="AK9" s="17">
        <f>IF(Assumptions!$G$19=0,0,AK8/Assumptions!$G$19)</f>
        <v/>
      </c>
      <c r="AL9" s="17">
        <f>IF(Assumptions!$G$19=0,0,AL8/Assumptions!$G$19)</f>
        <v/>
      </c>
    </row>
    <row r="10">
      <c r="A10" s="6" t="inlineStr">
        <is>
          <t>Apple Search Ads spend</t>
        </is>
      </c>
      <c r="B10" s="2" t="inlineStr">
        <is>
          <t>spend_asa</t>
        </is>
      </c>
      <c r="C10" s="14">
        <f>IF((C$2&gt;=Assumptions!$G$20),(Assumptions!$G$21*((1+Assumptions!$G$22)^(C$2-Assumptions!$G$20))),0)</f>
        <v/>
      </c>
      <c r="D10" s="14">
        <f>IF((D$2&gt;=Assumptions!$G$20),(Assumptions!$G$21*((1+Assumptions!$G$22)^(D$2-Assumptions!$G$20))),0)</f>
        <v/>
      </c>
      <c r="E10" s="14">
        <f>IF((E$2&gt;=Assumptions!$G$20),(Assumptions!$G$21*((1+Assumptions!$G$22)^(E$2-Assumptions!$G$20))),0)</f>
        <v/>
      </c>
      <c r="F10" s="14">
        <f>IF((F$2&gt;=Assumptions!$G$20),(Assumptions!$G$21*((1+Assumptions!$G$22)^(F$2-Assumptions!$G$20))),0)</f>
        <v/>
      </c>
      <c r="G10" s="14">
        <f>IF((G$2&gt;=Assumptions!$G$20),(Assumptions!$G$21*((1+Assumptions!$G$22)^(G$2-Assumptions!$G$20))),0)</f>
        <v/>
      </c>
      <c r="H10" s="14">
        <f>IF((H$2&gt;=Assumptions!$G$20),(Assumptions!$G$21*((1+Assumptions!$G$22)^(H$2-Assumptions!$G$20))),0)</f>
        <v/>
      </c>
      <c r="I10" s="14">
        <f>IF((I$2&gt;=Assumptions!$G$20),(Assumptions!$G$21*((1+Assumptions!$G$22)^(I$2-Assumptions!$G$20))),0)</f>
        <v/>
      </c>
      <c r="J10" s="14">
        <f>IF((J$2&gt;=Assumptions!$G$20),(Assumptions!$G$21*((1+Assumptions!$G$22)^(J$2-Assumptions!$G$20))),0)</f>
        <v/>
      </c>
      <c r="K10" s="14">
        <f>IF((K$2&gt;=Assumptions!$G$20),(Assumptions!$G$21*((1+Assumptions!$G$22)^(K$2-Assumptions!$G$20))),0)</f>
        <v/>
      </c>
      <c r="L10" s="14">
        <f>IF((L$2&gt;=Assumptions!$G$20),(Assumptions!$G$21*((1+Assumptions!$G$22)^(L$2-Assumptions!$G$20))),0)</f>
        <v/>
      </c>
      <c r="M10" s="14">
        <f>IF((M$2&gt;=Assumptions!$G$20),(Assumptions!$G$21*((1+Assumptions!$G$22)^(M$2-Assumptions!$G$20))),0)</f>
        <v/>
      </c>
      <c r="N10" s="14">
        <f>IF((N$2&gt;=Assumptions!$G$20),(Assumptions!$G$21*((1+Assumptions!$G$22)^(N$2-Assumptions!$G$20))),0)</f>
        <v/>
      </c>
      <c r="O10" s="14">
        <f>IF((O$2&gt;=Assumptions!$G$20),(Assumptions!$G$21*((1+Assumptions!$G$22)^(O$2-Assumptions!$G$20))),0)</f>
        <v/>
      </c>
      <c r="P10" s="14">
        <f>IF((P$2&gt;=Assumptions!$G$20),(Assumptions!$G$21*((1+Assumptions!$G$22)^(P$2-Assumptions!$G$20))),0)</f>
        <v/>
      </c>
      <c r="Q10" s="14">
        <f>IF((Q$2&gt;=Assumptions!$G$20),(Assumptions!$G$21*((1+Assumptions!$G$22)^(Q$2-Assumptions!$G$20))),0)</f>
        <v/>
      </c>
      <c r="R10" s="14">
        <f>IF((R$2&gt;=Assumptions!$G$20),(Assumptions!$G$21*((1+Assumptions!$G$22)^(R$2-Assumptions!$G$20))),0)</f>
        <v/>
      </c>
      <c r="S10" s="14">
        <f>IF((S$2&gt;=Assumptions!$G$20),(Assumptions!$G$21*((1+Assumptions!$G$22)^(S$2-Assumptions!$G$20))),0)</f>
        <v/>
      </c>
      <c r="T10" s="14">
        <f>IF((T$2&gt;=Assumptions!$G$20),(Assumptions!$G$21*((1+Assumptions!$G$22)^(T$2-Assumptions!$G$20))),0)</f>
        <v/>
      </c>
      <c r="U10" s="14">
        <f>IF((U$2&gt;=Assumptions!$G$20),(Assumptions!$G$21*((1+Assumptions!$G$22)^(U$2-Assumptions!$G$20))),0)</f>
        <v/>
      </c>
      <c r="V10" s="14">
        <f>IF((V$2&gt;=Assumptions!$G$20),(Assumptions!$G$21*((1+Assumptions!$G$22)^(V$2-Assumptions!$G$20))),0)</f>
        <v/>
      </c>
      <c r="W10" s="14">
        <f>IF((W$2&gt;=Assumptions!$G$20),(Assumptions!$G$21*((1+Assumptions!$G$22)^(W$2-Assumptions!$G$20))),0)</f>
        <v/>
      </c>
      <c r="X10" s="14">
        <f>IF((X$2&gt;=Assumptions!$G$20),(Assumptions!$G$21*((1+Assumptions!$G$22)^(X$2-Assumptions!$G$20))),0)</f>
        <v/>
      </c>
      <c r="Y10" s="14">
        <f>IF((Y$2&gt;=Assumptions!$G$20),(Assumptions!$G$21*((1+Assumptions!$G$22)^(Y$2-Assumptions!$G$20))),0)</f>
        <v/>
      </c>
      <c r="Z10" s="14">
        <f>IF((Z$2&gt;=Assumptions!$G$20),(Assumptions!$G$21*((1+Assumptions!$G$22)^(Z$2-Assumptions!$G$20))),0)</f>
        <v/>
      </c>
      <c r="AA10" s="14">
        <f>IF((AA$2&gt;=Assumptions!$G$20),(Assumptions!$G$21*((1+Assumptions!$G$22)^(AA$2-Assumptions!$G$20))),0)</f>
        <v/>
      </c>
      <c r="AB10" s="14">
        <f>IF((AB$2&gt;=Assumptions!$G$20),(Assumptions!$G$21*((1+Assumptions!$G$22)^(AB$2-Assumptions!$G$20))),0)</f>
        <v/>
      </c>
      <c r="AC10" s="14">
        <f>IF((AC$2&gt;=Assumptions!$G$20),(Assumptions!$G$21*((1+Assumptions!$G$22)^(AC$2-Assumptions!$G$20))),0)</f>
        <v/>
      </c>
      <c r="AD10" s="14">
        <f>IF((AD$2&gt;=Assumptions!$G$20),(Assumptions!$G$21*((1+Assumptions!$G$22)^(AD$2-Assumptions!$G$20))),0)</f>
        <v/>
      </c>
      <c r="AE10" s="14">
        <f>IF((AE$2&gt;=Assumptions!$G$20),(Assumptions!$G$21*((1+Assumptions!$G$22)^(AE$2-Assumptions!$G$20))),0)</f>
        <v/>
      </c>
      <c r="AF10" s="14">
        <f>IF((AF$2&gt;=Assumptions!$G$20),(Assumptions!$G$21*((1+Assumptions!$G$22)^(AF$2-Assumptions!$G$20))),0)</f>
        <v/>
      </c>
      <c r="AG10" s="14">
        <f>IF((AG$2&gt;=Assumptions!$G$20),(Assumptions!$G$21*((1+Assumptions!$G$22)^(AG$2-Assumptions!$G$20))),0)</f>
        <v/>
      </c>
      <c r="AH10" s="14">
        <f>IF((AH$2&gt;=Assumptions!$G$20),(Assumptions!$G$21*((1+Assumptions!$G$22)^(AH$2-Assumptions!$G$20))),0)</f>
        <v/>
      </c>
      <c r="AI10" s="14">
        <f>IF((AI$2&gt;=Assumptions!$G$20),(Assumptions!$G$21*((1+Assumptions!$G$22)^(AI$2-Assumptions!$G$20))),0)</f>
        <v/>
      </c>
      <c r="AJ10" s="14">
        <f>IF((AJ$2&gt;=Assumptions!$G$20),(Assumptions!$G$21*((1+Assumptions!$G$22)^(AJ$2-Assumptions!$G$20))),0)</f>
        <v/>
      </c>
      <c r="AK10" s="14">
        <f>IF((AK$2&gt;=Assumptions!$G$20),(Assumptions!$G$21*((1+Assumptions!$G$22)^(AK$2-Assumptions!$G$20))),0)</f>
        <v/>
      </c>
      <c r="AL10" s="14">
        <f>IF((AL$2&gt;=Assumptions!$G$20),(Assumptions!$G$21*((1+Assumptions!$G$22)^(AL$2-Assumptions!$G$20))),0)</f>
        <v/>
      </c>
    </row>
    <row r="11">
      <c r="A11" s="6" t="inlineStr">
        <is>
          <t>Installs: paid Apple Search Ads</t>
        </is>
      </c>
      <c r="B11" s="2" t="inlineStr">
        <is>
          <t>inst_asa</t>
        </is>
      </c>
      <c r="C11" s="17">
        <f>IF(Assumptions!$G$23=0,0,C10/Assumptions!$G$23)</f>
        <v/>
      </c>
      <c r="D11" s="17">
        <f>IF(Assumptions!$G$23=0,0,D10/Assumptions!$G$23)</f>
        <v/>
      </c>
      <c r="E11" s="17">
        <f>IF(Assumptions!$G$23=0,0,E10/Assumptions!$G$23)</f>
        <v/>
      </c>
      <c r="F11" s="17">
        <f>IF(Assumptions!$G$23=0,0,F10/Assumptions!$G$23)</f>
        <v/>
      </c>
      <c r="G11" s="17">
        <f>IF(Assumptions!$G$23=0,0,G10/Assumptions!$G$23)</f>
        <v/>
      </c>
      <c r="H11" s="17">
        <f>IF(Assumptions!$G$23=0,0,H10/Assumptions!$G$23)</f>
        <v/>
      </c>
      <c r="I11" s="17">
        <f>IF(Assumptions!$G$23=0,0,I10/Assumptions!$G$23)</f>
        <v/>
      </c>
      <c r="J11" s="17">
        <f>IF(Assumptions!$G$23=0,0,J10/Assumptions!$G$23)</f>
        <v/>
      </c>
      <c r="K11" s="17">
        <f>IF(Assumptions!$G$23=0,0,K10/Assumptions!$G$23)</f>
        <v/>
      </c>
      <c r="L11" s="17">
        <f>IF(Assumptions!$G$23=0,0,L10/Assumptions!$G$23)</f>
        <v/>
      </c>
      <c r="M11" s="17">
        <f>IF(Assumptions!$G$23=0,0,M10/Assumptions!$G$23)</f>
        <v/>
      </c>
      <c r="N11" s="17">
        <f>IF(Assumptions!$G$23=0,0,N10/Assumptions!$G$23)</f>
        <v/>
      </c>
      <c r="O11" s="17">
        <f>IF(Assumptions!$G$23=0,0,O10/Assumptions!$G$23)</f>
        <v/>
      </c>
      <c r="P11" s="17">
        <f>IF(Assumptions!$G$23=0,0,P10/Assumptions!$G$23)</f>
        <v/>
      </c>
      <c r="Q11" s="17">
        <f>IF(Assumptions!$G$23=0,0,Q10/Assumptions!$G$23)</f>
        <v/>
      </c>
      <c r="R11" s="17">
        <f>IF(Assumptions!$G$23=0,0,R10/Assumptions!$G$23)</f>
        <v/>
      </c>
      <c r="S11" s="17">
        <f>IF(Assumptions!$G$23=0,0,S10/Assumptions!$G$23)</f>
        <v/>
      </c>
      <c r="T11" s="17">
        <f>IF(Assumptions!$G$23=0,0,T10/Assumptions!$G$23)</f>
        <v/>
      </c>
      <c r="U11" s="17">
        <f>IF(Assumptions!$G$23=0,0,U10/Assumptions!$G$23)</f>
        <v/>
      </c>
      <c r="V11" s="17">
        <f>IF(Assumptions!$G$23=0,0,V10/Assumptions!$G$23)</f>
        <v/>
      </c>
      <c r="W11" s="17">
        <f>IF(Assumptions!$G$23=0,0,W10/Assumptions!$G$23)</f>
        <v/>
      </c>
      <c r="X11" s="17">
        <f>IF(Assumptions!$G$23=0,0,X10/Assumptions!$G$23)</f>
        <v/>
      </c>
      <c r="Y11" s="17">
        <f>IF(Assumptions!$G$23=0,0,Y10/Assumptions!$G$23)</f>
        <v/>
      </c>
      <c r="Z11" s="17">
        <f>IF(Assumptions!$G$23=0,0,Z10/Assumptions!$G$23)</f>
        <v/>
      </c>
      <c r="AA11" s="17">
        <f>IF(Assumptions!$G$23=0,0,AA10/Assumptions!$G$23)</f>
        <v/>
      </c>
      <c r="AB11" s="17">
        <f>IF(Assumptions!$G$23=0,0,AB10/Assumptions!$G$23)</f>
        <v/>
      </c>
      <c r="AC11" s="17">
        <f>IF(Assumptions!$G$23=0,0,AC10/Assumptions!$G$23)</f>
        <v/>
      </c>
      <c r="AD11" s="17">
        <f>IF(Assumptions!$G$23=0,0,AD10/Assumptions!$G$23)</f>
        <v/>
      </c>
      <c r="AE11" s="17">
        <f>IF(Assumptions!$G$23=0,0,AE10/Assumptions!$G$23)</f>
        <v/>
      </c>
      <c r="AF11" s="17">
        <f>IF(Assumptions!$G$23=0,0,AF10/Assumptions!$G$23)</f>
        <v/>
      </c>
      <c r="AG11" s="17">
        <f>IF(Assumptions!$G$23=0,0,AG10/Assumptions!$G$23)</f>
        <v/>
      </c>
      <c r="AH11" s="17">
        <f>IF(Assumptions!$G$23=0,0,AH10/Assumptions!$G$23)</f>
        <v/>
      </c>
      <c r="AI11" s="17">
        <f>IF(Assumptions!$G$23=0,0,AI10/Assumptions!$G$23)</f>
        <v/>
      </c>
      <c r="AJ11" s="17">
        <f>IF(Assumptions!$G$23=0,0,AJ10/Assumptions!$G$23)</f>
        <v/>
      </c>
      <c r="AK11" s="17">
        <f>IF(Assumptions!$G$23=0,0,AK10/Assumptions!$G$23)</f>
        <v/>
      </c>
      <c r="AL11" s="17">
        <f>IF(Assumptions!$G$23=0,0,AL10/Assumptions!$G$23)</f>
        <v/>
      </c>
    </row>
    <row r="12">
      <c r="A12" s="21" t="inlineStr">
        <is>
          <t>Total installs</t>
        </is>
      </c>
      <c r="B12" s="2" t="inlineStr">
        <is>
          <t>inst_total</t>
        </is>
      </c>
      <c r="C12" s="22">
        <f>(((C6+C7)+C9)+C11)</f>
        <v/>
      </c>
      <c r="D12" s="22">
        <f>(((D6+D7)+D9)+D11)</f>
        <v/>
      </c>
      <c r="E12" s="22">
        <f>(((E6+E7)+E9)+E11)</f>
        <v/>
      </c>
      <c r="F12" s="22">
        <f>(((F6+F7)+F9)+F11)</f>
        <v/>
      </c>
      <c r="G12" s="22">
        <f>(((G6+G7)+G9)+G11)</f>
        <v/>
      </c>
      <c r="H12" s="22">
        <f>(((H6+H7)+H9)+H11)</f>
        <v/>
      </c>
      <c r="I12" s="22">
        <f>(((I6+I7)+I9)+I11)</f>
        <v/>
      </c>
      <c r="J12" s="22">
        <f>(((J6+J7)+J9)+J11)</f>
        <v/>
      </c>
      <c r="K12" s="22">
        <f>(((K6+K7)+K9)+K11)</f>
        <v/>
      </c>
      <c r="L12" s="22">
        <f>(((L6+L7)+L9)+L11)</f>
        <v/>
      </c>
      <c r="M12" s="22">
        <f>(((M6+M7)+M9)+M11)</f>
        <v/>
      </c>
      <c r="N12" s="22">
        <f>(((N6+N7)+N9)+N11)</f>
        <v/>
      </c>
      <c r="O12" s="22">
        <f>(((O6+O7)+O9)+O11)</f>
        <v/>
      </c>
      <c r="P12" s="22">
        <f>(((P6+P7)+P9)+P11)</f>
        <v/>
      </c>
      <c r="Q12" s="22">
        <f>(((Q6+Q7)+Q9)+Q11)</f>
        <v/>
      </c>
      <c r="R12" s="22">
        <f>(((R6+R7)+R9)+R11)</f>
        <v/>
      </c>
      <c r="S12" s="22">
        <f>(((S6+S7)+S9)+S11)</f>
        <v/>
      </c>
      <c r="T12" s="22">
        <f>(((T6+T7)+T9)+T11)</f>
        <v/>
      </c>
      <c r="U12" s="22">
        <f>(((U6+U7)+U9)+U11)</f>
        <v/>
      </c>
      <c r="V12" s="22">
        <f>(((V6+V7)+V9)+V11)</f>
        <v/>
      </c>
      <c r="W12" s="22">
        <f>(((W6+W7)+W9)+W11)</f>
        <v/>
      </c>
      <c r="X12" s="22">
        <f>(((X6+X7)+X9)+X11)</f>
        <v/>
      </c>
      <c r="Y12" s="22">
        <f>(((Y6+Y7)+Y9)+Y11)</f>
        <v/>
      </c>
      <c r="Z12" s="22">
        <f>(((Z6+Z7)+Z9)+Z11)</f>
        <v/>
      </c>
      <c r="AA12" s="22">
        <f>(((AA6+AA7)+AA9)+AA11)</f>
        <v/>
      </c>
      <c r="AB12" s="22">
        <f>(((AB6+AB7)+AB9)+AB11)</f>
        <v/>
      </c>
      <c r="AC12" s="22">
        <f>(((AC6+AC7)+AC9)+AC11)</f>
        <v/>
      </c>
      <c r="AD12" s="22">
        <f>(((AD6+AD7)+AD9)+AD11)</f>
        <v/>
      </c>
      <c r="AE12" s="22">
        <f>(((AE6+AE7)+AE9)+AE11)</f>
        <v/>
      </c>
      <c r="AF12" s="22">
        <f>(((AF6+AF7)+AF9)+AF11)</f>
        <v/>
      </c>
      <c r="AG12" s="22">
        <f>(((AG6+AG7)+AG9)+AG11)</f>
        <v/>
      </c>
      <c r="AH12" s="22">
        <f>(((AH6+AH7)+AH9)+AH11)</f>
        <v/>
      </c>
      <c r="AI12" s="22">
        <f>(((AI6+AI7)+AI9)+AI11)</f>
        <v/>
      </c>
      <c r="AJ12" s="22">
        <f>(((AJ6+AJ7)+AJ9)+AJ11)</f>
        <v/>
      </c>
      <c r="AK12" s="22">
        <f>(((AK6+AK7)+AK9)+AK11)</f>
        <v/>
      </c>
      <c r="AL12" s="22">
        <f>(((AL6+AL7)+AL9)+AL11)</f>
        <v/>
      </c>
    </row>
    <row r="14">
      <c r="A14" s="4" t="inlineStr">
        <is>
          <t>FUNNEL (free -&gt; trial -&gt; paid)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</row>
    <row r="15">
      <c r="A15" s="6" t="inlineStr">
        <is>
          <t>Activated users</t>
        </is>
      </c>
      <c r="B15" s="2" t="inlineStr">
        <is>
          <t>activated</t>
        </is>
      </c>
      <c r="C15" s="17">
        <f>(C12*Assumptions!$G$25)</f>
        <v/>
      </c>
      <c r="D15" s="17">
        <f>(D12*Assumptions!$G$25)</f>
        <v/>
      </c>
      <c r="E15" s="17">
        <f>(E12*Assumptions!$G$25)</f>
        <v/>
      </c>
      <c r="F15" s="17">
        <f>(F12*Assumptions!$G$25)</f>
        <v/>
      </c>
      <c r="G15" s="17">
        <f>(G12*Assumptions!$G$25)</f>
        <v/>
      </c>
      <c r="H15" s="17">
        <f>(H12*Assumptions!$G$25)</f>
        <v/>
      </c>
      <c r="I15" s="17">
        <f>(I12*Assumptions!$G$25)</f>
        <v/>
      </c>
      <c r="J15" s="17">
        <f>(J12*Assumptions!$G$25)</f>
        <v/>
      </c>
      <c r="K15" s="17">
        <f>(K12*Assumptions!$G$25)</f>
        <v/>
      </c>
      <c r="L15" s="17">
        <f>(L12*Assumptions!$G$25)</f>
        <v/>
      </c>
      <c r="M15" s="17">
        <f>(M12*Assumptions!$G$25)</f>
        <v/>
      </c>
      <c r="N15" s="17">
        <f>(N12*Assumptions!$G$25)</f>
        <v/>
      </c>
      <c r="O15" s="17">
        <f>(O12*Assumptions!$G$25)</f>
        <v/>
      </c>
      <c r="P15" s="17">
        <f>(P12*Assumptions!$G$25)</f>
        <v/>
      </c>
      <c r="Q15" s="17">
        <f>(Q12*Assumptions!$G$25)</f>
        <v/>
      </c>
      <c r="R15" s="17">
        <f>(R12*Assumptions!$G$25)</f>
        <v/>
      </c>
      <c r="S15" s="17">
        <f>(S12*Assumptions!$G$25)</f>
        <v/>
      </c>
      <c r="T15" s="17">
        <f>(T12*Assumptions!$G$25)</f>
        <v/>
      </c>
      <c r="U15" s="17">
        <f>(U12*Assumptions!$G$25)</f>
        <v/>
      </c>
      <c r="V15" s="17">
        <f>(V12*Assumptions!$G$25)</f>
        <v/>
      </c>
      <c r="W15" s="17">
        <f>(W12*Assumptions!$G$25)</f>
        <v/>
      </c>
      <c r="X15" s="17">
        <f>(X12*Assumptions!$G$25)</f>
        <v/>
      </c>
      <c r="Y15" s="17">
        <f>(Y12*Assumptions!$G$25)</f>
        <v/>
      </c>
      <c r="Z15" s="17">
        <f>(Z12*Assumptions!$G$25)</f>
        <v/>
      </c>
      <c r="AA15" s="17">
        <f>(AA12*Assumptions!$G$25)</f>
        <v/>
      </c>
      <c r="AB15" s="17">
        <f>(AB12*Assumptions!$G$25)</f>
        <v/>
      </c>
      <c r="AC15" s="17">
        <f>(AC12*Assumptions!$G$25)</f>
        <v/>
      </c>
      <c r="AD15" s="17">
        <f>(AD12*Assumptions!$G$25)</f>
        <v/>
      </c>
      <c r="AE15" s="17">
        <f>(AE12*Assumptions!$G$25)</f>
        <v/>
      </c>
      <c r="AF15" s="17">
        <f>(AF12*Assumptions!$G$25)</f>
        <v/>
      </c>
      <c r="AG15" s="17">
        <f>(AG12*Assumptions!$G$25)</f>
        <v/>
      </c>
      <c r="AH15" s="17">
        <f>(AH12*Assumptions!$G$25)</f>
        <v/>
      </c>
      <c r="AI15" s="17">
        <f>(AI12*Assumptions!$G$25)</f>
        <v/>
      </c>
      <c r="AJ15" s="17">
        <f>(AJ12*Assumptions!$G$25)</f>
        <v/>
      </c>
      <c r="AK15" s="17">
        <f>(AK12*Assumptions!$G$25)</f>
        <v/>
      </c>
      <c r="AL15" s="17">
        <f>(AL12*Assumptions!$G$25)</f>
        <v/>
      </c>
    </row>
    <row r="16">
      <c r="A16" s="6" t="inlineStr">
        <is>
          <t>Trial / paywall starts</t>
        </is>
      </c>
      <c r="B16" s="2" t="inlineStr">
        <is>
          <t>trial_starts</t>
        </is>
      </c>
      <c r="C16" s="17">
        <f>(C15*Assumptions!$G$29)</f>
        <v/>
      </c>
      <c r="D16" s="17">
        <f>(D15*Assumptions!$G$29)</f>
        <v/>
      </c>
      <c r="E16" s="17">
        <f>(E15*Assumptions!$G$29)</f>
        <v/>
      </c>
      <c r="F16" s="17">
        <f>(F15*Assumptions!$G$29)</f>
        <v/>
      </c>
      <c r="G16" s="17">
        <f>(G15*Assumptions!$G$29)</f>
        <v/>
      </c>
      <c r="H16" s="17">
        <f>(H15*Assumptions!$G$29)</f>
        <v/>
      </c>
      <c r="I16" s="17">
        <f>(I15*Assumptions!$G$29)</f>
        <v/>
      </c>
      <c r="J16" s="17">
        <f>(J15*Assumptions!$G$29)</f>
        <v/>
      </c>
      <c r="K16" s="17">
        <f>(K15*Assumptions!$G$29)</f>
        <v/>
      </c>
      <c r="L16" s="17">
        <f>(L15*Assumptions!$G$29)</f>
        <v/>
      </c>
      <c r="M16" s="17">
        <f>(M15*Assumptions!$G$29)</f>
        <v/>
      </c>
      <c r="N16" s="17">
        <f>(N15*Assumptions!$G$29)</f>
        <v/>
      </c>
      <c r="O16" s="17">
        <f>(O15*Assumptions!$G$29)</f>
        <v/>
      </c>
      <c r="P16" s="17">
        <f>(P15*Assumptions!$G$29)</f>
        <v/>
      </c>
      <c r="Q16" s="17">
        <f>(Q15*Assumptions!$G$29)</f>
        <v/>
      </c>
      <c r="R16" s="17">
        <f>(R15*Assumptions!$G$29)</f>
        <v/>
      </c>
      <c r="S16" s="17">
        <f>(S15*Assumptions!$G$29)</f>
        <v/>
      </c>
      <c r="T16" s="17">
        <f>(T15*Assumptions!$G$29)</f>
        <v/>
      </c>
      <c r="U16" s="17">
        <f>(U15*Assumptions!$G$29)</f>
        <v/>
      </c>
      <c r="V16" s="17">
        <f>(V15*Assumptions!$G$29)</f>
        <v/>
      </c>
      <c r="W16" s="17">
        <f>(W15*Assumptions!$G$29)</f>
        <v/>
      </c>
      <c r="X16" s="17">
        <f>(X15*Assumptions!$G$29)</f>
        <v/>
      </c>
      <c r="Y16" s="17">
        <f>(Y15*Assumptions!$G$29)</f>
        <v/>
      </c>
      <c r="Z16" s="17">
        <f>(Z15*Assumptions!$G$29)</f>
        <v/>
      </c>
      <c r="AA16" s="17">
        <f>(AA15*Assumptions!$G$29)</f>
        <v/>
      </c>
      <c r="AB16" s="17">
        <f>(AB15*Assumptions!$G$29)</f>
        <v/>
      </c>
      <c r="AC16" s="17">
        <f>(AC15*Assumptions!$G$29)</f>
        <v/>
      </c>
      <c r="AD16" s="17">
        <f>(AD15*Assumptions!$G$29)</f>
        <v/>
      </c>
      <c r="AE16" s="17">
        <f>(AE15*Assumptions!$G$29)</f>
        <v/>
      </c>
      <c r="AF16" s="17">
        <f>(AF15*Assumptions!$G$29)</f>
        <v/>
      </c>
      <c r="AG16" s="17">
        <f>(AG15*Assumptions!$G$29)</f>
        <v/>
      </c>
      <c r="AH16" s="17">
        <f>(AH15*Assumptions!$G$29)</f>
        <v/>
      </c>
      <c r="AI16" s="17">
        <f>(AI15*Assumptions!$G$29)</f>
        <v/>
      </c>
      <c r="AJ16" s="17">
        <f>(AJ15*Assumptions!$G$29)</f>
        <v/>
      </c>
      <c r="AK16" s="17">
        <f>(AK15*Assumptions!$G$29)</f>
        <v/>
      </c>
      <c r="AL16" s="17">
        <f>(AL15*Assumptions!$G$29)</f>
        <v/>
      </c>
    </row>
    <row r="17">
      <c r="A17" s="21" t="inlineStr">
        <is>
          <t>New paid subscribers</t>
        </is>
      </c>
      <c r="B17" s="2" t="inlineStr">
        <is>
          <t>new_paid</t>
        </is>
      </c>
      <c r="C17" s="22">
        <f>(C16*Assumptions!$G$30)</f>
        <v/>
      </c>
      <c r="D17" s="22">
        <f>(D16*Assumptions!$G$30)</f>
        <v/>
      </c>
      <c r="E17" s="22">
        <f>(E16*Assumptions!$G$30)</f>
        <v/>
      </c>
      <c r="F17" s="22">
        <f>(F16*Assumptions!$G$30)</f>
        <v/>
      </c>
      <c r="G17" s="22">
        <f>(G16*Assumptions!$G$30)</f>
        <v/>
      </c>
      <c r="H17" s="22">
        <f>(H16*Assumptions!$G$30)</f>
        <v/>
      </c>
      <c r="I17" s="22">
        <f>(I16*Assumptions!$G$30)</f>
        <v/>
      </c>
      <c r="J17" s="22">
        <f>(J16*Assumptions!$G$30)</f>
        <v/>
      </c>
      <c r="K17" s="22">
        <f>(K16*Assumptions!$G$30)</f>
        <v/>
      </c>
      <c r="L17" s="22">
        <f>(L16*Assumptions!$G$30)</f>
        <v/>
      </c>
      <c r="M17" s="22">
        <f>(M16*Assumptions!$G$30)</f>
        <v/>
      </c>
      <c r="N17" s="22">
        <f>(N16*Assumptions!$G$30)</f>
        <v/>
      </c>
      <c r="O17" s="22">
        <f>(O16*Assumptions!$G$30)</f>
        <v/>
      </c>
      <c r="P17" s="22">
        <f>(P16*Assumptions!$G$30)</f>
        <v/>
      </c>
      <c r="Q17" s="22">
        <f>(Q16*Assumptions!$G$30)</f>
        <v/>
      </c>
      <c r="R17" s="22">
        <f>(R16*Assumptions!$G$30)</f>
        <v/>
      </c>
      <c r="S17" s="22">
        <f>(S16*Assumptions!$G$30)</f>
        <v/>
      </c>
      <c r="T17" s="22">
        <f>(T16*Assumptions!$G$30)</f>
        <v/>
      </c>
      <c r="U17" s="22">
        <f>(U16*Assumptions!$G$30)</f>
        <v/>
      </c>
      <c r="V17" s="22">
        <f>(V16*Assumptions!$G$30)</f>
        <v/>
      </c>
      <c r="W17" s="22">
        <f>(W16*Assumptions!$G$30)</f>
        <v/>
      </c>
      <c r="X17" s="22">
        <f>(X16*Assumptions!$G$30)</f>
        <v/>
      </c>
      <c r="Y17" s="22">
        <f>(Y16*Assumptions!$G$30)</f>
        <v/>
      </c>
      <c r="Z17" s="22">
        <f>(Z16*Assumptions!$G$30)</f>
        <v/>
      </c>
      <c r="AA17" s="22">
        <f>(AA16*Assumptions!$G$30)</f>
        <v/>
      </c>
      <c r="AB17" s="22">
        <f>(AB16*Assumptions!$G$30)</f>
        <v/>
      </c>
      <c r="AC17" s="22">
        <f>(AC16*Assumptions!$G$30)</f>
        <v/>
      </c>
      <c r="AD17" s="22">
        <f>(AD16*Assumptions!$G$30)</f>
        <v/>
      </c>
      <c r="AE17" s="22">
        <f>(AE16*Assumptions!$G$30)</f>
        <v/>
      </c>
      <c r="AF17" s="22">
        <f>(AF16*Assumptions!$G$30)</f>
        <v/>
      </c>
      <c r="AG17" s="22">
        <f>(AG16*Assumptions!$G$30)</f>
        <v/>
      </c>
      <c r="AH17" s="22">
        <f>(AH16*Assumptions!$G$30)</f>
        <v/>
      </c>
      <c r="AI17" s="22">
        <f>(AI16*Assumptions!$G$30)</f>
        <v/>
      </c>
      <c r="AJ17" s="22">
        <f>(AJ16*Assumptions!$G$30)</f>
        <v/>
      </c>
      <c r="AK17" s="22">
        <f>(AK16*Assumptions!$G$30)</f>
        <v/>
      </c>
      <c r="AL17" s="22">
        <f>(AL16*Assumptions!$G$30)</f>
        <v/>
      </c>
    </row>
    <row r="18">
      <c r="A18" s="6" t="inlineStr">
        <is>
          <t xml:space="preserve">  of which monthly plan</t>
        </is>
      </c>
      <c r="B18" s="2" t="inlineStr">
        <is>
          <t>new_monthly</t>
        </is>
      </c>
      <c r="C18" s="17">
        <f>(C17*Assumptions!$G$31)</f>
        <v/>
      </c>
      <c r="D18" s="17">
        <f>(D17*Assumptions!$G$31)</f>
        <v/>
      </c>
      <c r="E18" s="17">
        <f>(E17*Assumptions!$G$31)</f>
        <v/>
      </c>
      <c r="F18" s="17">
        <f>(F17*Assumptions!$G$31)</f>
        <v/>
      </c>
      <c r="G18" s="17">
        <f>(G17*Assumptions!$G$31)</f>
        <v/>
      </c>
      <c r="H18" s="17">
        <f>(H17*Assumptions!$G$31)</f>
        <v/>
      </c>
      <c r="I18" s="17">
        <f>(I17*Assumptions!$G$31)</f>
        <v/>
      </c>
      <c r="J18" s="17">
        <f>(J17*Assumptions!$G$31)</f>
        <v/>
      </c>
      <c r="K18" s="17">
        <f>(K17*Assumptions!$G$31)</f>
        <v/>
      </c>
      <c r="L18" s="17">
        <f>(L17*Assumptions!$G$31)</f>
        <v/>
      </c>
      <c r="M18" s="17">
        <f>(M17*Assumptions!$G$31)</f>
        <v/>
      </c>
      <c r="N18" s="17">
        <f>(N17*Assumptions!$G$31)</f>
        <v/>
      </c>
      <c r="O18" s="17">
        <f>(O17*Assumptions!$G$31)</f>
        <v/>
      </c>
      <c r="P18" s="17">
        <f>(P17*Assumptions!$G$31)</f>
        <v/>
      </c>
      <c r="Q18" s="17">
        <f>(Q17*Assumptions!$G$31)</f>
        <v/>
      </c>
      <c r="R18" s="17">
        <f>(R17*Assumptions!$G$31)</f>
        <v/>
      </c>
      <c r="S18" s="17">
        <f>(S17*Assumptions!$G$31)</f>
        <v/>
      </c>
      <c r="T18" s="17">
        <f>(T17*Assumptions!$G$31)</f>
        <v/>
      </c>
      <c r="U18" s="17">
        <f>(U17*Assumptions!$G$31)</f>
        <v/>
      </c>
      <c r="V18" s="17">
        <f>(V17*Assumptions!$G$31)</f>
        <v/>
      </c>
      <c r="W18" s="17">
        <f>(W17*Assumptions!$G$31)</f>
        <v/>
      </c>
      <c r="X18" s="17">
        <f>(X17*Assumptions!$G$31)</f>
        <v/>
      </c>
      <c r="Y18" s="17">
        <f>(Y17*Assumptions!$G$31)</f>
        <v/>
      </c>
      <c r="Z18" s="17">
        <f>(Z17*Assumptions!$G$31)</f>
        <v/>
      </c>
      <c r="AA18" s="17">
        <f>(AA17*Assumptions!$G$31)</f>
        <v/>
      </c>
      <c r="AB18" s="17">
        <f>(AB17*Assumptions!$G$31)</f>
        <v/>
      </c>
      <c r="AC18" s="17">
        <f>(AC17*Assumptions!$G$31)</f>
        <v/>
      </c>
      <c r="AD18" s="17">
        <f>(AD17*Assumptions!$G$31)</f>
        <v/>
      </c>
      <c r="AE18" s="17">
        <f>(AE17*Assumptions!$G$31)</f>
        <v/>
      </c>
      <c r="AF18" s="17">
        <f>(AF17*Assumptions!$G$31)</f>
        <v/>
      </c>
      <c r="AG18" s="17">
        <f>(AG17*Assumptions!$G$31)</f>
        <v/>
      </c>
      <c r="AH18" s="17">
        <f>(AH17*Assumptions!$G$31)</f>
        <v/>
      </c>
      <c r="AI18" s="17">
        <f>(AI17*Assumptions!$G$31)</f>
        <v/>
      </c>
      <c r="AJ18" s="17">
        <f>(AJ17*Assumptions!$G$31)</f>
        <v/>
      </c>
      <c r="AK18" s="17">
        <f>(AK17*Assumptions!$G$31)</f>
        <v/>
      </c>
      <c r="AL18" s="17">
        <f>(AL17*Assumptions!$G$31)</f>
        <v/>
      </c>
    </row>
    <row r="19">
      <c r="A19" s="6" t="inlineStr">
        <is>
          <t xml:space="preserve">  of which annual plan</t>
        </is>
      </c>
      <c r="B19" s="2" t="inlineStr">
        <is>
          <t>new_annual</t>
        </is>
      </c>
      <c r="C19" s="17">
        <f>(C17*Assumptions!$G$32)</f>
        <v/>
      </c>
      <c r="D19" s="17">
        <f>(D17*Assumptions!$G$32)</f>
        <v/>
      </c>
      <c r="E19" s="17">
        <f>(E17*Assumptions!$G$32)</f>
        <v/>
      </c>
      <c r="F19" s="17">
        <f>(F17*Assumptions!$G$32)</f>
        <v/>
      </c>
      <c r="G19" s="17">
        <f>(G17*Assumptions!$G$32)</f>
        <v/>
      </c>
      <c r="H19" s="17">
        <f>(H17*Assumptions!$G$32)</f>
        <v/>
      </c>
      <c r="I19" s="17">
        <f>(I17*Assumptions!$G$32)</f>
        <v/>
      </c>
      <c r="J19" s="17">
        <f>(J17*Assumptions!$G$32)</f>
        <v/>
      </c>
      <c r="K19" s="17">
        <f>(K17*Assumptions!$G$32)</f>
        <v/>
      </c>
      <c r="L19" s="17">
        <f>(L17*Assumptions!$G$32)</f>
        <v/>
      </c>
      <c r="M19" s="17">
        <f>(M17*Assumptions!$G$32)</f>
        <v/>
      </c>
      <c r="N19" s="17">
        <f>(N17*Assumptions!$G$32)</f>
        <v/>
      </c>
      <c r="O19" s="17">
        <f>(O17*Assumptions!$G$32)</f>
        <v/>
      </c>
      <c r="P19" s="17">
        <f>(P17*Assumptions!$G$32)</f>
        <v/>
      </c>
      <c r="Q19" s="17">
        <f>(Q17*Assumptions!$G$32)</f>
        <v/>
      </c>
      <c r="R19" s="17">
        <f>(R17*Assumptions!$G$32)</f>
        <v/>
      </c>
      <c r="S19" s="17">
        <f>(S17*Assumptions!$G$32)</f>
        <v/>
      </c>
      <c r="T19" s="17">
        <f>(T17*Assumptions!$G$32)</f>
        <v/>
      </c>
      <c r="U19" s="17">
        <f>(U17*Assumptions!$G$32)</f>
        <v/>
      </c>
      <c r="V19" s="17">
        <f>(V17*Assumptions!$G$32)</f>
        <v/>
      </c>
      <c r="W19" s="17">
        <f>(W17*Assumptions!$G$32)</f>
        <v/>
      </c>
      <c r="X19" s="17">
        <f>(X17*Assumptions!$G$32)</f>
        <v/>
      </c>
      <c r="Y19" s="17">
        <f>(Y17*Assumptions!$G$32)</f>
        <v/>
      </c>
      <c r="Z19" s="17">
        <f>(Z17*Assumptions!$G$32)</f>
        <v/>
      </c>
      <c r="AA19" s="17">
        <f>(AA17*Assumptions!$G$32)</f>
        <v/>
      </c>
      <c r="AB19" s="17">
        <f>(AB17*Assumptions!$G$32)</f>
        <v/>
      </c>
      <c r="AC19" s="17">
        <f>(AC17*Assumptions!$G$32)</f>
        <v/>
      </c>
      <c r="AD19" s="17">
        <f>(AD17*Assumptions!$G$32)</f>
        <v/>
      </c>
      <c r="AE19" s="17">
        <f>(AE17*Assumptions!$G$32)</f>
        <v/>
      </c>
      <c r="AF19" s="17">
        <f>(AF17*Assumptions!$G$32)</f>
        <v/>
      </c>
      <c r="AG19" s="17">
        <f>(AG17*Assumptions!$G$32)</f>
        <v/>
      </c>
      <c r="AH19" s="17">
        <f>(AH17*Assumptions!$G$32)</f>
        <v/>
      </c>
      <c r="AI19" s="17">
        <f>(AI17*Assumptions!$G$32)</f>
        <v/>
      </c>
      <c r="AJ19" s="17">
        <f>(AJ17*Assumptions!$G$32)</f>
        <v/>
      </c>
      <c r="AK19" s="17">
        <f>(AK17*Assumptions!$G$32)</f>
        <v/>
      </c>
      <c r="AL19" s="17">
        <f>(AL17*Assumptions!$G$32)</f>
        <v/>
      </c>
    </row>
    <row r="20">
      <c r="A20" s="6" t="inlineStr">
        <is>
          <t xml:space="preserve">  of which student plan</t>
        </is>
      </c>
      <c r="B20" s="2" t="inlineStr">
        <is>
          <t>new_student</t>
        </is>
      </c>
      <c r="C20" s="17">
        <f>(C17*Assumptions!$G$109)</f>
        <v/>
      </c>
      <c r="D20" s="17">
        <f>(D17*Assumptions!$G$109)</f>
        <v/>
      </c>
      <c r="E20" s="17">
        <f>(E17*Assumptions!$G$109)</f>
        <v/>
      </c>
      <c r="F20" s="17">
        <f>(F17*Assumptions!$G$109)</f>
        <v/>
      </c>
      <c r="G20" s="17">
        <f>(G17*Assumptions!$G$109)</f>
        <v/>
      </c>
      <c r="H20" s="17">
        <f>(H17*Assumptions!$G$109)</f>
        <v/>
      </c>
      <c r="I20" s="17">
        <f>(I17*Assumptions!$G$109)</f>
        <v/>
      </c>
      <c r="J20" s="17">
        <f>(J17*Assumptions!$G$109)</f>
        <v/>
      </c>
      <c r="K20" s="17">
        <f>(K17*Assumptions!$G$109)</f>
        <v/>
      </c>
      <c r="L20" s="17">
        <f>(L17*Assumptions!$G$109)</f>
        <v/>
      </c>
      <c r="M20" s="17">
        <f>(M17*Assumptions!$G$109)</f>
        <v/>
      </c>
      <c r="N20" s="17">
        <f>(N17*Assumptions!$G$109)</f>
        <v/>
      </c>
      <c r="O20" s="17">
        <f>(O17*Assumptions!$G$109)</f>
        <v/>
      </c>
      <c r="P20" s="17">
        <f>(P17*Assumptions!$G$109)</f>
        <v/>
      </c>
      <c r="Q20" s="17">
        <f>(Q17*Assumptions!$G$109)</f>
        <v/>
      </c>
      <c r="R20" s="17">
        <f>(R17*Assumptions!$G$109)</f>
        <v/>
      </c>
      <c r="S20" s="17">
        <f>(S17*Assumptions!$G$109)</f>
        <v/>
      </c>
      <c r="T20" s="17">
        <f>(T17*Assumptions!$G$109)</f>
        <v/>
      </c>
      <c r="U20" s="17">
        <f>(U17*Assumptions!$G$109)</f>
        <v/>
      </c>
      <c r="V20" s="17">
        <f>(V17*Assumptions!$G$109)</f>
        <v/>
      </c>
      <c r="W20" s="17">
        <f>(W17*Assumptions!$G$109)</f>
        <v/>
      </c>
      <c r="X20" s="17">
        <f>(X17*Assumptions!$G$109)</f>
        <v/>
      </c>
      <c r="Y20" s="17">
        <f>(Y17*Assumptions!$G$109)</f>
        <v/>
      </c>
      <c r="Z20" s="17">
        <f>(Z17*Assumptions!$G$109)</f>
        <v/>
      </c>
      <c r="AA20" s="17">
        <f>(AA17*Assumptions!$G$109)</f>
        <v/>
      </c>
      <c r="AB20" s="17">
        <f>(AB17*Assumptions!$G$109)</f>
        <v/>
      </c>
      <c r="AC20" s="17">
        <f>(AC17*Assumptions!$G$109)</f>
        <v/>
      </c>
      <c r="AD20" s="17">
        <f>(AD17*Assumptions!$G$109)</f>
        <v/>
      </c>
      <c r="AE20" s="17">
        <f>(AE17*Assumptions!$G$109)</f>
        <v/>
      </c>
      <c r="AF20" s="17">
        <f>(AF17*Assumptions!$G$109)</f>
        <v/>
      </c>
      <c r="AG20" s="17">
        <f>(AG17*Assumptions!$G$109)</f>
        <v/>
      </c>
      <c r="AH20" s="17">
        <f>(AH17*Assumptions!$G$109)</f>
        <v/>
      </c>
      <c r="AI20" s="17">
        <f>(AI17*Assumptions!$G$109)</f>
        <v/>
      </c>
      <c r="AJ20" s="17">
        <f>(AJ17*Assumptions!$G$109)</f>
        <v/>
      </c>
      <c r="AK20" s="17">
        <f>(AK17*Assumptions!$G$109)</f>
        <v/>
      </c>
      <c r="AL20" s="17">
        <f>(AL17*Assumptions!$G$109)</f>
        <v/>
      </c>
    </row>
    <row r="21">
      <c r="A21" s="6" t="inlineStr">
        <is>
          <t>Recruiting Pass purchases (one-time)</t>
        </is>
      </c>
      <c r="B21" s="2" t="inlineStr">
        <is>
          <t>pass_sales</t>
        </is>
      </c>
      <c r="C21" s="17">
        <f>(C15*Assumptions!$G$33)</f>
        <v/>
      </c>
      <c r="D21" s="17">
        <f>(D15*Assumptions!$G$33)</f>
        <v/>
      </c>
      <c r="E21" s="17">
        <f>(E15*Assumptions!$G$33)</f>
        <v/>
      </c>
      <c r="F21" s="17">
        <f>(F15*Assumptions!$G$33)</f>
        <v/>
      </c>
      <c r="G21" s="17">
        <f>(G15*Assumptions!$G$33)</f>
        <v/>
      </c>
      <c r="H21" s="17">
        <f>(H15*Assumptions!$G$33)</f>
        <v/>
      </c>
      <c r="I21" s="17">
        <f>(I15*Assumptions!$G$33)</f>
        <v/>
      </c>
      <c r="J21" s="17">
        <f>(J15*Assumptions!$G$33)</f>
        <v/>
      </c>
      <c r="K21" s="17">
        <f>(K15*Assumptions!$G$33)</f>
        <v/>
      </c>
      <c r="L21" s="17">
        <f>(L15*Assumptions!$G$33)</f>
        <v/>
      </c>
      <c r="M21" s="17">
        <f>(M15*Assumptions!$G$33)</f>
        <v/>
      </c>
      <c r="N21" s="17">
        <f>(N15*Assumptions!$G$33)</f>
        <v/>
      </c>
      <c r="O21" s="17">
        <f>(O15*Assumptions!$G$33)</f>
        <v/>
      </c>
      <c r="P21" s="17">
        <f>(P15*Assumptions!$G$33)</f>
        <v/>
      </c>
      <c r="Q21" s="17">
        <f>(Q15*Assumptions!$G$33)</f>
        <v/>
      </c>
      <c r="R21" s="17">
        <f>(R15*Assumptions!$G$33)</f>
        <v/>
      </c>
      <c r="S21" s="17">
        <f>(S15*Assumptions!$G$33)</f>
        <v/>
      </c>
      <c r="T21" s="17">
        <f>(T15*Assumptions!$G$33)</f>
        <v/>
      </c>
      <c r="U21" s="17">
        <f>(U15*Assumptions!$G$33)</f>
        <v/>
      </c>
      <c r="V21" s="17">
        <f>(V15*Assumptions!$G$33)</f>
        <v/>
      </c>
      <c r="W21" s="17">
        <f>(W15*Assumptions!$G$33)</f>
        <v/>
      </c>
      <c r="X21" s="17">
        <f>(X15*Assumptions!$G$33)</f>
        <v/>
      </c>
      <c r="Y21" s="17">
        <f>(Y15*Assumptions!$G$33)</f>
        <v/>
      </c>
      <c r="Z21" s="17">
        <f>(Z15*Assumptions!$G$33)</f>
        <v/>
      </c>
      <c r="AA21" s="17">
        <f>(AA15*Assumptions!$G$33)</f>
        <v/>
      </c>
      <c r="AB21" s="17">
        <f>(AB15*Assumptions!$G$33)</f>
        <v/>
      </c>
      <c r="AC21" s="17">
        <f>(AC15*Assumptions!$G$33)</f>
        <v/>
      </c>
      <c r="AD21" s="17">
        <f>(AD15*Assumptions!$G$33)</f>
        <v/>
      </c>
      <c r="AE21" s="17">
        <f>(AE15*Assumptions!$G$33)</f>
        <v/>
      </c>
      <c r="AF21" s="17">
        <f>(AF15*Assumptions!$G$33)</f>
        <v/>
      </c>
      <c r="AG21" s="17">
        <f>(AG15*Assumptions!$G$33)</f>
        <v/>
      </c>
      <c r="AH21" s="17">
        <f>(AH15*Assumptions!$G$33)</f>
        <v/>
      </c>
      <c r="AI21" s="17">
        <f>(AI15*Assumptions!$G$33)</f>
        <v/>
      </c>
      <c r="AJ21" s="17">
        <f>(AJ15*Assumptions!$G$33)</f>
        <v/>
      </c>
      <c r="AK21" s="17">
        <f>(AK15*Assumptions!$G$33)</f>
        <v/>
      </c>
      <c r="AL21" s="17">
        <f>(AL15*Assumptions!$G$33)</f>
        <v/>
      </c>
    </row>
    <row r="23">
      <c r="A23" s="4" t="inlineStr">
        <is>
          <t>SUBSCRIBERS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</row>
    <row r="24">
      <c r="A24" s="6" t="inlineStr">
        <is>
          <t>Monthly-plan subscribers (end of month)</t>
        </is>
      </c>
      <c r="B24" s="2" t="inlineStr">
        <is>
          <t>subs_monthly</t>
        </is>
      </c>
      <c r="C24" s="17">
        <f>((0*(1-Assumptions!$G$110))+C18)</f>
        <v/>
      </c>
      <c r="D24" s="17">
        <f>((C24*(1-Assumptions!$G$110))+D18)</f>
        <v/>
      </c>
      <c r="E24" s="17">
        <f>((D24*(1-Assumptions!$G$110))+E18)</f>
        <v/>
      </c>
      <c r="F24" s="17">
        <f>((E24*(1-Assumptions!$G$110))+F18)</f>
        <v/>
      </c>
      <c r="G24" s="17">
        <f>((F24*(1-Assumptions!$G$110))+G18)</f>
        <v/>
      </c>
      <c r="H24" s="17">
        <f>((G24*(1-Assumptions!$G$110))+H18)</f>
        <v/>
      </c>
      <c r="I24" s="17">
        <f>((H24*(1-Assumptions!$G$110))+I18)</f>
        <v/>
      </c>
      <c r="J24" s="17">
        <f>((I24*(1-Assumptions!$G$110))+J18)</f>
        <v/>
      </c>
      <c r="K24" s="17">
        <f>((J24*(1-Assumptions!$G$110))+K18)</f>
        <v/>
      </c>
      <c r="L24" s="17">
        <f>((K24*(1-Assumptions!$G$110))+L18)</f>
        <v/>
      </c>
      <c r="M24" s="17">
        <f>((L24*(1-Assumptions!$G$110))+M18)</f>
        <v/>
      </c>
      <c r="N24" s="17">
        <f>((M24*(1-Assumptions!$G$110))+N18)</f>
        <v/>
      </c>
      <c r="O24" s="17">
        <f>((N24*(1-Assumptions!$G$110))+O18)</f>
        <v/>
      </c>
      <c r="P24" s="17">
        <f>((O24*(1-Assumptions!$G$110))+P18)</f>
        <v/>
      </c>
      <c r="Q24" s="17">
        <f>((P24*(1-Assumptions!$G$110))+Q18)</f>
        <v/>
      </c>
      <c r="R24" s="17">
        <f>((Q24*(1-Assumptions!$G$110))+R18)</f>
        <v/>
      </c>
      <c r="S24" s="17">
        <f>((R24*(1-Assumptions!$G$110))+S18)</f>
        <v/>
      </c>
      <c r="T24" s="17">
        <f>((S24*(1-Assumptions!$G$110))+T18)</f>
        <v/>
      </c>
      <c r="U24" s="17">
        <f>((T24*(1-Assumptions!$G$110))+U18)</f>
        <v/>
      </c>
      <c r="V24" s="17">
        <f>((U24*(1-Assumptions!$G$110))+V18)</f>
        <v/>
      </c>
      <c r="W24" s="17">
        <f>((V24*(1-Assumptions!$G$110))+W18)</f>
        <v/>
      </c>
      <c r="X24" s="17">
        <f>((W24*(1-Assumptions!$G$110))+X18)</f>
        <v/>
      </c>
      <c r="Y24" s="17">
        <f>((X24*(1-Assumptions!$G$110))+Y18)</f>
        <v/>
      </c>
      <c r="Z24" s="17">
        <f>((Y24*(1-Assumptions!$G$110))+Z18)</f>
        <v/>
      </c>
      <c r="AA24" s="17">
        <f>((Z24*(1-Assumptions!$G$110))+AA18)</f>
        <v/>
      </c>
      <c r="AB24" s="17">
        <f>((AA24*(1-Assumptions!$G$110))+AB18)</f>
        <v/>
      </c>
      <c r="AC24" s="17">
        <f>((AB24*(1-Assumptions!$G$110))+AC18)</f>
        <v/>
      </c>
      <c r="AD24" s="17">
        <f>((AC24*(1-Assumptions!$G$110))+AD18)</f>
        <v/>
      </c>
      <c r="AE24" s="17">
        <f>((AD24*(1-Assumptions!$G$110))+AE18)</f>
        <v/>
      </c>
      <c r="AF24" s="17">
        <f>((AE24*(1-Assumptions!$G$110))+AF18)</f>
        <v/>
      </c>
      <c r="AG24" s="17">
        <f>((AF24*(1-Assumptions!$G$110))+AG18)</f>
        <v/>
      </c>
      <c r="AH24" s="17">
        <f>((AG24*(1-Assumptions!$G$110))+AH18)</f>
        <v/>
      </c>
      <c r="AI24" s="17">
        <f>((AH24*(1-Assumptions!$G$110))+AI18)</f>
        <v/>
      </c>
      <c r="AJ24" s="17">
        <f>((AI24*(1-Assumptions!$G$110))+AJ18)</f>
        <v/>
      </c>
      <c r="AK24" s="17">
        <f>((AJ24*(1-Assumptions!$G$110))+AK18)</f>
        <v/>
      </c>
      <c r="AL24" s="17">
        <f>((AK24*(1-Assumptions!$G$110))+AL18)</f>
        <v/>
      </c>
    </row>
    <row r="25">
      <c r="A25" s="6" t="inlineStr">
        <is>
          <t>Annual plans billed (new + renewals)</t>
        </is>
      </c>
      <c r="B25" s="2" t="inlineStr">
        <is>
          <t>bill_annual</t>
        </is>
      </c>
      <c r="C25" s="17">
        <f>(C19+0)</f>
        <v/>
      </c>
      <c r="D25" s="17">
        <f>(D19+0)</f>
        <v/>
      </c>
      <c r="E25" s="17">
        <f>(E19+0)</f>
        <v/>
      </c>
      <c r="F25" s="17">
        <f>(F19+0)</f>
        <v/>
      </c>
      <c r="G25" s="17">
        <f>(G19+0)</f>
        <v/>
      </c>
      <c r="H25" s="17">
        <f>(H19+0)</f>
        <v/>
      </c>
      <c r="I25" s="17">
        <f>(I19+0)</f>
        <v/>
      </c>
      <c r="J25" s="17">
        <f>(J19+0)</f>
        <v/>
      </c>
      <c r="K25" s="17">
        <f>(K19+0)</f>
        <v/>
      </c>
      <c r="L25" s="17">
        <f>(L19+0)</f>
        <v/>
      </c>
      <c r="M25" s="17">
        <f>(M19+0)</f>
        <v/>
      </c>
      <c r="N25" s="17">
        <f>(N19+0)</f>
        <v/>
      </c>
      <c r="O25" s="17">
        <f>(O19+(Assumptions!$G$43*C25))</f>
        <v/>
      </c>
      <c r="P25" s="17">
        <f>(P19+(Assumptions!$G$43*D25))</f>
        <v/>
      </c>
      <c r="Q25" s="17">
        <f>(Q19+(Assumptions!$G$43*E25))</f>
        <v/>
      </c>
      <c r="R25" s="17">
        <f>(R19+(Assumptions!$G$43*F25))</f>
        <v/>
      </c>
      <c r="S25" s="17">
        <f>(S19+(Assumptions!$G$43*G25))</f>
        <v/>
      </c>
      <c r="T25" s="17">
        <f>(T19+(Assumptions!$G$43*H25))</f>
        <v/>
      </c>
      <c r="U25" s="17">
        <f>(U19+(Assumptions!$G$43*I25))</f>
        <v/>
      </c>
      <c r="V25" s="17">
        <f>(V19+(Assumptions!$G$43*J25))</f>
        <v/>
      </c>
      <c r="W25" s="17">
        <f>(W19+(Assumptions!$G$43*K25))</f>
        <v/>
      </c>
      <c r="X25" s="17">
        <f>(X19+(Assumptions!$G$43*L25))</f>
        <v/>
      </c>
      <c r="Y25" s="17">
        <f>(Y19+(Assumptions!$G$43*M25))</f>
        <v/>
      </c>
      <c r="Z25" s="17">
        <f>(Z19+(Assumptions!$G$43*N25))</f>
        <v/>
      </c>
      <c r="AA25" s="17">
        <f>(AA19+(Assumptions!$G$43*O25))</f>
        <v/>
      </c>
      <c r="AB25" s="17">
        <f>(AB19+(Assumptions!$G$43*P25))</f>
        <v/>
      </c>
      <c r="AC25" s="17">
        <f>(AC19+(Assumptions!$G$43*Q25))</f>
        <v/>
      </c>
      <c r="AD25" s="17">
        <f>(AD19+(Assumptions!$G$43*R25))</f>
        <v/>
      </c>
      <c r="AE25" s="17">
        <f>(AE19+(Assumptions!$G$43*S25))</f>
        <v/>
      </c>
      <c r="AF25" s="17">
        <f>(AF19+(Assumptions!$G$43*T25))</f>
        <v/>
      </c>
      <c r="AG25" s="17">
        <f>(AG19+(Assumptions!$G$43*U25))</f>
        <v/>
      </c>
      <c r="AH25" s="17">
        <f>(AH19+(Assumptions!$G$43*V25))</f>
        <v/>
      </c>
      <c r="AI25" s="17">
        <f>(AI19+(Assumptions!$G$43*W25))</f>
        <v/>
      </c>
      <c r="AJ25" s="17">
        <f>(AJ19+(Assumptions!$G$43*X25))</f>
        <v/>
      </c>
      <c r="AK25" s="17">
        <f>(AK19+(Assumptions!$G$43*Y25))</f>
        <v/>
      </c>
      <c r="AL25" s="17">
        <f>(AL19+(Assumptions!$G$43*Z25))</f>
        <v/>
      </c>
    </row>
    <row r="26">
      <c r="A26" s="6" t="inlineStr">
        <is>
          <t>Annual-plan subscribers (billed in last 12 months)</t>
        </is>
      </c>
      <c r="B26" s="2" t="inlineStr">
        <is>
          <t>subs_annual</t>
        </is>
      </c>
      <c r="C26" s="17">
        <f>SUM(C25:C25)</f>
        <v/>
      </c>
      <c r="D26" s="17">
        <f>SUM(C25:D25)</f>
        <v/>
      </c>
      <c r="E26" s="17">
        <f>SUM(C25:E25)</f>
        <v/>
      </c>
      <c r="F26" s="17">
        <f>SUM(C25:F25)</f>
        <v/>
      </c>
      <c r="G26" s="17">
        <f>SUM(C25:G25)</f>
        <v/>
      </c>
      <c r="H26" s="17">
        <f>SUM(C25:H25)</f>
        <v/>
      </c>
      <c r="I26" s="17">
        <f>SUM(C25:I25)</f>
        <v/>
      </c>
      <c r="J26" s="17">
        <f>SUM(C25:J25)</f>
        <v/>
      </c>
      <c r="K26" s="17">
        <f>SUM(C25:K25)</f>
        <v/>
      </c>
      <c r="L26" s="17">
        <f>SUM(C25:L25)</f>
        <v/>
      </c>
      <c r="M26" s="17">
        <f>SUM(C25:M25)</f>
        <v/>
      </c>
      <c r="N26" s="17">
        <f>SUM(C25:N25)</f>
        <v/>
      </c>
      <c r="O26" s="17">
        <f>SUM(D25:O25)</f>
        <v/>
      </c>
      <c r="P26" s="17">
        <f>SUM(E25:P25)</f>
        <v/>
      </c>
      <c r="Q26" s="17">
        <f>SUM(F25:Q25)</f>
        <v/>
      </c>
      <c r="R26" s="17">
        <f>SUM(G25:R25)</f>
        <v/>
      </c>
      <c r="S26" s="17">
        <f>SUM(H25:S25)</f>
        <v/>
      </c>
      <c r="T26" s="17">
        <f>SUM(I25:T25)</f>
        <v/>
      </c>
      <c r="U26" s="17">
        <f>SUM(J25:U25)</f>
        <v/>
      </c>
      <c r="V26" s="17">
        <f>SUM(K25:V25)</f>
        <v/>
      </c>
      <c r="W26" s="17">
        <f>SUM(L25:W25)</f>
        <v/>
      </c>
      <c r="X26" s="17">
        <f>SUM(M25:X25)</f>
        <v/>
      </c>
      <c r="Y26" s="17">
        <f>SUM(N25:Y25)</f>
        <v/>
      </c>
      <c r="Z26" s="17">
        <f>SUM(O25:Z25)</f>
        <v/>
      </c>
      <c r="AA26" s="17">
        <f>SUM(P25:AA25)</f>
        <v/>
      </c>
      <c r="AB26" s="17">
        <f>SUM(Q25:AB25)</f>
        <v/>
      </c>
      <c r="AC26" s="17">
        <f>SUM(R25:AC25)</f>
        <v/>
      </c>
      <c r="AD26" s="17">
        <f>SUM(S25:AD25)</f>
        <v/>
      </c>
      <c r="AE26" s="17">
        <f>SUM(T25:AE25)</f>
        <v/>
      </c>
      <c r="AF26" s="17">
        <f>SUM(U25:AF25)</f>
        <v/>
      </c>
      <c r="AG26" s="17">
        <f>SUM(V25:AG25)</f>
        <v/>
      </c>
      <c r="AH26" s="17">
        <f>SUM(W25:AH25)</f>
        <v/>
      </c>
      <c r="AI26" s="17">
        <f>SUM(X25:AI25)</f>
        <v/>
      </c>
      <c r="AJ26" s="17">
        <f>SUM(Y25:AJ25)</f>
        <v/>
      </c>
      <c r="AK26" s="17">
        <f>SUM(Z25:AK25)</f>
        <v/>
      </c>
      <c r="AL26" s="17">
        <f>SUM(AA25:AL25)</f>
        <v/>
      </c>
    </row>
    <row r="27">
      <c r="A27" s="6" t="inlineStr">
        <is>
          <t>Student plans billed (new + renewals)</t>
        </is>
      </c>
      <c r="B27" s="2" t="inlineStr">
        <is>
          <t>bill_student</t>
        </is>
      </c>
      <c r="C27" s="17">
        <f>(C20+0)</f>
        <v/>
      </c>
      <c r="D27" s="17">
        <f>(D20+0)</f>
        <v/>
      </c>
      <c r="E27" s="17">
        <f>(E20+0)</f>
        <v/>
      </c>
      <c r="F27" s="17">
        <f>(F20+0)</f>
        <v/>
      </c>
      <c r="G27" s="17">
        <f>(G20+0)</f>
        <v/>
      </c>
      <c r="H27" s="17">
        <f>(H20+0)</f>
        <v/>
      </c>
      <c r="I27" s="17">
        <f>(I20+0)</f>
        <v/>
      </c>
      <c r="J27" s="17">
        <f>(J20+0)</f>
        <v/>
      </c>
      <c r="K27" s="17">
        <f>(K20+0)</f>
        <v/>
      </c>
      <c r="L27" s="17">
        <f>(L20+0)</f>
        <v/>
      </c>
      <c r="M27" s="17">
        <f>(M20+0)</f>
        <v/>
      </c>
      <c r="N27" s="17">
        <f>(N20+0)</f>
        <v/>
      </c>
      <c r="O27" s="17">
        <f>(O20+(Assumptions!$G$44*C27))</f>
        <v/>
      </c>
      <c r="P27" s="17">
        <f>(P20+(Assumptions!$G$44*D27))</f>
        <v/>
      </c>
      <c r="Q27" s="17">
        <f>(Q20+(Assumptions!$G$44*E27))</f>
        <v/>
      </c>
      <c r="R27" s="17">
        <f>(R20+(Assumptions!$G$44*F27))</f>
        <v/>
      </c>
      <c r="S27" s="17">
        <f>(S20+(Assumptions!$G$44*G27))</f>
        <v/>
      </c>
      <c r="T27" s="17">
        <f>(T20+(Assumptions!$G$44*H27))</f>
        <v/>
      </c>
      <c r="U27" s="17">
        <f>(U20+(Assumptions!$G$44*I27))</f>
        <v/>
      </c>
      <c r="V27" s="17">
        <f>(V20+(Assumptions!$G$44*J27))</f>
        <v/>
      </c>
      <c r="W27" s="17">
        <f>(W20+(Assumptions!$G$44*K27))</f>
        <v/>
      </c>
      <c r="X27" s="17">
        <f>(X20+(Assumptions!$G$44*L27))</f>
        <v/>
      </c>
      <c r="Y27" s="17">
        <f>(Y20+(Assumptions!$G$44*M27))</f>
        <v/>
      </c>
      <c r="Z27" s="17">
        <f>(Z20+(Assumptions!$G$44*N27))</f>
        <v/>
      </c>
      <c r="AA27" s="17">
        <f>(AA20+(Assumptions!$G$44*O27))</f>
        <v/>
      </c>
      <c r="AB27" s="17">
        <f>(AB20+(Assumptions!$G$44*P27))</f>
        <v/>
      </c>
      <c r="AC27" s="17">
        <f>(AC20+(Assumptions!$G$44*Q27))</f>
        <v/>
      </c>
      <c r="AD27" s="17">
        <f>(AD20+(Assumptions!$G$44*R27))</f>
        <v/>
      </c>
      <c r="AE27" s="17">
        <f>(AE20+(Assumptions!$G$44*S27))</f>
        <v/>
      </c>
      <c r="AF27" s="17">
        <f>(AF20+(Assumptions!$G$44*T27))</f>
        <v/>
      </c>
      <c r="AG27" s="17">
        <f>(AG20+(Assumptions!$G$44*U27))</f>
        <v/>
      </c>
      <c r="AH27" s="17">
        <f>(AH20+(Assumptions!$G$44*V27))</f>
        <v/>
      </c>
      <c r="AI27" s="17">
        <f>(AI20+(Assumptions!$G$44*W27))</f>
        <v/>
      </c>
      <c r="AJ27" s="17">
        <f>(AJ20+(Assumptions!$G$44*X27))</f>
        <v/>
      </c>
      <c r="AK27" s="17">
        <f>(AK20+(Assumptions!$G$44*Y27))</f>
        <v/>
      </c>
      <c r="AL27" s="17">
        <f>(AL20+(Assumptions!$G$44*Z27))</f>
        <v/>
      </c>
    </row>
    <row r="28">
      <c r="A28" s="6" t="inlineStr">
        <is>
          <t>Student-plan subscribers</t>
        </is>
      </c>
      <c r="B28" s="2" t="inlineStr">
        <is>
          <t>subs_student</t>
        </is>
      </c>
      <c r="C28" s="17">
        <f>SUM(C27:C27)</f>
        <v/>
      </c>
      <c r="D28" s="17">
        <f>SUM(C27:D27)</f>
        <v/>
      </c>
      <c r="E28" s="17">
        <f>SUM(C27:E27)</f>
        <v/>
      </c>
      <c r="F28" s="17">
        <f>SUM(C27:F27)</f>
        <v/>
      </c>
      <c r="G28" s="17">
        <f>SUM(C27:G27)</f>
        <v/>
      </c>
      <c r="H28" s="17">
        <f>SUM(C27:H27)</f>
        <v/>
      </c>
      <c r="I28" s="17">
        <f>SUM(C27:I27)</f>
        <v/>
      </c>
      <c r="J28" s="17">
        <f>SUM(C27:J27)</f>
        <v/>
      </c>
      <c r="K28" s="17">
        <f>SUM(C27:K27)</f>
        <v/>
      </c>
      <c r="L28" s="17">
        <f>SUM(C27:L27)</f>
        <v/>
      </c>
      <c r="M28" s="17">
        <f>SUM(C27:M27)</f>
        <v/>
      </c>
      <c r="N28" s="17">
        <f>SUM(C27:N27)</f>
        <v/>
      </c>
      <c r="O28" s="17">
        <f>SUM(D27:O27)</f>
        <v/>
      </c>
      <c r="P28" s="17">
        <f>SUM(E27:P27)</f>
        <v/>
      </c>
      <c r="Q28" s="17">
        <f>SUM(F27:Q27)</f>
        <v/>
      </c>
      <c r="R28" s="17">
        <f>SUM(G27:R27)</f>
        <v/>
      </c>
      <c r="S28" s="17">
        <f>SUM(H27:S27)</f>
        <v/>
      </c>
      <c r="T28" s="17">
        <f>SUM(I27:T27)</f>
        <v/>
      </c>
      <c r="U28" s="17">
        <f>SUM(J27:U27)</f>
        <v/>
      </c>
      <c r="V28" s="17">
        <f>SUM(K27:V27)</f>
        <v/>
      </c>
      <c r="W28" s="17">
        <f>SUM(L27:W27)</f>
        <v/>
      </c>
      <c r="X28" s="17">
        <f>SUM(M27:X27)</f>
        <v/>
      </c>
      <c r="Y28" s="17">
        <f>SUM(N27:Y27)</f>
        <v/>
      </c>
      <c r="Z28" s="17">
        <f>SUM(O27:Z27)</f>
        <v/>
      </c>
      <c r="AA28" s="17">
        <f>SUM(P27:AA27)</f>
        <v/>
      </c>
      <c r="AB28" s="17">
        <f>SUM(Q27:AB27)</f>
        <v/>
      </c>
      <c r="AC28" s="17">
        <f>SUM(R27:AC27)</f>
        <v/>
      </c>
      <c r="AD28" s="17">
        <f>SUM(S27:AD27)</f>
        <v/>
      </c>
      <c r="AE28" s="17">
        <f>SUM(T27:AE27)</f>
        <v/>
      </c>
      <c r="AF28" s="17">
        <f>SUM(U27:AF27)</f>
        <v/>
      </c>
      <c r="AG28" s="17">
        <f>SUM(V27:AG27)</f>
        <v/>
      </c>
      <c r="AH28" s="17">
        <f>SUM(W27:AH27)</f>
        <v/>
      </c>
      <c r="AI28" s="17">
        <f>SUM(X27:AI27)</f>
        <v/>
      </c>
      <c r="AJ28" s="17">
        <f>SUM(Y27:AJ27)</f>
        <v/>
      </c>
      <c r="AK28" s="17">
        <f>SUM(Z27:AK27)</f>
        <v/>
      </c>
      <c r="AL28" s="17">
        <f>SUM(AA27:AL27)</f>
        <v/>
      </c>
    </row>
    <row r="29">
      <c r="A29" s="21" t="inlineStr">
        <is>
          <t>Paid subscribers (end of month)</t>
        </is>
      </c>
      <c r="B29" s="2" t="inlineStr">
        <is>
          <t>subs_paid</t>
        </is>
      </c>
      <c r="C29" s="22">
        <f>((C24+C26)+C28)</f>
        <v/>
      </c>
      <c r="D29" s="22">
        <f>((D24+D26)+D28)</f>
        <v/>
      </c>
      <c r="E29" s="22">
        <f>((E24+E26)+E28)</f>
        <v/>
      </c>
      <c r="F29" s="22">
        <f>((F24+F26)+F28)</f>
        <v/>
      </c>
      <c r="G29" s="22">
        <f>((G24+G26)+G28)</f>
        <v/>
      </c>
      <c r="H29" s="22">
        <f>((H24+H26)+H28)</f>
        <v/>
      </c>
      <c r="I29" s="22">
        <f>((I24+I26)+I28)</f>
        <v/>
      </c>
      <c r="J29" s="22">
        <f>((J24+J26)+J28)</f>
        <v/>
      </c>
      <c r="K29" s="22">
        <f>((K24+K26)+K28)</f>
        <v/>
      </c>
      <c r="L29" s="22">
        <f>((L24+L26)+L28)</f>
        <v/>
      </c>
      <c r="M29" s="22">
        <f>((M24+M26)+M28)</f>
        <v/>
      </c>
      <c r="N29" s="22">
        <f>((N24+N26)+N28)</f>
        <v/>
      </c>
      <c r="O29" s="22">
        <f>((O24+O26)+O28)</f>
        <v/>
      </c>
      <c r="P29" s="22">
        <f>((P24+P26)+P28)</f>
        <v/>
      </c>
      <c r="Q29" s="22">
        <f>((Q24+Q26)+Q28)</f>
        <v/>
      </c>
      <c r="R29" s="22">
        <f>((R24+R26)+R28)</f>
        <v/>
      </c>
      <c r="S29" s="22">
        <f>((S24+S26)+S28)</f>
        <v/>
      </c>
      <c r="T29" s="22">
        <f>((T24+T26)+T28)</f>
        <v/>
      </c>
      <c r="U29" s="22">
        <f>((U24+U26)+U28)</f>
        <v/>
      </c>
      <c r="V29" s="22">
        <f>((V24+V26)+V28)</f>
        <v/>
      </c>
      <c r="W29" s="22">
        <f>((W24+W26)+W28)</f>
        <v/>
      </c>
      <c r="X29" s="22">
        <f>((X24+X26)+X28)</f>
        <v/>
      </c>
      <c r="Y29" s="22">
        <f>((Y24+Y26)+Y28)</f>
        <v/>
      </c>
      <c r="Z29" s="22">
        <f>((Z24+Z26)+Z28)</f>
        <v/>
      </c>
      <c r="AA29" s="22">
        <f>((AA24+AA26)+AA28)</f>
        <v/>
      </c>
      <c r="AB29" s="22">
        <f>((AB24+AB26)+AB28)</f>
        <v/>
      </c>
      <c r="AC29" s="22">
        <f>((AC24+AC26)+AC28)</f>
        <v/>
      </c>
      <c r="AD29" s="22">
        <f>((AD24+AD26)+AD28)</f>
        <v/>
      </c>
      <c r="AE29" s="22">
        <f>((AE24+AE26)+AE28)</f>
        <v/>
      </c>
      <c r="AF29" s="22">
        <f>((AF24+AF26)+AF28)</f>
        <v/>
      </c>
      <c r="AG29" s="22">
        <f>((AG24+AG26)+AG28)</f>
        <v/>
      </c>
      <c r="AH29" s="22">
        <f>((AH24+AH26)+AH28)</f>
        <v/>
      </c>
      <c r="AI29" s="22">
        <f>((AI24+AI26)+AI28)</f>
        <v/>
      </c>
      <c r="AJ29" s="22">
        <f>((AJ24+AJ26)+AJ28)</f>
        <v/>
      </c>
      <c r="AK29" s="22">
        <f>((AK24+AK26)+AK28)</f>
        <v/>
      </c>
      <c r="AL29" s="22">
        <f>((AL24+AL26)+AL28)</f>
        <v/>
      </c>
    </row>
    <row r="30">
      <c r="A30" s="6" t="inlineStr">
        <is>
          <t>Gross in-app billings, cash basis (= RevenueCat MTR)</t>
        </is>
      </c>
      <c r="B30" s="2" t="inlineStr">
        <is>
          <t>bill_gross</t>
        </is>
      </c>
      <c r="C30" s="14">
        <f>((((C24*Assumptions!$G$35)+(C25*Assumptions!$G$36))+(C27*Assumptions!$G$37))+(C21*Assumptions!$G$38))</f>
        <v/>
      </c>
      <c r="D30" s="14">
        <f>((((D24*Assumptions!$G$35)+(D25*Assumptions!$G$36))+(D27*Assumptions!$G$37))+(D21*Assumptions!$G$38))</f>
        <v/>
      </c>
      <c r="E30" s="14">
        <f>((((E24*Assumptions!$G$35)+(E25*Assumptions!$G$36))+(E27*Assumptions!$G$37))+(E21*Assumptions!$G$38))</f>
        <v/>
      </c>
      <c r="F30" s="14">
        <f>((((F24*Assumptions!$G$35)+(F25*Assumptions!$G$36))+(F27*Assumptions!$G$37))+(F21*Assumptions!$G$38))</f>
        <v/>
      </c>
      <c r="G30" s="14">
        <f>((((G24*Assumptions!$G$35)+(G25*Assumptions!$G$36))+(G27*Assumptions!$G$37))+(G21*Assumptions!$G$38))</f>
        <v/>
      </c>
      <c r="H30" s="14">
        <f>((((H24*Assumptions!$G$35)+(H25*Assumptions!$G$36))+(H27*Assumptions!$G$37))+(H21*Assumptions!$G$38))</f>
        <v/>
      </c>
      <c r="I30" s="14">
        <f>((((I24*Assumptions!$G$35)+(I25*Assumptions!$G$36))+(I27*Assumptions!$G$37))+(I21*Assumptions!$G$38))</f>
        <v/>
      </c>
      <c r="J30" s="14">
        <f>((((J24*Assumptions!$G$35)+(J25*Assumptions!$G$36))+(J27*Assumptions!$G$37))+(J21*Assumptions!$G$38))</f>
        <v/>
      </c>
      <c r="K30" s="14">
        <f>((((K24*Assumptions!$G$35)+(K25*Assumptions!$G$36))+(K27*Assumptions!$G$37))+(K21*Assumptions!$G$38))</f>
        <v/>
      </c>
      <c r="L30" s="14">
        <f>((((L24*Assumptions!$G$35)+(L25*Assumptions!$G$36))+(L27*Assumptions!$G$37))+(L21*Assumptions!$G$38))</f>
        <v/>
      </c>
      <c r="M30" s="14">
        <f>((((M24*Assumptions!$G$35)+(M25*Assumptions!$G$36))+(M27*Assumptions!$G$37))+(M21*Assumptions!$G$38))</f>
        <v/>
      </c>
      <c r="N30" s="14">
        <f>((((N24*Assumptions!$G$35)+(N25*Assumptions!$G$36))+(N27*Assumptions!$G$37))+(N21*Assumptions!$G$38))</f>
        <v/>
      </c>
      <c r="O30" s="14">
        <f>((((O24*Assumptions!$G$35)+(O25*Assumptions!$G$36))+(O27*Assumptions!$G$37))+(O21*Assumptions!$G$38))</f>
        <v/>
      </c>
      <c r="P30" s="14">
        <f>((((P24*Assumptions!$G$35)+(P25*Assumptions!$G$36))+(P27*Assumptions!$G$37))+(P21*Assumptions!$G$38))</f>
        <v/>
      </c>
      <c r="Q30" s="14">
        <f>((((Q24*Assumptions!$G$35)+(Q25*Assumptions!$G$36))+(Q27*Assumptions!$G$37))+(Q21*Assumptions!$G$38))</f>
        <v/>
      </c>
      <c r="R30" s="14">
        <f>((((R24*Assumptions!$G$35)+(R25*Assumptions!$G$36))+(R27*Assumptions!$G$37))+(R21*Assumptions!$G$38))</f>
        <v/>
      </c>
      <c r="S30" s="14">
        <f>((((S24*Assumptions!$G$35)+(S25*Assumptions!$G$36))+(S27*Assumptions!$G$37))+(S21*Assumptions!$G$38))</f>
        <v/>
      </c>
      <c r="T30" s="14">
        <f>((((T24*Assumptions!$G$35)+(T25*Assumptions!$G$36))+(T27*Assumptions!$G$37))+(T21*Assumptions!$G$38))</f>
        <v/>
      </c>
      <c r="U30" s="14">
        <f>((((U24*Assumptions!$G$35)+(U25*Assumptions!$G$36))+(U27*Assumptions!$G$37))+(U21*Assumptions!$G$38))</f>
        <v/>
      </c>
      <c r="V30" s="14">
        <f>((((V24*Assumptions!$G$35)+(V25*Assumptions!$G$36))+(V27*Assumptions!$G$37))+(V21*Assumptions!$G$38))</f>
        <v/>
      </c>
      <c r="W30" s="14">
        <f>((((W24*Assumptions!$G$35)+(W25*Assumptions!$G$36))+(W27*Assumptions!$G$37))+(W21*Assumptions!$G$38))</f>
        <v/>
      </c>
      <c r="X30" s="14">
        <f>((((X24*Assumptions!$G$35)+(X25*Assumptions!$G$36))+(X27*Assumptions!$G$37))+(X21*Assumptions!$G$38))</f>
        <v/>
      </c>
      <c r="Y30" s="14">
        <f>((((Y24*Assumptions!$G$35)+(Y25*Assumptions!$G$36))+(Y27*Assumptions!$G$37))+(Y21*Assumptions!$G$38))</f>
        <v/>
      </c>
      <c r="Z30" s="14">
        <f>((((Z24*Assumptions!$G$35)+(Z25*Assumptions!$G$36))+(Z27*Assumptions!$G$37))+(Z21*Assumptions!$G$38))</f>
        <v/>
      </c>
      <c r="AA30" s="14">
        <f>((((AA24*Assumptions!$G$35)+(AA25*Assumptions!$G$36))+(AA27*Assumptions!$G$37))+(AA21*Assumptions!$G$38))</f>
        <v/>
      </c>
      <c r="AB30" s="14">
        <f>((((AB24*Assumptions!$G$35)+(AB25*Assumptions!$G$36))+(AB27*Assumptions!$G$37))+(AB21*Assumptions!$G$38))</f>
        <v/>
      </c>
      <c r="AC30" s="14">
        <f>((((AC24*Assumptions!$G$35)+(AC25*Assumptions!$G$36))+(AC27*Assumptions!$G$37))+(AC21*Assumptions!$G$38))</f>
        <v/>
      </c>
      <c r="AD30" s="14">
        <f>((((AD24*Assumptions!$G$35)+(AD25*Assumptions!$G$36))+(AD27*Assumptions!$G$37))+(AD21*Assumptions!$G$38))</f>
        <v/>
      </c>
      <c r="AE30" s="14">
        <f>((((AE24*Assumptions!$G$35)+(AE25*Assumptions!$G$36))+(AE27*Assumptions!$G$37))+(AE21*Assumptions!$G$38))</f>
        <v/>
      </c>
      <c r="AF30" s="14">
        <f>((((AF24*Assumptions!$G$35)+(AF25*Assumptions!$G$36))+(AF27*Assumptions!$G$37))+(AF21*Assumptions!$G$38))</f>
        <v/>
      </c>
      <c r="AG30" s="14">
        <f>((((AG24*Assumptions!$G$35)+(AG25*Assumptions!$G$36))+(AG27*Assumptions!$G$37))+(AG21*Assumptions!$G$38))</f>
        <v/>
      </c>
      <c r="AH30" s="14">
        <f>((((AH24*Assumptions!$G$35)+(AH25*Assumptions!$G$36))+(AH27*Assumptions!$G$37))+(AH21*Assumptions!$G$38))</f>
        <v/>
      </c>
      <c r="AI30" s="14">
        <f>((((AI24*Assumptions!$G$35)+(AI25*Assumptions!$G$36))+(AI27*Assumptions!$G$37))+(AI21*Assumptions!$G$38))</f>
        <v/>
      </c>
      <c r="AJ30" s="14">
        <f>((((AJ24*Assumptions!$G$35)+(AJ25*Assumptions!$G$36))+(AJ27*Assumptions!$G$37))+(AJ21*Assumptions!$G$38))</f>
        <v/>
      </c>
      <c r="AK30" s="14">
        <f>((((AK24*Assumptions!$G$35)+(AK25*Assumptions!$G$36))+(AK27*Assumptions!$G$37))+(AK21*Assumptions!$G$38))</f>
        <v/>
      </c>
      <c r="AL30" s="14">
        <f>((((AL24*Assumptions!$G$35)+(AL25*Assumptions!$G$36))+(AL27*Assumptions!$G$37))+(AL21*Assumptions!$G$38))</f>
        <v/>
      </c>
    </row>
    <row r="32">
      <c r="A32" s="4" t="inlineStr">
        <is>
          <t>ACTIVE USERS</t>
        </is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</row>
    <row r="33">
      <c r="A33" s="6" t="inlineStr">
        <is>
          <t>New free users this month</t>
        </is>
      </c>
      <c r="B33" s="2" t="inlineStr">
        <is>
          <t>free_new</t>
        </is>
      </c>
      <c r="C33" s="17">
        <f>(C12-C17)</f>
        <v/>
      </c>
      <c r="D33" s="17">
        <f>(D12-D17)</f>
        <v/>
      </c>
      <c r="E33" s="17">
        <f>(E12-E17)</f>
        <v/>
      </c>
      <c r="F33" s="17">
        <f>(F12-F17)</f>
        <v/>
      </c>
      <c r="G33" s="17">
        <f>(G12-G17)</f>
        <v/>
      </c>
      <c r="H33" s="17">
        <f>(H12-H17)</f>
        <v/>
      </c>
      <c r="I33" s="17">
        <f>(I12-I17)</f>
        <v/>
      </c>
      <c r="J33" s="17">
        <f>(J12-J17)</f>
        <v/>
      </c>
      <c r="K33" s="17">
        <f>(K12-K17)</f>
        <v/>
      </c>
      <c r="L33" s="17">
        <f>(L12-L17)</f>
        <v/>
      </c>
      <c r="M33" s="17">
        <f>(M12-M17)</f>
        <v/>
      </c>
      <c r="N33" s="17">
        <f>(N12-N17)</f>
        <v/>
      </c>
      <c r="O33" s="17">
        <f>(O12-O17)</f>
        <v/>
      </c>
      <c r="P33" s="17">
        <f>(P12-P17)</f>
        <v/>
      </c>
      <c r="Q33" s="17">
        <f>(Q12-Q17)</f>
        <v/>
      </c>
      <c r="R33" s="17">
        <f>(R12-R17)</f>
        <v/>
      </c>
      <c r="S33" s="17">
        <f>(S12-S17)</f>
        <v/>
      </c>
      <c r="T33" s="17">
        <f>(T12-T17)</f>
        <v/>
      </c>
      <c r="U33" s="17">
        <f>(U12-U17)</f>
        <v/>
      </c>
      <c r="V33" s="17">
        <f>(V12-V17)</f>
        <v/>
      </c>
      <c r="W33" s="17">
        <f>(W12-W17)</f>
        <v/>
      </c>
      <c r="X33" s="17">
        <f>(X12-X17)</f>
        <v/>
      </c>
      <c r="Y33" s="17">
        <f>(Y12-Y17)</f>
        <v/>
      </c>
      <c r="Z33" s="17">
        <f>(Z12-Z17)</f>
        <v/>
      </c>
      <c r="AA33" s="17">
        <f>(AA12-AA17)</f>
        <v/>
      </c>
      <c r="AB33" s="17">
        <f>(AB12-AB17)</f>
        <v/>
      </c>
      <c r="AC33" s="17">
        <f>(AC12-AC17)</f>
        <v/>
      </c>
      <c r="AD33" s="17">
        <f>(AD12-AD17)</f>
        <v/>
      </c>
      <c r="AE33" s="17">
        <f>(AE12-AE17)</f>
        <v/>
      </c>
      <c r="AF33" s="17">
        <f>(AF12-AF17)</f>
        <v/>
      </c>
      <c r="AG33" s="17">
        <f>(AG12-AG17)</f>
        <v/>
      </c>
      <c r="AH33" s="17">
        <f>(AH12-AH17)</f>
        <v/>
      </c>
      <c r="AI33" s="17">
        <f>(AI12-AI17)</f>
        <v/>
      </c>
      <c r="AJ33" s="17">
        <f>(AJ12-AJ17)</f>
        <v/>
      </c>
      <c r="AK33" s="17">
        <f>(AK12-AK17)</f>
        <v/>
      </c>
      <c r="AL33" s="17">
        <f>(AL12-AL17)</f>
        <v/>
      </c>
    </row>
    <row r="34">
      <c r="A34" s="6" t="inlineStr">
        <is>
          <t>Retained free users from earlier months</t>
        </is>
      </c>
      <c r="B34" s="2" t="inlineStr">
        <is>
          <t>free_pool</t>
        </is>
      </c>
      <c r="C34" s="17">
        <f>((0*(1-Assumptions!$G$27))+(0*Assumptions!$G$26))</f>
        <v/>
      </c>
      <c r="D34" s="17">
        <f>((C34*(1-Assumptions!$G$27))+(C33*Assumptions!$G$26))</f>
        <v/>
      </c>
      <c r="E34" s="17">
        <f>((D34*(1-Assumptions!$G$27))+(D33*Assumptions!$G$26))</f>
        <v/>
      </c>
      <c r="F34" s="17">
        <f>((E34*(1-Assumptions!$G$27))+(E33*Assumptions!$G$26))</f>
        <v/>
      </c>
      <c r="G34" s="17">
        <f>((F34*(1-Assumptions!$G$27))+(F33*Assumptions!$G$26))</f>
        <v/>
      </c>
      <c r="H34" s="17">
        <f>((G34*(1-Assumptions!$G$27))+(G33*Assumptions!$G$26))</f>
        <v/>
      </c>
      <c r="I34" s="17">
        <f>((H34*(1-Assumptions!$G$27))+(H33*Assumptions!$G$26))</f>
        <v/>
      </c>
      <c r="J34" s="17">
        <f>((I34*(1-Assumptions!$G$27))+(I33*Assumptions!$G$26))</f>
        <v/>
      </c>
      <c r="K34" s="17">
        <f>((J34*(1-Assumptions!$G$27))+(J33*Assumptions!$G$26))</f>
        <v/>
      </c>
      <c r="L34" s="17">
        <f>((K34*(1-Assumptions!$G$27))+(K33*Assumptions!$G$26))</f>
        <v/>
      </c>
      <c r="M34" s="17">
        <f>((L34*(1-Assumptions!$G$27))+(L33*Assumptions!$G$26))</f>
        <v/>
      </c>
      <c r="N34" s="17">
        <f>((M34*(1-Assumptions!$G$27))+(M33*Assumptions!$G$26))</f>
        <v/>
      </c>
      <c r="O34" s="17">
        <f>((N34*(1-Assumptions!$G$27))+(N33*Assumptions!$G$26))</f>
        <v/>
      </c>
      <c r="P34" s="17">
        <f>((O34*(1-Assumptions!$G$27))+(O33*Assumptions!$G$26))</f>
        <v/>
      </c>
      <c r="Q34" s="17">
        <f>((P34*(1-Assumptions!$G$27))+(P33*Assumptions!$G$26))</f>
        <v/>
      </c>
      <c r="R34" s="17">
        <f>((Q34*(1-Assumptions!$G$27))+(Q33*Assumptions!$G$26))</f>
        <v/>
      </c>
      <c r="S34" s="17">
        <f>((R34*(1-Assumptions!$G$27))+(R33*Assumptions!$G$26))</f>
        <v/>
      </c>
      <c r="T34" s="17">
        <f>((S34*(1-Assumptions!$G$27))+(S33*Assumptions!$G$26))</f>
        <v/>
      </c>
      <c r="U34" s="17">
        <f>((T34*(1-Assumptions!$G$27))+(T33*Assumptions!$G$26))</f>
        <v/>
      </c>
      <c r="V34" s="17">
        <f>((U34*(1-Assumptions!$G$27))+(U33*Assumptions!$G$26))</f>
        <v/>
      </c>
      <c r="W34" s="17">
        <f>((V34*(1-Assumptions!$G$27))+(V33*Assumptions!$G$26))</f>
        <v/>
      </c>
      <c r="X34" s="17">
        <f>((W34*(1-Assumptions!$G$27))+(W33*Assumptions!$G$26))</f>
        <v/>
      </c>
      <c r="Y34" s="17">
        <f>((X34*(1-Assumptions!$G$27))+(X33*Assumptions!$G$26))</f>
        <v/>
      </c>
      <c r="Z34" s="17">
        <f>((Y34*(1-Assumptions!$G$27))+(Y33*Assumptions!$G$26))</f>
        <v/>
      </c>
      <c r="AA34" s="17">
        <f>((Z34*(1-Assumptions!$G$27))+(Z33*Assumptions!$G$26))</f>
        <v/>
      </c>
      <c r="AB34" s="17">
        <f>((AA34*(1-Assumptions!$G$27))+(AA33*Assumptions!$G$26))</f>
        <v/>
      </c>
      <c r="AC34" s="17">
        <f>((AB34*(1-Assumptions!$G$27))+(AB33*Assumptions!$G$26))</f>
        <v/>
      </c>
      <c r="AD34" s="17">
        <f>((AC34*(1-Assumptions!$G$27))+(AC33*Assumptions!$G$26))</f>
        <v/>
      </c>
      <c r="AE34" s="17">
        <f>((AD34*(1-Assumptions!$G$27))+(AD33*Assumptions!$G$26))</f>
        <v/>
      </c>
      <c r="AF34" s="17">
        <f>((AE34*(1-Assumptions!$G$27))+(AE33*Assumptions!$G$26))</f>
        <v/>
      </c>
      <c r="AG34" s="17">
        <f>((AF34*(1-Assumptions!$G$27))+(AF33*Assumptions!$G$26))</f>
        <v/>
      </c>
      <c r="AH34" s="17">
        <f>((AG34*(1-Assumptions!$G$27))+(AG33*Assumptions!$G$26))</f>
        <v/>
      </c>
      <c r="AI34" s="17">
        <f>((AH34*(1-Assumptions!$G$27))+(AH33*Assumptions!$G$26))</f>
        <v/>
      </c>
      <c r="AJ34" s="17">
        <f>((AI34*(1-Assumptions!$G$27))+(AI33*Assumptions!$G$26))</f>
        <v/>
      </c>
      <c r="AK34" s="17">
        <f>((AJ34*(1-Assumptions!$G$27))+(AJ33*Assumptions!$G$26))</f>
        <v/>
      </c>
      <c r="AL34" s="17">
        <f>((AK34*(1-Assumptions!$G$27))+(AK33*Assumptions!$G$26))</f>
        <v/>
      </c>
    </row>
    <row r="35">
      <c r="A35" s="6" t="inlineStr">
        <is>
          <t>Free MAU</t>
        </is>
      </c>
      <c r="B35" s="2" t="inlineStr">
        <is>
          <t>mau_free</t>
        </is>
      </c>
      <c r="C35" s="17">
        <f>(C33+C34)</f>
        <v/>
      </c>
      <c r="D35" s="17">
        <f>(D33+D34)</f>
        <v/>
      </c>
      <c r="E35" s="17">
        <f>(E33+E34)</f>
        <v/>
      </c>
      <c r="F35" s="17">
        <f>(F33+F34)</f>
        <v/>
      </c>
      <c r="G35" s="17">
        <f>(G33+G34)</f>
        <v/>
      </c>
      <c r="H35" s="17">
        <f>(H33+H34)</f>
        <v/>
      </c>
      <c r="I35" s="17">
        <f>(I33+I34)</f>
        <v/>
      </c>
      <c r="J35" s="17">
        <f>(J33+J34)</f>
        <v/>
      </c>
      <c r="K35" s="17">
        <f>(K33+K34)</f>
        <v/>
      </c>
      <c r="L35" s="17">
        <f>(L33+L34)</f>
        <v/>
      </c>
      <c r="M35" s="17">
        <f>(M33+M34)</f>
        <v/>
      </c>
      <c r="N35" s="17">
        <f>(N33+N34)</f>
        <v/>
      </c>
      <c r="O35" s="17">
        <f>(O33+O34)</f>
        <v/>
      </c>
      <c r="P35" s="17">
        <f>(P33+P34)</f>
        <v/>
      </c>
      <c r="Q35" s="17">
        <f>(Q33+Q34)</f>
        <v/>
      </c>
      <c r="R35" s="17">
        <f>(R33+R34)</f>
        <v/>
      </c>
      <c r="S35" s="17">
        <f>(S33+S34)</f>
        <v/>
      </c>
      <c r="T35" s="17">
        <f>(T33+T34)</f>
        <v/>
      </c>
      <c r="U35" s="17">
        <f>(U33+U34)</f>
        <v/>
      </c>
      <c r="V35" s="17">
        <f>(V33+V34)</f>
        <v/>
      </c>
      <c r="W35" s="17">
        <f>(W33+W34)</f>
        <v/>
      </c>
      <c r="X35" s="17">
        <f>(X33+X34)</f>
        <v/>
      </c>
      <c r="Y35" s="17">
        <f>(Y33+Y34)</f>
        <v/>
      </c>
      <c r="Z35" s="17">
        <f>(Z33+Z34)</f>
        <v/>
      </c>
      <c r="AA35" s="17">
        <f>(AA33+AA34)</f>
        <v/>
      </c>
      <c r="AB35" s="17">
        <f>(AB33+AB34)</f>
        <v/>
      </c>
      <c r="AC35" s="17">
        <f>(AC33+AC34)</f>
        <v/>
      </c>
      <c r="AD35" s="17">
        <f>(AD33+AD34)</f>
        <v/>
      </c>
      <c r="AE35" s="17">
        <f>(AE33+AE34)</f>
        <v/>
      </c>
      <c r="AF35" s="17">
        <f>(AF33+AF34)</f>
        <v/>
      </c>
      <c r="AG35" s="17">
        <f>(AG33+AG34)</f>
        <v/>
      </c>
      <c r="AH35" s="17">
        <f>(AH33+AH34)</f>
        <v/>
      </c>
      <c r="AI35" s="17">
        <f>(AI33+AI34)</f>
        <v/>
      </c>
      <c r="AJ35" s="17">
        <f>(AJ33+AJ34)</f>
        <v/>
      </c>
      <c r="AK35" s="17">
        <f>(AK33+AK34)</f>
        <v/>
      </c>
      <c r="AL35" s="17">
        <f>(AL33+AL34)</f>
        <v/>
      </c>
    </row>
    <row r="36">
      <c r="A36" s="21" t="inlineStr">
        <is>
          <t>Total MAU (free + paid)</t>
        </is>
      </c>
      <c r="B36" s="2" t="inlineStr">
        <is>
          <t>mau_total</t>
        </is>
      </c>
      <c r="C36" s="22">
        <f>(C35+C29)</f>
        <v/>
      </c>
      <c r="D36" s="22">
        <f>(D35+D29)</f>
        <v/>
      </c>
      <c r="E36" s="22">
        <f>(E35+E29)</f>
        <v/>
      </c>
      <c r="F36" s="22">
        <f>(F35+F29)</f>
        <v/>
      </c>
      <c r="G36" s="22">
        <f>(G35+G29)</f>
        <v/>
      </c>
      <c r="H36" s="22">
        <f>(H35+H29)</f>
        <v/>
      </c>
      <c r="I36" s="22">
        <f>(I35+I29)</f>
        <v/>
      </c>
      <c r="J36" s="22">
        <f>(J35+J29)</f>
        <v/>
      </c>
      <c r="K36" s="22">
        <f>(K35+K29)</f>
        <v/>
      </c>
      <c r="L36" s="22">
        <f>(L35+L29)</f>
        <v/>
      </c>
      <c r="M36" s="22">
        <f>(M35+M29)</f>
        <v/>
      </c>
      <c r="N36" s="22">
        <f>(N35+N29)</f>
        <v/>
      </c>
      <c r="O36" s="22">
        <f>(O35+O29)</f>
        <v/>
      </c>
      <c r="P36" s="22">
        <f>(P35+P29)</f>
        <v/>
      </c>
      <c r="Q36" s="22">
        <f>(Q35+Q29)</f>
        <v/>
      </c>
      <c r="R36" s="22">
        <f>(R35+R29)</f>
        <v/>
      </c>
      <c r="S36" s="22">
        <f>(S35+S29)</f>
        <v/>
      </c>
      <c r="T36" s="22">
        <f>(T35+T29)</f>
        <v/>
      </c>
      <c r="U36" s="22">
        <f>(U35+U29)</f>
        <v/>
      </c>
      <c r="V36" s="22">
        <f>(V35+V29)</f>
        <v/>
      </c>
      <c r="W36" s="22">
        <f>(W35+W29)</f>
        <v/>
      </c>
      <c r="X36" s="22">
        <f>(X35+X29)</f>
        <v/>
      </c>
      <c r="Y36" s="22">
        <f>(Y35+Y29)</f>
        <v/>
      </c>
      <c r="Z36" s="22">
        <f>(Z35+Z29)</f>
        <v/>
      </c>
      <c r="AA36" s="22">
        <f>(AA35+AA29)</f>
        <v/>
      </c>
      <c r="AB36" s="22">
        <f>(AB35+AB29)</f>
        <v/>
      </c>
      <c r="AC36" s="22">
        <f>(AC35+AC29)</f>
        <v/>
      </c>
      <c r="AD36" s="22">
        <f>(AD35+AD29)</f>
        <v/>
      </c>
      <c r="AE36" s="22">
        <f>(AE35+AE29)</f>
        <v/>
      </c>
      <c r="AF36" s="22">
        <f>(AF35+AF29)</f>
        <v/>
      </c>
      <c r="AG36" s="22">
        <f>(AG35+AG29)</f>
        <v/>
      </c>
      <c r="AH36" s="22">
        <f>(AH35+AH29)</f>
        <v/>
      </c>
      <c r="AI36" s="22">
        <f>(AI35+AI29)</f>
        <v/>
      </c>
      <c r="AJ36" s="22">
        <f>(AJ35+AJ29)</f>
        <v/>
      </c>
      <c r="AK36" s="22">
        <f>(AK35+AK29)</f>
        <v/>
      </c>
      <c r="AL36" s="22">
        <f>(AL35+AL29)</f>
        <v/>
      </c>
    </row>
    <row r="37">
      <c r="A37" s="6" t="inlineStr">
        <is>
          <t>Paid subscribers / MAU</t>
        </is>
      </c>
      <c r="B37" s="2" t="inlineStr">
        <is>
          <t>paid_share</t>
        </is>
      </c>
      <c r="C37" s="16">
        <f>IF(C36=0,0,C29/C36)</f>
        <v/>
      </c>
      <c r="D37" s="16">
        <f>IF(D36=0,0,D29/D36)</f>
        <v/>
      </c>
      <c r="E37" s="16">
        <f>IF(E36=0,0,E29/E36)</f>
        <v/>
      </c>
      <c r="F37" s="16">
        <f>IF(F36=0,0,F29/F36)</f>
        <v/>
      </c>
      <c r="G37" s="16">
        <f>IF(G36=0,0,G29/G36)</f>
        <v/>
      </c>
      <c r="H37" s="16">
        <f>IF(H36=0,0,H29/H36)</f>
        <v/>
      </c>
      <c r="I37" s="16">
        <f>IF(I36=0,0,I29/I36)</f>
        <v/>
      </c>
      <c r="J37" s="16">
        <f>IF(J36=0,0,J29/J36)</f>
        <v/>
      </c>
      <c r="K37" s="16">
        <f>IF(K36=0,0,K29/K36)</f>
        <v/>
      </c>
      <c r="L37" s="16">
        <f>IF(L36=0,0,L29/L36)</f>
        <v/>
      </c>
      <c r="M37" s="16">
        <f>IF(M36=0,0,M29/M36)</f>
        <v/>
      </c>
      <c r="N37" s="16">
        <f>IF(N36=0,0,N29/N36)</f>
        <v/>
      </c>
      <c r="O37" s="16">
        <f>IF(O36=0,0,O29/O36)</f>
        <v/>
      </c>
      <c r="P37" s="16">
        <f>IF(P36=0,0,P29/P36)</f>
        <v/>
      </c>
      <c r="Q37" s="16">
        <f>IF(Q36=0,0,Q29/Q36)</f>
        <v/>
      </c>
      <c r="R37" s="16">
        <f>IF(R36=0,0,R29/R36)</f>
        <v/>
      </c>
      <c r="S37" s="16">
        <f>IF(S36=0,0,S29/S36)</f>
        <v/>
      </c>
      <c r="T37" s="16">
        <f>IF(T36=0,0,T29/T36)</f>
        <v/>
      </c>
      <c r="U37" s="16">
        <f>IF(U36=0,0,U29/U36)</f>
        <v/>
      </c>
      <c r="V37" s="16">
        <f>IF(V36=0,0,V29/V36)</f>
        <v/>
      </c>
      <c r="W37" s="16">
        <f>IF(W36=0,0,W29/W36)</f>
        <v/>
      </c>
      <c r="X37" s="16">
        <f>IF(X36=0,0,X29/X36)</f>
        <v/>
      </c>
      <c r="Y37" s="16">
        <f>IF(Y36=0,0,Y29/Y36)</f>
        <v/>
      </c>
      <c r="Z37" s="16">
        <f>IF(Z36=0,0,Z29/Z36)</f>
        <v/>
      </c>
      <c r="AA37" s="16">
        <f>IF(AA36=0,0,AA29/AA36)</f>
        <v/>
      </c>
      <c r="AB37" s="16">
        <f>IF(AB36=0,0,AB29/AB36)</f>
        <v/>
      </c>
      <c r="AC37" s="16">
        <f>IF(AC36=0,0,AC29/AC36)</f>
        <v/>
      </c>
      <c r="AD37" s="16">
        <f>IF(AD36=0,0,AD29/AD36)</f>
        <v/>
      </c>
      <c r="AE37" s="16">
        <f>IF(AE36=0,0,AE29/AE36)</f>
        <v/>
      </c>
      <c r="AF37" s="16">
        <f>IF(AF36=0,0,AF29/AF36)</f>
        <v/>
      </c>
      <c r="AG37" s="16">
        <f>IF(AG36=0,0,AG29/AG36)</f>
        <v/>
      </c>
      <c r="AH37" s="16">
        <f>IF(AH36=0,0,AH29/AH36)</f>
        <v/>
      </c>
      <c r="AI37" s="16">
        <f>IF(AI36=0,0,AI29/AI36)</f>
        <v/>
      </c>
      <c r="AJ37" s="16">
        <f>IF(AJ36=0,0,AJ29/AJ36)</f>
        <v/>
      </c>
      <c r="AK37" s="16">
        <f>IF(AK36=0,0,AK29/AK36)</f>
        <v/>
      </c>
      <c r="AL37" s="16">
        <f>IF(AL36=0,0,AL29/AL36)</f>
        <v/>
      </c>
    </row>
    <row r="39">
      <c r="A39" s="4" t="inlineStr">
        <is>
          <t>ADS, AFFILIATE, B2B AND LINKING VOLUMES</t>
        </is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</row>
    <row r="40">
      <c r="A40" s="6" t="inlineStr">
        <is>
          <t>Free MAU seeing ads</t>
        </is>
      </c>
      <c r="B40" s="2" t="inlineStr">
        <is>
          <t>ad_mau</t>
        </is>
      </c>
      <c r="C40" s="17">
        <f>IF(AND((Assumptions!$G$5=1),(C$2&gt;=Assumptions!$G$46)),(C35*Assumptions!$G$47),0)</f>
        <v/>
      </c>
      <c r="D40" s="17">
        <f>IF(AND((Assumptions!$G$5=1),(D$2&gt;=Assumptions!$G$46)),(D35*Assumptions!$G$47),0)</f>
        <v/>
      </c>
      <c r="E40" s="17">
        <f>IF(AND((Assumptions!$G$5=1),(E$2&gt;=Assumptions!$G$46)),(E35*Assumptions!$G$47),0)</f>
        <v/>
      </c>
      <c r="F40" s="17">
        <f>IF(AND((Assumptions!$G$5=1),(F$2&gt;=Assumptions!$G$46)),(F35*Assumptions!$G$47),0)</f>
        <v/>
      </c>
      <c r="G40" s="17">
        <f>IF(AND((Assumptions!$G$5=1),(G$2&gt;=Assumptions!$G$46)),(G35*Assumptions!$G$47),0)</f>
        <v/>
      </c>
      <c r="H40" s="17">
        <f>IF(AND((Assumptions!$G$5=1),(H$2&gt;=Assumptions!$G$46)),(H35*Assumptions!$G$47),0)</f>
        <v/>
      </c>
      <c r="I40" s="17">
        <f>IF(AND((Assumptions!$G$5=1),(I$2&gt;=Assumptions!$G$46)),(I35*Assumptions!$G$47),0)</f>
        <v/>
      </c>
      <c r="J40" s="17">
        <f>IF(AND((Assumptions!$G$5=1),(J$2&gt;=Assumptions!$G$46)),(J35*Assumptions!$G$47),0)</f>
        <v/>
      </c>
      <c r="K40" s="17">
        <f>IF(AND((Assumptions!$G$5=1),(K$2&gt;=Assumptions!$G$46)),(K35*Assumptions!$G$47),0)</f>
        <v/>
      </c>
      <c r="L40" s="17">
        <f>IF(AND((Assumptions!$G$5=1),(L$2&gt;=Assumptions!$G$46)),(L35*Assumptions!$G$47),0)</f>
        <v/>
      </c>
      <c r="M40" s="17">
        <f>IF(AND((Assumptions!$G$5=1),(M$2&gt;=Assumptions!$G$46)),(M35*Assumptions!$G$47),0)</f>
        <v/>
      </c>
      <c r="N40" s="17">
        <f>IF(AND((Assumptions!$G$5=1),(N$2&gt;=Assumptions!$G$46)),(N35*Assumptions!$G$47),0)</f>
        <v/>
      </c>
      <c r="O40" s="17">
        <f>IF(AND((Assumptions!$G$5=1),(O$2&gt;=Assumptions!$G$46)),(O35*Assumptions!$G$47),0)</f>
        <v/>
      </c>
      <c r="P40" s="17">
        <f>IF(AND((Assumptions!$G$5=1),(P$2&gt;=Assumptions!$G$46)),(P35*Assumptions!$G$47),0)</f>
        <v/>
      </c>
      <c r="Q40" s="17">
        <f>IF(AND((Assumptions!$G$5=1),(Q$2&gt;=Assumptions!$G$46)),(Q35*Assumptions!$G$47),0)</f>
        <v/>
      </c>
      <c r="R40" s="17">
        <f>IF(AND((Assumptions!$G$5=1),(R$2&gt;=Assumptions!$G$46)),(R35*Assumptions!$G$47),0)</f>
        <v/>
      </c>
      <c r="S40" s="17">
        <f>IF(AND((Assumptions!$G$5=1),(S$2&gt;=Assumptions!$G$46)),(S35*Assumptions!$G$47),0)</f>
        <v/>
      </c>
      <c r="T40" s="17">
        <f>IF(AND((Assumptions!$G$5=1),(T$2&gt;=Assumptions!$G$46)),(T35*Assumptions!$G$47),0)</f>
        <v/>
      </c>
      <c r="U40" s="17">
        <f>IF(AND((Assumptions!$G$5=1),(U$2&gt;=Assumptions!$G$46)),(U35*Assumptions!$G$47),0)</f>
        <v/>
      </c>
      <c r="V40" s="17">
        <f>IF(AND((Assumptions!$G$5=1),(V$2&gt;=Assumptions!$G$46)),(V35*Assumptions!$G$47),0)</f>
        <v/>
      </c>
      <c r="W40" s="17">
        <f>IF(AND((Assumptions!$G$5=1),(W$2&gt;=Assumptions!$G$46)),(W35*Assumptions!$G$47),0)</f>
        <v/>
      </c>
      <c r="X40" s="17">
        <f>IF(AND((Assumptions!$G$5=1),(X$2&gt;=Assumptions!$G$46)),(X35*Assumptions!$G$47),0)</f>
        <v/>
      </c>
      <c r="Y40" s="17">
        <f>IF(AND((Assumptions!$G$5=1),(Y$2&gt;=Assumptions!$G$46)),(Y35*Assumptions!$G$47),0)</f>
        <v/>
      </c>
      <c r="Z40" s="17">
        <f>IF(AND((Assumptions!$G$5=1),(Z$2&gt;=Assumptions!$G$46)),(Z35*Assumptions!$G$47),0)</f>
        <v/>
      </c>
      <c r="AA40" s="17">
        <f>IF(AND((Assumptions!$G$5=1),(AA$2&gt;=Assumptions!$G$46)),(AA35*Assumptions!$G$47),0)</f>
        <v/>
      </c>
      <c r="AB40" s="17">
        <f>IF(AND((Assumptions!$G$5=1),(AB$2&gt;=Assumptions!$G$46)),(AB35*Assumptions!$G$47),0)</f>
        <v/>
      </c>
      <c r="AC40" s="17">
        <f>IF(AND((Assumptions!$G$5=1),(AC$2&gt;=Assumptions!$G$46)),(AC35*Assumptions!$G$47),0)</f>
        <v/>
      </c>
      <c r="AD40" s="17">
        <f>IF(AND((Assumptions!$G$5=1),(AD$2&gt;=Assumptions!$G$46)),(AD35*Assumptions!$G$47),0)</f>
        <v/>
      </c>
      <c r="AE40" s="17">
        <f>IF(AND((Assumptions!$G$5=1),(AE$2&gt;=Assumptions!$G$46)),(AE35*Assumptions!$G$47),0)</f>
        <v/>
      </c>
      <c r="AF40" s="17">
        <f>IF(AND((Assumptions!$G$5=1),(AF$2&gt;=Assumptions!$G$46)),(AF35*Assumptions!$G$47),0)</f>
        <v/>
      </c>
      <c r="AG40" s="17">
        <f>IF(AND((Assumptions!$G$5=1),(AG$2&gt;=Assumptions!$G$46)),(AG35*Assumptions!$G$47),0)</f>
        <v/>
      </c>
      <c r="AH40" s="17">
        <f>IF(AND((Assumptions!$G$5=1),(AH$2&gt;=Assumptions!$G$46)),(AH35*Assumptions!$G$47),0)</f>
        <v/>
      </c>
      <c r="AI40" s="17">
        <f>IF(AND((Assumptions!$G$5=1),(AI$2&gt;=Assumptions!$G$46)),(AI35*Assumptions!$G$47),0)</f>
        <v/>
      </c>
      <c r="AJ40" s="17">
        <f>IF(AND((Assumptions!$G$5=1),(AJ$2&gt;=Assumptions!$G$46)),(AJ35*Assumptions!$G$47),0)</f>
        <v/>
      </c>
      <c r="AK40" s="17">
        <f>IF(AND((Assumptions!$G$5=1),(AK$2&gt;=Assumptions!$G$46)),(AK35*Assumptions!$G$47),0)</f>
        <v/>
      </c>
      <c r="AL40" s="17">
        <f>IF(AND((Assumptions!$G$5=1),(AL$2&gt;=Assumptions!$G$46)),(AL35*Assumptions!$G$47),0)</f>
        <v/>
      </c>
    </row>
    <row r="41">
      <c r="A41" s="6" t="inlineStr">
        <is>
          <t>Ad impressions: article / lesson end</t>
        </is>
      </c>
      <c r="B41" s="2" t="inlineStr">
        <is>
          <t>imps_article</t>
        </is>
      </c>
      <c r="C41" s="17">
        <f>(C40*Assumptions!$G$48)</f>
        <v/>
      </c>
      <c r="D41" s="17">
        <f>(D40*Assumptions!$G$48)</f>
        <v/>
      </c>
      <c r="E41" s="17">
        <f>(E40*Assumptions!$G$48)</f>
        <v/>
      </c>
      <c r="F41" s="17">
        <f>(F40*Assumptions!$G$48)</f>
        <v/>
      </c>
      <c r="G41" s="17">
        <f>(G40*Assumptions!$G$48)</f>
        <v/>
      </c>
      <c r="H41" s="17">
        <f>(H40*Assumptions!$G$48)</f>
        <v/>
      </c>
      <c r="I41" s="17">
        <f>(I40*Assumptions!$G$48)</f>
        <v/>
      </c>
      <c r="J41" s="17">
        <f>(J40*Assumptions!$G$48)</f>
        <v/>
      </c>
      <c r="K41" s="17">
        <f>(K40*Assumptions!$G$48)</f>
        <v/>
      </c>
      <c r="L41" s="17">
        <f>(L40*Assumptions!$G$48)</f>
        <v/>
      </c>
      <c r="M41" s="17">
        <f>(M40*Assumptions!$G$48)</f>
        <v/>
      </c>
      <c r="N41" s="17">
        <f>(N40*Assumptions!$G$48)</f>
        <v/>
      </c>
      <c r="O41" s="17">
        <f>(O40*Assumptions!$G$48)</f>
        <v/>
      </c>
      <c r="P41" s="17">
        <f>(P40*Assumptions!$G$48)</f>
        <v/>
      </c>
      <c r="Q41" s="17">
        <f>(Q40*Assumptions!$G$48)</f>
        <v/>
      </c>
      <c r="R41" s="17">
        <f>(R40*Assumptions!$G$48)</f>
        <v/>
      </c>
      <c r="S41" s="17">
        <f>(S40*Assumptions!$G$48)</f>
        <v/>
      </c>
      <c r="T41" s="17">
        <f>(T40*Assumptions!$G$48)</f>
        <v/>
      </c>
      <c r="U41" s="17">
        <f>(U40*Assumptions!$G$48)</f>
        <v/>
      </c>
      <c r="V41" s="17">
        <f>(V40*Assumptions!$G$48)</f>
        <v/>
      </c>
      <c r="W41" s="17">
        <f>(W40*Assumptions!$G$48)</f>
        <v/>
      </c>
      <c r="X41" s="17">
        <f>(X40*Assumptions!$G$48)</f>
        <v/>
      </c>
      <c r="Y41" s="17">
        <f>(Y40*Assumptions!$G$48)</f>
        <v/>
      </c>
      <c r="Z41" s="17">
        <f>(Z40*Assumptions!$G$48)</f>
        <v/>
      </c>
      <c r="AA41" s="17">
        <f>(AA40*Assumptions!$G$48)</f>
        <v/>
      </c>
      <c r="AB41" s="17">
        <f>(AB40*Assumptions!$G$48)</f>
        <v/>
      </c>
      <c r="AC41" s="17">
        <f>(AC40*Assumptions!$G$48)</f>
        <v/>
      </c>
      <c r="AD41" s="17">
        <f>(AD40*Assumptions!$G$48)</f>
        <v/>
      </c>
      <c r="AE41" s="17">
        <f>(AE40*Assumptions!$G$48)</f>
        <v/>
      </c>
      <c r="AF41" s="17">
        <f>(AF40*Assumptions!$G$48)</f>
        <v/>
      </c>
      <c r="AG41" s="17">
        <f>(AG40*Assumptions!$G$48)</f>
        <v/>
      </c>
      <c r="AH41" s="17">
        <f>(AH40*Assumptions!$G$48)</f>
        <v/>
      </c>
      <c r="AI41" s="17">
        <f>(AI40*Assumptions!$G$48)</f>
        <v/>
      </c>
      <c r="AJ41" s="17">
        <f>(AJ40*Assumptions!$G$48)</f>
        <v/>
      </c>
      <c r="AK41" s="17">
        <f>(AK40*Assumptions!$G$48)</f>
        <v/>
      </c>
      <c r="AL41" s="17">
        <f>(AL40*Assumptions!$G$48)</f>
        <v/>
      </c>
    </row>
    <row r="42">
      <c r="A42" s="6" t="inlineStr">
        <is>
          <t>Ad impressions: screener native</t>
        </is>
      </c>
      <c r="B42" s="2" t="inlineStr">
        <is>
          <t>imps_screener</t>
        </is>
      </c>
      <c r="C42" s="17">
        <f>(C40*Assumptions!$G$49)</f>
        <v/>
      </c>
      <c r="D42" s="17">
        <f>(D40*Assumptions!$G$49)</f>
        <v/>
      </c>
      <c r="E42" s="17">
        <f>(E40*Assumptions!$G$49)</f>
        <v/>
      </c>
      <c r="F42" s="17">
        <f>(F40*Assumptions!$G$49)</f>
        <v/>
      </c>
      <c r="G42" s="17">
        <f>(G40*Assumptions!$G$49)</f>
        <v/>
      </c>
      <c r="H42" s="17">
        <f>(H40*Assumptions!$G$49)</f>
        <v/>
      </c>
      <c r="I42" s="17">
        <f>(I40*Assumptions!$G$49)</f>
        <v/>
      </c>
      <c r="J42" s="17">
        <f>(J40*Assumptions!$G$49)</f>
        <v/>
      </c>
      <c r="K42" s="17">
        <f>(K40*Assumptions!$G$49)</f>
        <v/>
      </c>
      <c r="L42" s="17">
        <f>(L40*Assumptions!$G$49)</f>
        <v/>
      </c>
      <c r="M42" s="17">
        <f>(M40*Assumptions!$G$49)</f>
        <v/>
      </c>
      <c r="N42" s="17">
        <f>(N40*Assumptions!$G$49)</f>
        <v/>
      </c>
      <c r="O42" s="17">
        <f>(O40*Assumptions!$G$49)</f>
        <v/>
      </c>
      <c r="P42" s="17">
        <f>(P40*Assumptions!$G$49)</f>
        <v/>
      </c>
      <c r="Q42" s="17">
        <f>(Q40*Assumptions!$G$49)</f>
        <v/>
      </c>
      <c r="R42" s="17">
        <f>(R40*Assumptions!$G$49)</f>
        <v/>
      </c>
      <c r="S42" s="17">
        <f>(S40*Assumptions!$G$49)</f>
        <v/>
      </c>
      <c r="T42" s="17">
        <f>(T40*Assumptions!$G$49)</f>
        <v/>
      </c>
      <c r="U42" s="17">
        <f>(U40*Assumptions!$G$49)</f>
        <v/>
      </c>
      <c r="V42" s="17">
        <f>(V40*Assumptions!$G$49)</f>
        <v/>
      </c>
      <c r="W42" s="17">
        <f>(W40*Assumptions!$G$49)</f>
        <v/>
      </c>
      <c r="X42" s="17">
        <f>(X40*Assumptions!$G$49)</f>
        <v/>
      </c>
      <c r="Y42" s="17">
        <f>(Y40*Assumptions!$G$49)</f>
        <v/>
      </c>
      <c r="Z42" s="17">
        <f>(Z40*Assumptions!$G$49)</f>
        <v/>
      </c>
      <c r="AA42" s="17">
        <f>(AA40*Assumptions!$G$49)</f>
        <v/>
      </c>
      <c r="AB42" s="17">
        <f>(AB40*Assumptions!$G$49)</f>
        <v/>
      </c>
      <c r="AC42" s="17">
        <f>(AC40*Assumptions!$G$49)</f>
        <v/>
      </c>
      <c r="AD42" s="17">
        <f>(AD40*Assumptions!$G$49)</f>
        <v/>
      </c>
      <c r="AE42" s="17">
        <f>(AE40*Assumptions!$G$49)</f>
        <v/>
      </c>
      <c r="AF42" s="17">
        <f>(AF40*Assumptions!$G$49)</f>
        <v/>
      </c>
      <c r="AG42" s="17">
        <f>(AG40*Assumptions!$G$49)</f>
        <v/>
      </c>
      <c r="AH42" s="17">
        <f>(AH40*Assumptions!$G$49)</f>
        <v/>
      </c>
      <c r="AI42" s="17">
        <f>(AI40*Assumptions!$G$49)</f>
        <v/>
      </c>
      <c r="AJ42" s="17">
        <f>(AJ40*Assumptions!$G$49)</f>
        <v/>
      </c>
      <c r="AK42" s="17">
        <f>(AK40*Assumptions!$G$49)</f>
        <v/>
      </c>
      <c r="AL42" s="17">
        <f>(AL40*Assumptions!$G$49)</f>
        <v/>
      </c>
    </row>
    <row r="43">
      <c r="A43" s="6" t="inlineStr">
        <is>
          <t>Ad impressions: opt-in rewarded</t>
        </is>
      </c>
      <c r="B43" s="2" t="inlineStr">
        <is>
          <t>imps_rewarded</t>
        </is>
      </c>
      <c r="C43" s="17">
        <f>(C40*Assumptions!$G$50)</f>
        <v/>
      </c>
      <c r="D43" s="17">
        <f>(D40*Assumptions!$G$50)</f>
        <v/>
      </c>
      <c r="E43" s="17">
        <f>(E40*Assumptions!$G$50)</f>
        <v/>
      </c>
      <c r="F43" s="17">
        <f>(F40*Assumptions!$G$50)</f>
        <v/>
      </c>
      <c r="G43" s="17">
        <f>(G40*Assumptions!$G$50)</f>
        <v/>
      </c>
      <c r="H43" s="17">
        <f>(H40*Assumptions!$G$50)</f>
        <v/>
      </c>
      <c r="I43" s="17">
        <f>(I40*Assumptions!$G$50)</f>
        <v/>
      </c>
      <c r="J43" s="17">
        <f>(J40*Assumptions!$G$50)</f>
        <v/>
      </c>
      <c r="K43" s="17">
        <f>(K40*Assumptions!$G$50)</f>
        <v/>
      </c>
      <c r="L43" s="17">
        <f>(L40*Assumptions!$G$50)</f>
        <v/>
      </c>
      <c r="M43" s="17">
        <f>(M40*Assumptions!$G$50)</f>
        <v/>
      </c>
      <c r="N43" s="17">
        <f>(N40*Assumptions!$G$50)</f>
        <v/>
      </c>
      <c r="O43" s="17">
        <f>(O40*Assumptions!$G$50)</f>
        <v/>
      </c>
      <c r="P43" s="17">
        <f>(P40*Assumptions!$G$50)</f>
        <v/>
      </c>
      <c r="Q43" s="17">
        <f>(Q40*Assumptions!$G$50)</f>
        <v/>
      </c>
      <c r="R43" s="17">
        <f>(R40*Assumptions!$G$50)</f>
        <v/>
      </c>
      <c r="S43" s="17">
        <f>(S40*Assumptions!$G$50)</f>
        <v/>
      </c>
      <c r="T43" s="17">
        <f>(T40*Assumptions!$G$50)</f>
        <v/>
      </c>
      <c r="U43" s="17">
        <f>(U40*Assumptions!$G$50)</f>
        <v/>
      </c>
      <c r="V43" s="17">
        <f>(V40*Assumptions!$G$50)</f>
        <v/>
      </c>
      <c r="W43" s="17">
        <f>(W40*Assumptions!$G$50)</f>
        <v/>
      </c>
      <c r="X43" s="17">
        <f>(X40*Assumptions!$G$50)</f>
        <v/>
      </c>
      <c r="Y43" s="17">
        <f>(Y40*Assumptions!$G$50)</f>
        <v/>
      </c>
      <c r="Z43" s="17">
        <f>(Z40*Assumptions!$G$50)</f>
        <v/>
      </c>
      <c r="AA43" s="17">
        <f>(AA40*Assumptions!$G$50)</f>
        <v/>
      </c>
      <c r="AB43" s="17">
        <f>(AB40*Assumptions!$G$50)</f>
        <v/>
      </c>
      <c r="AC43" s="17">
        <f>(AC40*Assumptions!$G$50)</f>
        <v/>
      </c>
      <c r="AD43" s="17">
        <f>(AD40*Assumptions!$G$50)</f>
        <v/>
      </c>
      <c r="AE43" s="17">
        <f>(AE40*Assumptions!$G$50)</f>
        <v/>
      </c>
      <c r="AF43" s="17">
        <f>(AF40*Assumptions!$G$50)</f>
        <v/>
      </c>
      <c r="AG43" s="17">
        <f>(AG40*Assumptions!$G$50)</f>
        <v/>
      </c>
      <c r="AH43" s="17">
        <f>(AH40*Assumptions!$G$50)</f>
        <v/>
      </c>
      <c r="AI43" s="17">
        <f>(AI40*Assumptions!$G$50)</f>
        <v/>
      </c>
      <c r="AJ43" s="17">
        <f>(AJ40*Assumptions!$G$50)</f>
        <v/>
      </c>
      <c r="AK43" s="17">
        <f>(AK40*Assumptions!$G$50)</f>
        <v/>
      </c>
      <c r="AL43" s="17">
        <f>(AL40*Assumptions!$G$50)</f>
        <v/>
      </c>
    </row>
    <row r="44">
      <c r="A44" s="6" t="inlineStr">
        <is>
          <t>Affiliate clicks</t>
        </is>
      </c>
      <c r="B44" s="2" t="inlineStr">
        <is>
          <t>aff_clicks</t>
        </is>
      </c>
      <c r="C44" s="17">
        <f>IF(AND((Assumptions!$G$6=1),(C$2&gt;=Assumptions!$G$56)),((C36/1000)*Assumptions!$G$57),0)</f>
        <v/>
      </c>
      <c r="D44" s="17">
        <f>IF(AND((Assumptions!$G$6=1),(D$2&gt;=Assumptions!$G$56)),((D36/1000)*Assumptions!$G$57),0)</f>
        <v/>
      </c>
      <c r="E44" s="17">
        <f>IF(AND((Assumptions!$G$6=1),(E$2&gt;=Assumptions!$G$56)),((E36/1000)*Assumptions!$G$57),0)</f>
        <v/>
      </c>
      <c r="F44" s="17">
        <f>IF(AND((Assumptions!$G$6=1),(F$2&gt;=Assumptions!$G$56)),((F36/1000)*Assumptions!$G$57),0)</f>
        <v/>
      </c>
      <c r="G44" s="17">
        <f>IF(AND((Assumptions!$G$6=1),(G$2&gt;=Assumptions!$G$56)),((G36/1000)*Assumptions!$G$57),0)</f>
        <v/>
      </c>
      <c r="H44" s="17">
        <f>IF(AND((Assumptions!$G$6=1),(H$2&gt;=Assumptions!$G$56)),((H36/1000)*Assumptions!$G$57),0)</f>
        <v/>
      </c>
      <c r="I44" s="17">
        <f>IF(AND((Assumptions!$G$6=1),(I$2&gt;=Assumptions!$G$56)),((I36/1000)*Assumptions!$G$57),0)</f>
        <v/>
      </c>
      <c r="J44" s="17">
        <f>IF(AND((Assumptions!$G$6=1),(J$2&gt;=Assumptions!$G$56)),((J36/1000)*Assumptions!$G$57),0)</f>
        <v/>
      </c>
      <c r="K44" s="17">
        <f>IF(AND((Assumptions!$G$6=1),(K$2&gt;=Assumptions!$G$56)),((K36/1000)*Assumptions!$G$57),0)</f>
        <v/>
      </c>
      <c r="L44" s="17">
        <f>IF(AND((Assumptions!$G$6=1),(L$2&gt;=Assumptions!$G$56)),((L36/1000)*Assumptions!$G$57),0)</f>
        <v/>
      </c>
      <c r="M44" s="17">
        <f>IF(AND((Assumptions!$G$6=1),(M$2&gt;=Assumptions!$G$56)),((M36/1000)*Assumptions!$G$57),0)</f>
        <v/>
      </c>
      <c r="N44" s="17">
        <f>IF(AND((Assumptions!$G$6=1),(N$2&gt;=Assumptions!$G$56)),((N36/1000)*Assumptions!$G$57),0)</f>
        <v/>
      </c>
      <c r="O44" s="17">
        <f>IF(AND((Assumptions!$G$6=1),(O$2&gt;=Assumptions!$G$56)),((O36/1000)*Assumptions!$G$57),0)</f>
        <v/>
      </c>
      <c r="P44" s="17">
        <f>IF(AND((Assumptions!$G$6=1),(P$2&gt;=Assumptions!$G$56)),((P36/1000)*Assumptions!$G$57),0)</f>
        <v/>
      </c>
      <c r="Q44" s="17">
        <f>IF(AND((Assumptions!$G$6=1),(Q$2&gt;=Assumptions!$G$56)),((Q36/1000)*Assumptions!$G$57),0)</f>
        <v/>
      </c>
      <c r="R44" s="17">
        <f>IF(AND((Assumptions!$G$6=1),(R$2&gt;=Assumptions!$G$56)),((R36/1000)*Assumptions!$G$57),0)</f>
        <v/>
      </c>
      <c r="S44" s="17">
        <f>IF(AND((Assumptions!$G$6=1),(S$2&gt;=Assumptions!$G$56)),((S36/1000)*Assumptions!$G$57),0)</f>
        <v/>
      </c>
      <c r="T44" s="17">
        <f>IF(AND((Assumptions!$G$6=1),(T$2&gt;=Assumptions!$G$56)),((T36/1000)*Assumptions!$G$57),0)</f>
        <v/>
      </c>
      <c r="U44" s="17">
        <f>IF(AND((Assumptions!$G$6=1),(U$2&gt;=Assumptions!$G$56)),((U36/1000)*Assumptions!$G$57),0)</f>
        <v/>
      </c>
      <c r="V44" s="17">
        <f>IF(AND((Assumptions!$G$6=1),(V$2&gt;=Assumptions!$G$56)),((V36/1000)*Assumptions!$G$57),0)</f>
        <v/>
      </c>
      <c r="W44" s="17">
        <f>IF(AND((Assumptions!$G$6=1),(W$2&gt;=Assumptions!$G$56)),((W36/1000)*Assumptions!$G$57),0)</f>
        <v/>
      </c>
      <c r="X44" s="17">
        <f>IF(AND((Assumptions!$G$6=1),(X$2&gt;=Assumptions!$G$56)),((X36/1000)*Assumptions!$G$57),0)</f>
        <v/>
      </c>
      <c r="Y44" s="17">
        <f>IF(AND((Assumptions!$G$6=1),(Y$2&gt;=Assumptions!$G$56)),((Y36/1000)*Assumptions!$G$57),0)</f>
        <v/>
      </c>
      <c r="Z44" s="17">
        <f>IF(AND((Assumptions!$G$6=1),(Z$2&gt;=Assumptions!$G$56)),((Z36/1000)*Assumptions!$G$57),0)</f>
        <v/>
      </c>
      <c r="AA44" s="17">
        <f>IF(AND((Assumptions!$G$6=1),(AA$2&gt;=Assumptions!$G$56)),((AA36/1000)*Assumptions!$G$57),0)</f>
        <v/>
      </c>
      <c r="AB44" s="17">
        <f>IF(AND((Assumptions!$G$6=1),(AB$2&gt;=Assumptions!$G$56)),((AB36/1000)*Assumptions!$G$57),0)</f>
        <v/>
      </c>
      <c r="AC44" s="17">
        <f>IF(AND((Assumptions!$G$6=1),(AC$2&gt;=Assumptions!$G$56)),((AC36/1000)*Assumptions!$G$57),0)</f>
        <v/>
      </c>
      <c r="AD44" s="17">
        <f>IF(AND((Assumptions!$G$6=1),(AD$2&gt;=Assumptions!$G$56)),((AD36/1000)*Assumptions!$G$57),0)</f>
        <v/>
      </c>
      <c r="AE44" s="17">
        <f>IF(AND((Assumptions!$G$6=1),(AE$2&gt;=Assumptions!$G$56)),((AE36/1000)*Assumptions!$G$57),0)</f>
        <v/>
      </c>
      <c r="AF44" s="17">
        <f>IF(AND((Assumptions!$G$6=1),(AF$2&gt;=Assumptions!$G$56)),((AF36/1000)*Assumptions!$G$57),0)</f>
        <v/>
      </c>
      <c r="AG44" s="17">
        <f>IF(AND((Assumptions!$G$6=1),(AG$2&gt;=Assumptions!$G$56)),((AG36/1000)*Assumptions!$G$57),0)</f>
        <v/>
      </c>
      <c r="AH44" s="17">
        <f>IF(AND((Assumptions!$G$6=1),(AH$2&gt;=Assumptions!$G$56)),((AH36/1000)*Assumptions!$G$57),0)</f>
        <v/>
      </c>
      <c r="AI44" s="17">
        <f>IF(AND((Assumptions!$G$6=1),(AI$2&gt;=Assumptions!$G$56)),((AI36/1000)*Assumptions!$G$57),0)</f>
        <v/>
      </c>
      <c r="AJ44" s="17">
        <f>IF(AND((Assumptions!$G$6=1),(AJ$2&gt;=Assumptions!$G$56)),((AJ36/1000)*Assumptions!$G$57),0)</f>
        <v/>
      </c>
      <c r="AK44" s="17">
        <f>IF(AND((Assumptions!$G$6=1),(AK$2&gt;=Assumptions!$G$56)),((AK36/1000)*Assumptions!$G$57),0)</f>
        <v/>
      </c>
      <c r="AL44" s="17">
        <f>IF(AND((Assumptions!$G$6=1),(AL$2&gt;=Assumptions!$G$56)),((AL36/1000)*Assumptions!$G$57),0)</f>
        <v/>
      </c>
    </row>
    <row r="45">
      <c r="A45" s="6" t="inlineStr">
        <is>
          <t>Affiliate funded accounts</t>
        </is>
      </c>
      <c r="B45" s="2" t="inlineStr">
        <is>
          <t>aff_funded</t>
        </is>
      </c>
      <c r="C45" s="17">
        <f>(C44*Assumptions!$G$58)</f>
        <v/>
      </c>
      <c r="D45" s="17">
        <f>(D44*Assumptions!$G$58)</f>
        <v/>
      </c>
      <c r="E45" s="17">
        <f>(E44*Assumptions!$G$58)</f>
        <v/>
      </c>
      <c r="F45" s="17">
        <f>(F44*Assumptions!$G$58)</f>
        <v/>
      </c>
      <c r="G45" s="17">
        <f>(G44*Assumptions!$G$58)</f>
        <v/>
      </c>
      <c r="H45" s="17">
        <f>(H44*Assumptions!$G$58)</f>
        <v/>
      </c>
      <c r="I45" s="17">
        <f>(I44*Assumptions!$G$58)</f>
        <v/>
      </c>
      <c r="J45" s="17">
        <f>(J44*Assumptions!$G$58)</f>
        <v/>
      </c>
      <c r="K45" s="17">
        <f>(K44*Assumptions!$G$58)</f>
        <v/>
      </c>
      <c r="L45" s="17">
        <f>(L44*Assumptions!$G$58)</f>
        <v/>
      </c>
      <c r="M45" s="17">
        <f>(M44*Assumptions!$G$58)</f>
        <v/>
      </c>
      <c r="N45" s="17">
        <f>(N44*Assumptions!$G$58)</f>
        <v/>
      </c>
      <c r="O45" s="17">
        <f>(O44*Assumptions!$G$58)</f>
        <v/>
      </c>
      <c r="P45" s="17">
        <f>(P44*Assumptions!$G$58)</f>
        <v/>
      </c>
      <c r="Q45" s="17">
        <f>(Q44*Assumptions!$G$58)</f>
        <v/>
      </c>
      <c r="R45" s="17">
        <f>(R44*Assumptions!$G$58)</f>
        <v/>
      </c>
      <c r="S45" s="17">
        <f>(S44*Assumptions!$G$58)</f>
        <v/>
      </c>
      <c r="T45" s="17">
        <f>(T44*Assumptions!$G$58)</f>
        <v/>
      </c>
      <c r="U45" s="17">
        <f>(U44*Assumptions!$G$58)</f>
        <v/>
      </c>
      <c r="V45" s="17">
        <f>(V44*Assumptions!$G$58)</f>
        <v/>
      </c>
      <c r="W45" s="17">
        <f>(W44*Assumptions!$G$58)</f>
        <v/>
      </c>
      <c r="X45" s="17">
        <f>(X44*Assumptions!$G$58)</f>
        <v/>
      </c>
      <c r="Y45" s="17">
        <f>(Y44*Assumptions!$G$58)</f>
        <v/>
      </c>
      <c r="Z45" s="17">
        <f>(Z44*Assumptions!$G$58)</f>
        <v/>
      </c>
      <c r="AA45" s="17">
        <f>(AA44*Assumptions!$G$58)</f>
        <v/>
      </c>
      <c r="AB45" s="17">
        <f>(AB44*Assumptions!$G$58)</f>
        <v/>
      </c>
      <c r="AC45" s="17">
        <f>(AC44*Assumptions!$G$58)</f>
        <v/>
      </c>
      <c r="AD45" s="17">
        <f>(AD44*Assumptions!$G$58)</f>
        <v/>
      </c>
      <c r="AE45" s="17">
        <f>(AE44*Assumptions!$G$58)</f>
        <v/>
      </c>
      <c r="AF45" s="17">
        <f>(AF44*Assumptions!$G$58)</f>
        <v/>
      </c>
      <c r="AG45" s="17">
        <f>(AG44*Assumptions!$G$58)</f>
        <v/>
      </c>
      <c r="AH45" s="17">
        <f>(AH44*Assumptions!$G$58)</f>
        <v/>
      </c>
      <c r="AI45" s="17">
        <f>(AI44*Assumptions!$G$58)</f>
        <v/>
      </c>
      <c r="AJ45" s="17">
        <f>(AJ44*Assumptions!$G$58)</f>
        <v/>
      </c>
      <c r="AK45" s="17">
        <f>(AK44*Assumptions!$G$58)</f>
        <v/>
      </c>
      <c r="AL45" s="17">
        <f>(AL44*Assumptions!$G$58)</f>
        <v/>
      </c>
    </row>
    <row r="46">
      <c r="A46" s="6" t="inlineStr">
        <is>
          <t>Classroom Pro teachers</t>
        </is>
      </c>
      <c r="B46" s="2" t="inlineStr">
        <is>
          <t>teachers</t>
        </is>
      </c>
      <c r="C46" s="17">
        <f>IF(AND((Assumptions!$G$7=1),(C$2&gt;=Assumptions!$G$61)),(Assumptions!$G$62+(Assumptions!$G$63*(C$2-Assumptions!$G$61))),0)</f>
        <v/>
      </c>
      <c r="D46" s="17">
        <f>IF(AND((Assumptions!$G$7=1),(D$2&gt;=Assumptions!$G$61)),(Assumptions!$G$62+(Assumptions!$G$63*(D$2-Assumptions!$G$61))),0)</f>
        <v/>
      </c>
      <c r="E46" s="17">
        <f>IF(AND((Assumptions!$G$7=1),(E$2&gt;=Assumptions!$G$61)),(Assumptions!$G$62+(Assumptions!$G$63*(E$2-Assumptions!$G$61))),0)</f>
        <v/>
      </c>
      <c r="F46" s="17">
        <f>IF(AND((Assumptions!$G$7=1),(F$2&gt;=Assumptions!$G$61)),(Assumptions!$G$62+(Assumptions!$G$63*(F$2-Assumptions!$G$61))),0)</f>
        <v/>
      </c>
      <c r="G46" s="17">
        <f>IF(AND((Assumptions!$G$7=1),(G$2&gt;=Assumptions!$G$61)),(Assumptions!$G$62+(Assumptions!$G$63*(G$2-Assumptions!$G$61))),0)</f>
        <v/>
      </c>
      <c r="H46" s="17">
        <f>IF(AND((Assumptions!$G$7=1),(H$2&gt;=Assumptions!$G$61)),(Assumptions!$G$62+(Assumptions!$G$63*(H$2-Assumptions!$G$61))),0)</f>
        <v/>
      </c>
      <c r="I46" s="17">
        <f>IF(AND((Assumptions!$G$7=1),(I$2&gt;=Assumptions!$G$61)),(Assumptions!$G$62+(Assumptions!$G$63*(I$2-Assumptions!$G$61))),0)</f>
        <v/>
      </c>
      <c r="J46" s="17">
        <f>IF(AND((Assumptions!$G$7=1),(J$2&gt;=Assumptions!$G$61)),(Assumptions!$G$62+(Assumptions!$G$63*(J$2-Assumptions!$G$61))),0)</f>
        <v/>
      </c>
      <c r="K46" s="17">
        <f>IF(AND((Assumptions!$G$7=1),(K$2&gt;=Assumptions!$G$61)),(Assumptions!$G$62+(Assumptions!$G$63*(K$2-Assumptions!$G$61))),0)</f>
        <v/>
      </c>
      <c r="L46" s="17">
        <f>IF(AND((Assumptions!$G$7=1),(L$2&gt;=Assumptions!$G$61)),(Assumptions!$G$62+(Assumptions!$G$63*(L$2-Assumptions!$G$61))),0)</f>
        <v/>
      </c>
      <c r="M46" s="17">
        <f>IF(AND((Assumptions!$G$7=1),(M$2&gt;=Assumptions!$G$61)),(Assumptions!$G$62+(Assumptions!$G$63*(M$2-Assumptions!$G$61))),0)</f>
        <v/>
      </c>
      <c r="N46" s="17">
        <f>IF(AND((Assumptions!$G$7=1),(N$2&gt;=Assumptions!$G$61)),(Assumptions!$G$62+(Assumptions!$G$63*(N$2-Assumptions!$G$61))),0)</f>
        <v/>
      </c>
      <c r="O46" s="17">
        <f>IF(AND((Assumptions!$G$7=1),(O$2&gt;=Assumptions!$G$61)),(Assumptions!$G$62+(Assumptions!$G$63*(O$2-Assumptions!$G$61))),0)</f>
        <v/>
      </c>
      <c r="P46" s="17">
        <f>IF(AND((Assumptions!$G$7=1),(P$2&gt;=Assumptions!$G$61)),(Assumptions!$G$62+(Assumptions!$G$63*(P$2-Assumptions!$G$61))),0)</f>
        <v/>
      </c>
      <c r="Q46" s="17">
        <f>IF(AND((Assumptions!$G$7=1),(Q$2&gt;=Assumptions!$G$61)),(Assumptions!$G$62+(Assumptions!$G$63*(Q$2-Assumptions!$G$61))),0)</f>
        <v/>
      </c>
      <c r="R46" s="17">
        <f>IF(AND((Assumptions!$G$7=1),(R$2&gt;=Assumptions!$G$61)),(Assumptions!$G$62+(Assumptions!$G$63*(R$2-Assumptions!$G$61))),0)</f>
        <v/>
      </c>
      <c r="S46" s="17">
        <f>IF(AND((Assumptions!$G$7=1),(S$2&gt;=Assumptions!$G$61)),(Assumptions!$G$62+(Assumptions!$G$63*(S$2-Assumptions!$G$61))),0)</f>
        <v/>
      </c>
      <c r="T46" s="17">
        <f>IF(AND((Assumptions!$G$7=1),(T$2&gt;=Assumptions!$G$61)),(Assumptions!$G$62+(Assumptions!$G$63*(T$2-Assumptions!$G$61))),0)</f>
        <v/>
      </c>
      <c r="U46" s="17">
        <f>IF(AND((Assumptions!$G$7=1),(U$2&gt;=Assumptions!$G$61)),(Assumptions!$G$62+(Assumptions!$G$63*(U$2-Assumptions!$G$61))),0)</f>
        <v/>
      </c>
      <c r="V46" s="17">
        <f>IF(AND((Assumptions!$G$7=1),(V$2&gt;=Assumptions!$G$61)),(Assumptions!$G$62+(Assumptions!$G$63*(V$2-Assumptions!$G$61))),0)</f>
        <v/>
      </c>
      <c r="W46" s="17">
        <f>IF(AND((Assumptions!$G$7=1),(W$2&gt;=Assumptions!$G$61)),(Assumptions!$G$62+(Assumptions!$G$63*(W$2-Assumptions!$G$61))),0)</f>
        <v/>
      </c>
      <c r="X46" s="17">
        <f>IF(AND((Assumptions!$G$7=1),(X$2&gt;=Assumptions!$G$61)),(Assumptions!$G$62+(Assumptions!$G$63*(X$2-Assumptions!$G$61))),0)</f>
        <v/>
      </c>
      <c r="Y46" s="17">
        <f>IF(AND((Assumptions!$G$7=1),(Y$2&gt;=Assumptions!$G$61)),(Assumptions!$G$62+(Assumptions!$G$63*(Y$2-Assumptions!$G$61))),0)</f>
        <v/>
      </c>
      <c r="Z46" s="17">
        <f>IF(AND((Assumptions!$G$7=1),(Z$2&gt;=Assumptions!$G$61)),(Assumptions!$G$62+(Assumptions!$G$63*(Z$2-Assumptions!$G$61))),0)</f>
        <v/>
      </c>
      <c r="AA46" s="17">
        <f>IF(AND((Assumptions!$G$7=1),(AA$2&gt;=Assumptions!$G$61)),(Assumptions!$G$62+(Assumptions!$G$63*(AA$2-Assumptions!$G$61))),0)</f>
        <v/>
      </c>
      <c r="AB46" s="17">
        <f>IF(AND((Assumptions!$G$7=1),(AB$2&gt;=Assumptions!$G$61)),(Assumptions!$G$62+(Assumptions!$G$63*(AB$2-Assumptions!$G$61))),0)</f>
        <v/>
      </c>
      <c r="AC46" s="17">
        <f>IF(AND((Assumptions!$G$7=1),(AC$2&gt;=Assumptions!$G$61)),(Assumptions!$G$62+(Assumptions!$G$63*(AC$2-Assumptions!$G$61))),0)</f>
        <v/>
      </c>
      <c r="AD46" s="17">
        <f>IF(AND((Assumptions!$G$7=1),(AD$2&gt;=Assumptions!$G$61)),(Assumptions!$G$62+(Assumptions!$G$63*(AD$2-Assumptions!$G$61))),0)</f>
        <v/>
      </c>
      <c r="AE46" s="17">
        <f>IF(AND((Assumptions!$G$7=1),(AE$2&gt;=Assumptions!$G$61)),(Assumptions!$G$62+(Assumptions!$G$63*(AE$2-Assumptions!$G$61))),0)</f>
        <v/>
      </c>
      <c r="AF46" s="17">
        <f>IF(AND((Assumptions!$G$7=1),(AF$2&gt;=Assumptions!$G$61)),(Assumptions!$G$62+(Assumptions!$G$63*(AF$2-Assumptions!$G$61))),0)</f>
        <v/>
      </c>
      <c r="AG46" s="17">
        <f>IF(AND((Assumptions!$G$7=1),(AG$2&gt;=Assumptions!$G$61)),(Assumptions!$G$62+(Assumptions!$G$63*(AG$2-Assumptions!$G$61))),0)</f>
        <v/>
      </c>
      <c r="AH46" s="17">
        <f>IF(AND((Assumptions!$G$7=1),(AH$2&gt;=Assumptions!$G$61)),(Assumptions!$G$62+(Assumptions!$G$63*(AH$2-Assumptions!$G$61))),0)</f>
        <v/>
      </c>
      <c r="AI46" s="17">
        <f>IF(AND((Assumptions!$G$7=1),(AI$2&gt;=Assumptions!$G$61)),(Assumptions!$G$62+(Assumptions!$G$63*(AI$2-Assumptions!$G$61))),0)</f>
        <v/>
      </c>
      <c r="AJ46" s="17">
        <f>IF(AND((Assumptions!$G$7=1),(AJ$2&gt;=Assumptions!$G$61)),(Assumptions!$G$62+(Assumptions!$G$63*(AJ$2-Assumptions!$G$61))),0)</f>
        <v/>
      </c>
      <c r="AK46" s="17">
        <f>IF(AND((Assumptions!$G$7=1),(AK$2&gt;=Assumptions!$G$61)),(Assumptions!$G$62+(Assumptions!$G$63*(AK$2-Assumptions!$G$61))),0)</f>
        <v/>
      </c>
      <c r="AL46" s="17">
        <f>IF(AND((Assumptions!$G$7=1),(AL$2&gt;=Assumptions!$G$61)),(Assumptions!$G$62+(Assumptions!$G$63*(AL$2-Assumptions!$G$61))),0)</f>
        <v/>
      </c>
    </row>
    <row r="47">
      <c r="A47" s="6" t="inlineStr">
        <is>
          <t>Campus / club licences</t>
        </is>
      </c>
      <c r="B47" s="2" t="inlineStr">
        <is>
          <t>campus</t>
        </is>
      </c>
      <c r="C47" s="17">
        <f>IF(AND((Assumptions!$G$7=1),(C$2&gt;=Assumptions!$G$61)),(Assumptions!$G$65+(Assumptions!$G$66*(C$2-Assumptions!$G$61))),0)</f>
        <v/>
      </c>
      <c r="D47" s="17">
        <f>IF(AND((Assumptions!$G$7=1),(D$2&gt;=Assumptions!$G$61)),(Assumptions!$G$65+(Assumptions!$G$66*(D$2-Assumptions!$G$61))),0)</f>
        <v/>
      </c>
      <c r="E47" s="17">
        <f>IF(AND((Assumptions!$G$7=1),(E$2&gt;=Assumptions!$G$61)),(Assumptions!$G$65+(Assumptions!$G$66*(E$2-Assumptions!$G$61))),0)</f>
        <v/>
      </c>
      <c r="F47" s="17">
        <f>IF(AND((Assumptions!$G$7=1),(F$2&gt;=Assumptions!$G$61)),(Assumptions!$G$65+(Assumptions!$G$66*(F$2-Assumptions!$G$61))),0)</f>
        <v/>
      </c>
      <c r="G47" s="17">
        <f>IF(AND((Assumptions!$G$7=1),(G$2&gt;=Assumptions!$G$61)),(Assumptions!$G$65+(Assumptions!$G$66*(G$2-Assumptions!$G$61))),0)</f>
        <v/>
      </c>
      <c r="H47" s="17">
        <f>IF(AND((Assumptions!$G$7=1),(H$2&gt;=Assumptions!$G$61)),(Assumptions!$G$65+(Assumptions!$G$66*(H$2-Assumptions!$G$61))),0)</f>
        <v/>
      </c>
      <c r="I47" s="17">
        <f>IF(AND((Assumptions!$G$7=1),(I$2&gt;=Assumptions!$G$61)),(Assumptions!$G$65+(Assumptions!$G$66*(I$2-Assumptions!$G$61))),0)</f>
        <v/>
      </c>
      <c r="J47" s="17">
        <f>IF(AND((Assumptions!$G$7=1),(J$2&gt;=Assumptions!$G$61)),(Assumptions!$G$65+(Assumptions!$G$66*(J$2-Assumptions!$G$61))),0)</f>
        <v/>
      </c>
      <c r="K47" s="17">
        <f>IF(AND((Assumptions!$G$7=1),(K$2&gt;=Assumptions!$G$61)),(Assumptions!$G$65+(Assumptions!$G$66*(K$2-Assumptions!$G$61))),0)</f>
        <v/>
      </c>
      <c r="L47" s="17">
        <f>IF(AND((Assumptions!$G$7=1),(L$2&gt;=Assumptions!$G$61)),(Assumptions!$G$65+(Assumptions!$G$66*(L$2-Assumptions!$G$61))),0)</f>
        <v/>
      </c>
      <c r="M47" s="17">
        <f>IF(AND((Assumptions!$G$7=1),(M$2&gt;=Assumptions!$G$61)),(Assumptions!$G$65+(Assumptions!$G$66*(M$2-Assumptions!$G$61))),0)</f>
        <v/>
      </c>
      <c r="N47" s="17">
        <f>IF(AND((Assumptions!$G$7=1),(N$2&gt;=Assumptions!$G$61)),(Assumptions!$G$65+(Assumptions!$G$66*(N$2-Assumptions!$G$61))),0)</f>
        <v/>
      </c>
      <c r="O47" s="17">
        <f>IF(AND((Assumptions!$G$7=1),(O$2&gt;=Assumptions!$G$61)),(Assumptions!$G$65+(Assumptions!$G$66*(O$2-Assumptions!$G$61))),0)</f>
        <v/>
      </c>
      <c r="P47" s="17">
        <f>IF(AND((Assumptions!$G$7=1),(P$2&gt;=Assumptions!$G$61)),(Assumptions!$G$65+(Assumptions!$G$66*(P$2-Assumptions!$G$61))),0)</f>
        <v/>
      </c>
      <c r="Q47" s="17">
        <f>IF(AND((Assumptions!$G$7=1),(Q$2&gt;=Assumptions!$G$61)),(Assumptions!$G$65+(Assumptions!$G$66*(Q$2-Assumptions!$G$61))),0)</f>
        <v/>
      </c>
      <c r="R47" s="17">
        <f>IF(AND((Assumptions!$G$7=1),(R$2&gt;=Assumptions!$G$61)),(Assumptions!$G$65+(Assumptions!$G$66*(R$2-Assumptions!$G$61))),0)</f>
        <v/>
      </c>
      <c r="S47" s="17">
        <f>IF(AND((Assumptions!$G$7=1),(S$2&gt;=Assumptions!$G$61)),(Assumptions!$G$65+(Assumptions!$G$66*(S$2-Assumptions!$G$61))),0)</f>
        <v/>
      </c>
      <c r="T47" s="17">
        <f>IF(AND((Assumptions!$G$7=1),(T$2&gt;=Assumptions!$G$61)),(Assumptions!$G$65+(Assumptions!$G$66*(T$2-Assumptions!$G$61))),0)</f>
        <v/>
      </c>
      <c r="U47" s="17">
        <f>IF(AND((Assumptions!$G$7=1),(U$2&gt;=Assumptions!$G$61)),(Assumptions!$G$65+(Assumptions!$G$66*(U$2-Assumptions!$G$61))),0)</f>
        <v/>
      </c>
      <c r="V47" s="17">
        <f>IF(AND((Assumptions!$G$7=1),(V$2&gt;=Assumptions!$G$61)),(Assumptions!$G$65+(Assumptions!$G$66*(V$2-Assumptions!$G$61))),0)</f>
        <v/>
      </c>
      <c r="W47" s="17">
        <f>IF(AND((Assumptions!$G$7=1),(W$2&gt;=Assumptions!$G$61)),(Assumptions!$G$65+(Assumptions!$G$66*(W$2-Assumptions!$G$61))),0)</f>
        <v/>
      </c>
      <c r="X47" s="17">
        <f>IF(AND((Assumptions!$G$7=1),(X$2&gt;=Assumptions!$G$61)),(Assumptions!$G$65+(Assumptions!$G$66*(X$2-Assumptions!$G$61))),0)</f>
        <v/>
      </c>
      <c r="Y47" s="17">
        <f>IF(AND((Assumptions!$G$7=1),(Y$2&gt;=Assumptions!$G$61)),(Assumptions!$G$65+(Assumptions!$G$66*(Y$2-Assumptions!$G$61))),0)</f>
        <v/>
      </c>
      <c r="Z47" s="17">
        <f>IF(AND((Assumptions!$G$7=1),(Z$2&gt;=Assumptions!$G$61)),(Assumptions!$G$65+(Assumptions!$G$66*(Z$2-Assumptions!$G$61))),0)</f>
        <v/>
      </c>
      <c r="AA47" s="17">
        <f>IF(AND((Assumptions!$G$7=1),(AA$2&gt;=Assumptions!$G$61)),(Assumptions!$G$65+(Assumptions!$G$66*(AA$2-Assumptions!$G$61))),0)</f>
        <v/>
      </c>
      <c r="AB47" s="17">
        <f>IF(AND((Assumptions!$G$7=1),(AB$2&gt;=Assumptions!$G$61)),(Assumptions!$G$65+(Assumptions!$G$66*(AB$2-Assumptions!$G$61))),0)</f>
        <v/>
      </c>
      <c r="AC47" s="17">
        <f>IF(AND((Assumptions!$G$7=1),(AC$2&gt;=Assumptions!$G$61)),(Assumptions!$G$65+(Assumptions!$G$66*(AC$2-Assumptions!$G$61))),0)</f>
        <v/>
      </c>
      <c r="AD47" s="17">
        <f>IF(AND((Assumptions!$G$7=1),(AD$2&gt;=Assumptions!$G$61)),(Assumptions!$G$65+(Assumptions!$G$66*(AD$2-Assumptions!$G$61))),0)</f>
        <v/>
      </c>
      <c r="AE47" s="17">
        <f>IF(AND((Assumptions!$G$7=1),(AE$2&gt;=Assumptions!$G$61)),(Assumptions!$G$65+(Assumptions!$G$66*(AE$2-Assumptions!$G$61))),0)</f>
        <v/>
      </c>
      <c r="AF47" s="17">
        <f>IF(AND((Assumptions!$G$7=1),(AF$2&gt;=Assumptions!$G$61)),(Assumptions!$G$65+(Assumptions!$G$66*(AF$2-Assumptions!$G$61))),0)</f>
        <v/>
      </c>
      <c r="AG47" s="17">
        <f>IF(AND((Assumptions!$G$7=1),(AG$2&gt;=Assumptions!$G$61)),(Assumptions!$G$65+(Assumptions!$G$66*(AG$2-Assumptions!$G$61))),0)</f>
        <v/>
      </c>
      <c r="AH47" s="17">
        <f>IF(AND((Assumptions!$G$7=1),(AH$2&gt;=Assumptions!$G$61)),(Assumptions!$G$65+(Assumptions!$G$66*(AH$2-Assumptions!$G$61))),0)</f>
        <v/>
      </c>
      <c r="AI47" s="17">
        <f>IF(AND((Assumptions!$G$7=1),(AI$2&gt;=Assumptions!$G$61)),(Assumptions!$G$65+(Assumptions!$G$66*(AI$2-Assumptions!$G$61))),0)</f>
        <v/>
      </c>
      <c r="AJ47" s="17">
        <f>IF(AND((Assumptions!$G$7=1),(AJ$2&gt;=Assumptions!$G$61)),(Assumptions!$G$65+(Assumptions!$G$66*(AJ$2-Assumptions!$G$61))),0)</f>
        <v/>
      </c>
      <c r="AK47" s="17">
        <f>IF(AND((Assumptions!$G$7=1),(AK$2&gt;=Assumptions!$G$61)),(Assumptions!$G$65+(Assumptions!$G$66*(AK$2-Assumptions!$G$61))),0)</f>
        <v/>
      </c>
      <c r="AL47" s="17">
        <f>IF(AND((Assumptions!$G$7=1),(AL$2&gt;=Assumptions!$G$61)),(Assumptions!$G$65+(Assumptions!$G$66*(AL$2-Assumptions!$G$61))),0)</f>
        <v/>
      </c>
    </row>
    <row r="48">
      <c r="A48" s="6" t="inlineStr">
        <is>
          <t>Linking live (1 = yes)</t>
        </is>
      </c>
      <c r="B48" s="2" t="inlineStr">
        <is>
          <t>link_on</t>
        </is>
      </c>
      <c r="C48" s="8">
        <f>IF(AND((Assumptions!$G$9=1),(C$2&gt;=Assumptions!$G$73)),1,0)</f>
        <v/>
      </c>
      <c r="D48" s="8">
        <f>IF(AND((Assumptions!$G$9=1),(D$2&gt;=Assumptions!$G$73)),1,0)</f>
        <v/>
      </c>
      <c r="E48" s="8">
        <f>IF(AND((Assumptions!$G$9=1),(E$2&gt;=Assumptions!$G$73)),1,0)</f>
        <v/>
      </c>
      <c r="F48" s="8">
        <f>IF(AND((Assumptions!$G$9=1),(F$2&gt;=Assumptions!$G$73)),1,0)</f>
        <v/>
      </c>
      <c r="G48" s="8">
        <f>IF(AND((Assumptions!$G$9=1),(G$2&gt;=Assumptions!$G$73)),1,0)</f>
        <v/>
      </c>
      <c r="H48" s="8">
        <f>IF(AND((Assumptions!$G$9=1),(H$2&gt;=Assumptions!$G$73)),1,0)</f>
        <v/>
      </c>
      <c r="I48" s="8">
        <f>IF(AND((Assumptions!$G$9=1),(I$2&gt;=Assumptions!$G$73)),1,0)</f>
        <v/>
      </c>
      <c r="J48" s="8">
        <f>IF(AND((Assumptions!$G$9=1),(J$2&gt;=Assumptions!$G$73)),1,0)</f>
        <v/>
      </c>
      <c r="K48" s="8">
        <f>IF(AND((Assumptions!$G$9=1),(K$2&gt;=Assumptions!$G$73)),1,0)</f>
        <v/>
      </c>
      <c r="L48" s="8">
        <f>IF(AND((Assumptions!$G$9=1),(L$2&gt;=Assumptions!$G$73)),1,0)</f>
        <v/>
      </c>
      <c r="M48" s="8">
        <f>IF(AND((Assumptions!$G$9=1),(M$2&gt;=Assumptions!$G$73)),1,0)</f>
        <v/>
      </c>
      <c r="N48" s="8">
        <f>IF(AND((Assumptions!$G$9=1),(N$2&gt;=Assumptions!$G$73)),1,0)</f>
        <v/>
      </c>
      <c r="O48" s="8">
        <f>IF(AND((Assumptions!$G$9=1),(O$2&gt;=Assumptions!$G$73)),1,0)</f>
        <v/>
      </c>
      <c r="P48" s="8">
        <f>IF(AND((Assumptions!$G$9=1),(P$2&gt;=Assumptions!$G$73)),1,0)</f>
        <v/>
      </c>
      <c r="Q48" s="8">
        <f>IF(AND((Assumptions!$G$9=1),(Q$2&gt;=Assumptions!$G$73)),1,0)</f>
        <v/>
      </c>
      <c r="R48" s="8">
        <f>IF(AND((Assumptions!$G$9=1),(R$2&gt;=Assumptions!$G$73)),1,0)</f>
        <v/>
      </c>
      <c r="S48" s="8">
        <f>IF(AND((Assumptions!$G$9=1),(S$2&gt;=Assumptions!$G$73)),1,0)</f>
        <v/>
      </c>
      <c r="T48" s="8">
        <f>IF(AND((Assumptions!$G$9=1),(T$2&gt;=Assumptions!$G$73)),1,0)</f>
        <v/>
      </c>
      <c r="U48" s="8">
        <f>IF(AND((Assumptions!$G$9=1),(U$2&gt;=Assumptions!$G$73)),1,0)</f>
        <v/>
      </c>
      <c r="V48" s="8">
        <f>IF(AND((Assumptions!$G$9=1),(V$2&gt;=Assumptions!$G$73)),1,0)</f>
        <v/>
      </c>
      <c r="W48" s="8">
        <f>IF(AND((Assumptions!$G$9=1),(W$2&gt;=Assumptions!$G$73)),1,0)</f>
        <v/>
      </c>
      <c r="X48" s="8">
        <f>IF(AND((Assumptions!$G$9=1),(X$2&gt;=Assumptions!$G$73)),1,0)</f>
        <v/>
      </c>
      <c r="Y48" s="8">
        <f>IF(AND((Assumptions!$G$9=1),(Y$2&gt;=Assumptions!$G$73)),1,0)</f>
        <v/>
      </c>
      <c r="Z48" s="8">
        <f>IF(AND((Assumptions!$G$9=1),(Z$2&gt;=Assumptions!$G$73)),1,0)</f>
        <v/>
      </c>
      <c r="AA48" s="8">
        <f>IF(AND((Assumptions!$G$9=1),(AA$2&gt;=Assumptions!$G$73)),1,0)</f>
        <v/>
      </c>
      <c r="AB48" s="8">
        <f>IF(AND((Assumptions!$G$9=1),(AB$2&gt;=Assumptions!$G$73)),1,0)</f>
        <v/>
      </c>
      <c r="AC48" s="8">
        <f>IF(AND((Assumptions!$G$9=1),(AC$2&gt;=Assumptions!$G$73)),1,0)</f>
        <v/>
      </c>
      <c r="AD48" s="8">
        <f>IF(AND((Assumptions!$G$9=1),(AD$2&gt;=Assumptions!$G$73)),1,0)</f>
        <v/>
      </c>
      <c r="AE48" s="8">
        <f>IF(AND((Assumptions!$G$9=1),(AE$2&gt;=Assumptions!$G$73)),1,0)</f>
        <v/>
      </c>
      <c r="AF48" s="8">
        <f>IF(AND((Assumptions!$G$9=1),(AF$2&gt;=Assumptions!$G$73)),1,0)</f>
        <v/>
      </c>
      <c r="AG48" s="8">
        <f>IF(AND((Assumptions!$G$9=1),(AG$2&gt;=Assumptions!$G$73)),1,0)</f>
        <v/>
      </c>
      <c r="AH48" s="8">
        <f>IF(AND((Assumptions!$G$9=1),(AH$2&gt;=Assumptions!$G$73)),1,0)</f>
        <v/>
      </c>
      <c r="AI48" s="8">
        <f>IF(AND((Assumptions!$G$9=1),(AI$2&gt;=Assumptions!$G$73)),1,0)</f>
        <v/>
      </c>
      <c r="AJ48" s="8">
        <f>IF(AND((Assumptions!$G$9=1),(AJ$2&gt;=Assumptions!$G$73)),1,0)</f>
        <v/>
      </c>
      <c r="AK48" s="8">
        <f>IF(AND((Assumptions!$G$9=1),(AK$2&gt;=Assumptions!$G$73)),1,0)</f>
        <v/>
      </c>
      <c r="AL48" s="8">
        <f>IF(AND((Assumptions!$G$9=1),(AL$2&gt;=Assumptions!$G$73)),1,0)</f>
        <v/>
      </c>
    </row>
    <row r="49">
      <c r="A49" s="6" t="inlineStr">
        <is>
          <t>Linked Items: free users (capped at 1 bank)</t>
        </is>
      </c>
      <c r="B49" s="2" t="inlineStr">
        <is>
          <t>items_free</t>
        </is>
      </c>
      <c r="C49" s="17">
        <f>((C48*C35)*Assumptions!$G$74)</f>
        <v/>
      </c>
      <c r="D49" s="17">
        <f>((D48*D35)*Assumptions!$G$74)</f>
        <v/>
      </c>
      <c r="E49" s="17">
        <f>((E48*E35)*Assumptions!$G$74)</f>
        <v/>
      </c>
      <c r="F49" s="17">
        <f>((F48*F35)*Assumptions!$G$74)</f>
        <v/>
      </c>
      <c r="G49" s="17">
        <f>((G48*G35)*Assumptions!$G$74)</f>
        <v/>
      </c>
      <c r="H49" s="17">
        <f>((H48*H35)*Assumptions!$G$74)</f>
        <v/>
      </c>
      <c r="I49" s="17">
        <f>((I48*I35)*Assumptions!$G$74)</f>
        <v/>
      </c>
      <c r="J49" s="17">
        <f>((J48*J35)*Assumptions!$G$74)</f>
        <v/>
      </c>
      <c r="K49" s="17">
        <f>((K48*K35)*Assumptions!$G$74)</f>
        <v/>
      </c>
      <c r="L49" s="17">
        <f>((L48*L35)*Assumptions!$G$74)</f>
        <v/>
      </c>
      <c r="M49" s="17">
        <f>((M48*M35)*Assumptions!$G$74)</f>
        <v/>
      </c>
      <c r="N49" s="17">
        <f>((N48*N35)*Assumptions!$G$74)</f>
        <v/>
      </c>
      <c r="O49" s="17">
        <f>((O48*O35)*Assumptions!$G$74)</f>
        <v/>
      </c>
      <c r="P49" s="17">
        <f>((P48*P35)*Assumptions!$G$74)</f>
        <v/>
      </c>
      <c r="Q49" s="17">
        <f>((Q48*Q35)*Assumptions!$G$74)</f>
        <v/>
      </c>
      <c r="R49" s="17">
        <f>((R48*R35)*Assumptions!$G$74)</f>
        <v/>
      </c>
      <c r="S49" s="17">
        <f>((S48*S35)*Assumptions!$G$74)</f>
        <v/>
      </c>
      <c r="T49" s="17">
        <f>((T48*T35)*Assumptions!$G$74)</f>
        <v/>
      </c>
      <c r="U49" s="17">
        <f>((U48*U35)*Assumptions!$G$74)</f>
        <v/>
      </c>
      <c r="V49" s="17">
        <f>((V48*V35)*Assumptions!$G$74)</f>
        <v/>
      </c>
      <c r="W49" s="17">
        <f>((W48*W35)*Assumptions!$G$74)</f>
        <v/>
      </c>
      <c r="X49" s="17">
        <f>((X48*X35)*Assumptions!$G$74)</f>
        <v/>
      </c>
      <c r="Y49" s="17">
        <f>((Y48*Y35)*Assumptions!$G$74)</f>
        <v/>
      </c>
      <c r="Z49" s="17">
        <f>((Z48*Z35)*Assumptions!$G$74)</f>
        <v/>
      </c>
      <c r="AA49" s="17">
        <f>((AA48*AA35)*Assumptions!$G$74)</f>
        <v/>
      </c>
      <c r="AB49" s="17">
        <f>((AB48*AB35)*Assumptions!$G$74)</f>
        <v/>
      </c>
      <c r="AC49" s="17">
        <f>((AC48*AC35)*Assumptions!$G$74)</f>
        <v/>
      </c>
      <c r="AD49" s="17">
        <f>((AD48*AD35)*Assumptions!$G$74)</f>
        <v/>
      </c>
      <c r="AE49" s="17">
        <f>((AE48*AE35)*Assumptions!$G$74)</f>
        <v/>
      </c>
      <c r="AF49" s="17">
        <f>((AF48*AF35)*Assumptions!$G$74)</f>
        <v/>
      </c>
      <c r="AG49" s="17">
        <f>((AG48*AG35)*Assumptions!$G$74)</f>
        <v/>
      </c>
      <c r="AH49" s="17">
        <f>((AH48*AH35)*Assumptions!$G$74)</f>
        <v/>
      </c>
      <c r="AI49" s="17">
        <f>((AI48*AI35)*Assumptions!$G$74)</f>
        <v/>
      </c>
      <c r="AJ49" s="17">
        <f>((AJ48*AJ35)*Assumptions!$G$74)</f>
        <v/>
      </c>
      <c r="AK49" s="17">
        <f>((AK48*AK35)*Assumptions!$G$74)</f>
        <v/>
      </c>
      <c r="AL49" s="17">
        <f>((AL48*AL35)*Assumptions!$G$74)</f>
        <v/>
      </c>
    </row>
    <row r="50">
      <c r="A50" s="6" t="inlineStr">
        <is>
          <t>Linked Items: Pro users</t>
        </is>
      </c>
      <c r="B50" s="2" t="inlineStr">
        <is>
          <t>items_pro</t>
        </is>
      </c>
      <c r="C50" s="17">
        <f>(((C48*C29)*Assumptions!$G$76)*Assumptions!$G$77)</f>
        <v/>
      </c>
      <c r="D50" s="17">
        <f>(((D48*D29)*Assumptions!$G$76)*Assumptions!$G$77)</f>
        <v/>
      </c>
      <c r="E50" s="17">
        <f>(((E48*E29)*Assumptions!$G$76)*Assumptions!$G$77)</f>
        <v/>
      </c>
      <c r="F50" s="17">
        <f>(((F48*F29)*Assumptions!$G$76)*Assumptions!$G$77)</f>
        <v/>
      </c>
      <c r="G50" s="17">
        <f>(((G48*G29)*Assumptions!$G$76)*Assumptions!$G$77)</f>
        <v/>
      </c>
      <c r="H50" s="17">
        <f>(((H48*H29)*Assumptions!$G$76)*Assumptions!$G$77)</f>
        <v/>
      </c>
      <c r="I50" s="17">
        <f>(((I48*I29)*Assumptions!$G$76)*Assumptions!$G$77)</f>
        <v/>
      </c>
      <c r="J50" s="17">
        <f>(((J48*J29)*Assumptions!$G$76)*Assumptions!$G$77)</f>
        <v/>
      </c>
      <c r="K50" s="17">
        <f>(((K48*K29)*Assumptions!$G$76)*Assumptions!$G$77)</f>
        <v/>
      </c>
      <c r="L50" s="17">
        <f>(((L48*L29)*Assumptions!$G$76)*Assumptions!$G$77)</f>
        <v/>
      </c>
      <c r="M50" s="17">
        <f>(((M48*M29)*Assumptions!$G$76)*Assumptions!$G$77)</f>
        <v/>
      </c>
      <c r="N50" s="17">
        <f>(((N48*N29)*Assumptions!$G$76)*Assumptions!$G$77)</f>
        <v/>
      </c>
      <c r="O50" s="17">
        <f>(((O48*O29)*Assumptions!$G$76)*Assumptions!$G$77)</f>
        <v/>
      </c>
      <c r="P50" s="17">
        <f>(((P48*P29)*Assumptions!$G$76)*Assumptions!$G$77)</f>
        <v/>
      </c>
      <c r="Q50" s="17">
        <f>(((Q48*Q29)*Assumptions!$G$76)*Assumptions!$G$77)</f>
        <v/>
      </c>
      <c r="R50" s="17">
        <f>(((R48*R29)*Assumptions!$G$76)*Assumptions!$G$77)</f>
        <v/>
      </c>
      <c r="S50" s="17">
        <f>(((S48*S29)*Assumptions!$G$76)*Assumptions!$G$77)</f>
        <v/>
      </c>
      <c r="T50" s="17">
        <f>(((T48*T29)*Assumptions!$G$76)*Assumptions!$G$77)</f>
        <v/>
      </c>
      <c r="U50" s="17">
        <f>(((U48*U29)*Assumptions!$G$76)*Assumptions!$G$77)</f>
        <v/>
      </c>
      <c r="V50" s="17">
        <f>(((V48*V29)*Assumptions!$G$76)*Assumptions!$G$77)</f>
        <v/>
      </c>
      <c r="W50" s="17">
        <f>(((W48*W29)*Assumptions!$G$76)*Assumptions!$G$77)</f>
        <v/>
      </c>
      <c r="X50" s="17">
        <f>(((X48*X29)*Assumptions!$G$76)*Assumptions!$G$77)</f>
        <v/>
      </c>
      <c r="Y50" s="17">
        <f>(((Y48*Y29)*Assumptions!$G$76)*Assumptions!$G$77)</f>
        <v/>
      </c>
      <c r="Z50" s="17">
        <f>(((Z48*Z29)*Assumptions!$G$76)*Assumptions!$G$77)</f>
        <v/>
      </c>
      <c r="AA50" s="17">
        <f>(((AA48*AA29)*Assumptions!$G$76)*Assumptions!$G$77)</f>
        <v/>
      </c>
      <c r="AB50" s="17">
        <f>(((AB48*AB29)*Assumptions!$G$76)*Assumptions!$G$77)</f>
        <v/>
      </c>
      <c r="AC50" s="17">
        <f>(((AC48*AC29)*Assumptions!$G$76)*Assumptions!$G$77)</f>
        <v/>
      </c>
      <c r="AD50" s="17">
        <f>(((AD48*AD29)*Assumptions!$G$76)*Assumptions!$G$77)</f>
        <v/>
      </c>
      <c r="AE50" s="17">
        <f>(((AE48*AE29)*Assumptions!$G$76)*Assumptions!$G$77)</f>
        <v/>
      </c>
      <c r="AF50" s="17">
        <f>(((AF48*AF29)*Assumptions!$G$76)*Assumptions!$G$77)</f>
        <v/>
      </c>
      <c r="AG50" s="17">
        <f>(((AG48*AG29)*Assumptions!$G$76)*Assumptions!$G$77)</f>
        <v/>
      </c>
      <c r="AH50" s="17">
        <f>(((AH48*AH29)*Assumptions!$G$76)*Assumptions!$G$77)</f>
        <v/>
      </c>
      <c r="AI50" s="17">
        <f>(((AI48*AI29)*Assumptions!$G$76)*Assumptions!$G$77)</f>
        <v/>
      </c>
      <c r="AJ50" s="17">
        <f>(((AJ48*AJ29)*Assumptions!$G$76)*Assumptions!$G$77)</f>
        <v/>
      </c>
      <c r="AK50" s="17">
        <f>(((AK48*AK29)*Assumptions!$G$76)*Assumptions!$G$77)</f>
        <v/>
      </c>
      <c r="AL50" s="17">
        <f>(((AL48*AL29)*Assumptions!$G$76)*Assumptions!$G$77)</f>
        <v/>
      </c>
    </row>
    <row r="52">
      <c r="A52" s="4" t="inlineStr">
        <is>
          <t>REVENUE</t>
        </is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</row>
    <row r="53">
      <c r="A53" s="6" t="inlineStr">
        <is>
          <t>Gross: monthly plans</t>
        </is>
      </c>
      <c r="B53" s="2" t="inlineStr">
        <is>
          <t>rev_monthly</t>
        </is>
      </c>
      <c r="C53" s="14">
        <f>(C24*Assumptions!$G$35)</f>
        <v/>
      </c>
      <c r="D53" s="14">
        <f>(D24*Assumptions!$G$35)</f>
        <v/>
      </c>
      <c r="E53" s="14">
        <f>(E24*Assumptions!$G$35)</f>
        <v/>
      </c>
      <c r="F53" s="14">
        <f>(F24*Assumptions!$G$35)</f>
        <v/>
      </c>
      <c r="G53" s="14">
        <f>(G24*Assumptions!$G$35)</f>
        <v/>
      </c>
      <c r="H53" s="14">
        <f>(H24*Assumptions!$G$35)</f>
        <v/>
      </c>
      <c r="I53" s="14">
        <f>(I24*Assumptions!$G$35)</f>
        <v/>
      </c>
      <c r="J53" s="14">
        <f>(J24*Assumptions!$G$35)</f>
        <v/>
      </c>
      <c r="K53" s="14">
        <f>(K24*Assumptions!$G$35)</f>
        <v/>
      </c>
      <c r="L53" s="14">
        <f>(L24*Assumptions!$G$35)</f>
        <v/>
      </c>
      <c r="M53" s="14">
        <f>(M24*Assumptions!$G$35)</f>
        <v/>
      </c>
      <c r="N53" s="14">
        <f>(N24*Assumptions!$G$35)</f>
        <v/>
      </c>
      <c r="O53" s="14">
        <f>(O24*Assumptions!$G$35)</f>
        <v/>
      </c>
      <c r="P53" s="14">
        <f>(P24*Assumptions!$G$35)</f>
        <v/>
      </c>
      <c r="Q53" s="14">
        <f>(Q24*Assumptions!$G$35)</f>
        <v/>
      </c>
      <c r="R53" s="14">
        <f>(R24*Assumptions!$G$35)</f>
        <v/>
      </c>
      <c r="S53" s="14">
        <f>(S24*Assumptions!$G$35)</f>
        <v/>
      </c>
      <c r="T53" s="14">
        <f>(T24*Assumptions!$G$35)</f>
        <v/>
      </c>
      <c r="U53" s="14">
        <f>(U24*Assumptions!$G$35)</f>
        <v/>
      </c>
      <c r="V53" s="14">
        <f>(V24*Assumptions!$G$35)</f>
        <v/>
      </c>
      <c r="W53" s="14">
        <f>(W24*Assumptions!$G$35)</f>
        <v/>
      </c>
      <c r="X53" s="14">
        <f>(X24*Assumptions!$G$35)</f>
        <v/>
      </c>
      <c r="Y53" s="14">
        <f>(Y24*Assumptions!$G$35)</f>
        <v/>
      </c>
      <c r="Z53" s="14">
        <f>(Z24*Assumptions!$G$35)</f>
        <v/>
      </c>
      <c r="AA53" s="14">
        <f>(AA24*Assumptions!$G$35)</f>
        <v/>
      </c>
      <c r="AB53" s="14">
        <f>(AB24*Assumptions!$G$35)</f>
        <v/>
      </c>
      <c r="AC53" s="14">
        <f>(AC24*Assumptions!$G$35)</f>
        <v/>
      </c>
      <c r="AD53" s="14">
        <f>(AD24*Assumptions!$G$35)</f>
        <v/>
      </c>
      <c r="AE53" s="14">
        <f>(AE24*Assumptions!$G$35)</f>
        <v/>
      </c>
      <c r="AF53" s="14">
        <f>(AF24*Assumptions!$G$35)</f>
        <v/>
      </c>
      <c r="AG53" s="14">
        <f>(AG24*Assumptions!$G$35)</f>
        <v/>
      </c>
      <c r="AH53" s="14">
        <f>(AH24*Assumptions!$G$35)</f>
        <v/>
      </c>
      <c r="AI53" s="14">
        <f>(AI24*Assumptions!$G$35)</f>
        <v/>
      </c>
      <c r="AJ53" s="14">
        <f>(AJ24*Assumptions!$G$35)</f>
        <v/>
      </c>
      <c r="AK53" s="14">
        <f>(AK24*Assumptions!$G$35)</f>
        <v/>
      </c>
      <c r="AL53" s="14">
        <f>(AL24*Assumptions!$G$35)</f>
        <v/>
      </c>
    </row>
    <row r="54">
      <c r="A54" s="6" t="inlineStr">
        <is>
          <t>Gross: annual plans (recognised 1/12 a month)</t>
        </is>
      </c>
      <c r="B54" s="2" t="inlineStr">
        <is>
          <t>rev_annual</t>
        </is>
      </c>
      <c r="C54" s="14">
        <f>((C26*Assumptions!$G$36)/12)</f>
        <v/>
      </c>
      <c r="D54" s="14">
        <f>((D26*Assumptions!$G$36)/12)</f>
        <v/>
      </c>
      <c r="E54" s="14">
        <f>((E26*Assumptions!$G$36)/12)</f>
        <v/>
      </c>
      <c r="F54" s="14">
        <f>((F26*Assumptions!$G$36)/12)</f>
        <v/>
      </c>
      <c r="G54" s="14">
        <f>((G26*Assumptions!$G$36)/12)</f>
        <v/>
      </c>
      <c r="H54" s="14">
        <f>((H26*Assumptions!$G$36)/12)</f>
        <v/>
      </c>
      <c r="I54" s="14">
        <f>((I26*Assumptions!$G$36)/12)</f>
        <v/>
      </c>
      <c r="J54" s="14">
        <f>((J26*Assumptions!$G$36)/12)</f>
        <v/>
      </c>
      <c r="K54" s="14">
        <f>((K26*Assumptions!$G$36)/12)</f>
        <v/>
      </c>
      <c r="L54" s="14">
        <f>((L26*Assumptions!$G$36)/12)</f>
        <v/>
      </c>
      <c r="M54" s="14">
        <f>((M26*Assumptions!$G$36)/12)</f>
        <v/>
      </c>
      <c r="N54" s="14">
        <f>((N26*Assumptions!$G$36)/12)</f>
        <v/>
      </c>
      <c r="O54" s="14">
        <f>((O26*Assumptions!$G$36)/12)</f>
        <v/>
      </c>
      <c r="P54" s="14">
        <f>((P26*Assumptions!$G$36)/12)</f>
        <v/>
      </c>
      <c r="Q54" s="14">
        <f>((Q26*Assumptions!$G$36)/12)</f>
        <v/>
      </c>
      <c r="R54" s="14">
        <f>((R26*Assumptions!$G$36)/12)</f>
        <v/>
      </c>
      <c r="S54" s="14">
        <f>((S26*Assumptions!$G$36)/12)</f>
        <v/>
      </c>
      <c r="T54" s="14">
        <f>((T26*Assumptions!$G$36)/12)</f>
        <v/>
      </c>
      <c r="U54" s="14">
        <f>((U26*Assumptions!$G$36)/12)</f>
        <v/>
      </c>
      <c r="V54" s="14">
        <f>((V26*Assumptions!$G$36)/12)</f>
        <v/>
      </c>
      <c r="W54" s="14">
        <f>((W26*Assumptions!$G$36)/12)</f>
        <v/>
      </c>
      <c r="X54" s="14">
        <f>((X26*Assumptions!$G$36)/12)</f>
        <v/>
      </c>
      <c r="Y54" s="14">
        <f>((Y26*Assumptions!$G$36)/12)</f>
        <v/>
      </c>
      <c r="Z54" s="14">
        <f>((Z26*Assumptions!$G$36)/12)</f>
        <v/>
      </c>
      <c r="AA54" s="14">
        <f>((AA26*Assumptions!$G$36)/12)</f>
        <v/>
      </c>
      <c r="AB54" s="14">
        <f>((AB26*Assumptions!$G$36)/12)</f>
        <v/>
      </c>
      <c r="AC54" s="14">
        <f>((AC26*Assumptions!$G$36)/12)</f>
        <v/>
      </c>
      <c r="AD54" s="14">
        <f>((AD26*Assumptions!$G$36)/12)</f>
        <v/>
      </c>
      <c r="AE54" s="14">
        <f>((AE26*Assumptions!$G$36)/12)</f>
        <v/>
      </c>
      <c r="AF54" s="14">
        <f>((AF26*Assumptions!$G$36)/12)</f>
        <v/>
      </c>
      <c r="AG54" s="14">
        <f>((AG26*Assumptions!$G$36)/12)</f>
        <v/>
      </c>
      <c r="AH54" s="14">
        <f>((AH26*Assumptions!$G$36)/12)</f>
        <v/>
      </c>
      <c r="AI54" s="14">
        <f>((AI26*Assumptions!$G$36)/12)</f>
        <v/>
      </c>
      <c r="AJ54" s="14">
        <f>((AJ26*Assumptions!$G$36)/12)</f>
        <v/>
      </c>
      <c r="AK54" s="14">
        <f>((AK26*Assumptions!$G$36)/12)</f>
        <v/>
      </c>
      <c r="AL54" s="14">
        <f>((AL26*Assumptions!$G$36)/12)</f>
        <v/>
      </c>
    </row>
    <row r="55">
      <c r="A55" s="6" t="inlineStr">
        <is>
          <t>Gross: student plans (recognised 1/12 a month)</t>
        </is>
      </c>
      <c r="B55" s="2" t="inlineStr">
        <is>
          <t>rev_student</t>
        </is>
      </c>
      <c r="C55" s="14">
        <f>((C28*Assumptions!$G$37)/12)</f>
        <v/>
      </c>
      <c r="D55" s="14">
        <f>((D28*Assumptions!$G$37)/12)</f>
        <v/>
      </c>
      <c r="E55" s="14">
        <f>((E28*Assumptions!$G$37)/12)</f>
        <v/>
      </c>
      <c r="F55" s="14">
        <f>((F28*Assumptions!$G$37)/12)</f>
        <v/>
      </c>
      <c r="G55" s="14">
        <f>((G28*Assumptions!$G$37)/12)</f>
        <v/>
      </c>
      <c r="H55" s="14">
        <f>((H28*Assumptions!$G$37)/12)</f>
        <v/>
      </c>
      <c r="I55" s="14">
        <f>((I28*Assumptions!$G$37)/12)</f>
        <v/>
      </c>
      <c r="J55" s="14">
        <f>((J28*Assumptions!$G$37)/12)</f>
        <v/>
      </c>
      <c r="K55" s="14">
        <f>((K28*Assumptions!$G$37)/12)</f>
        <v/>
      </c>
      <c r="L55" s="14">
        <f>((L28*Assumptions!$G$37)/12)</f>
        <v/>
      </c>
      <c r="M55" s="14">
        <f>((M28*Assumptions!$G$37)/12)</f>
        <v/>
      </c>
      <c r="N55" s="14">
        <f>((N28*Assumptions!$G$37)/12)</f>
        <v/>
      </c>
      <c r="O55" s="14">
        <f>((O28*Assumptions!$G$37)/12)</f>
        <v/>
      </c>
      <c r="P55" s="14">
        <f>((P28*Assumptions!$G$37)/12)</f>
        <v/>
      </c>
      <c r="Q55" s="14">
        <f>((Q28*Assumptions!$G$37)/12)</f>
        <v/>
      </c>
      <c r="R55" s="14">
        <f>((R28*Assumptions!$G$37)/12)</f>
        <v/>
      </c>
      <c r="S55" s="14">
        <f>((S28*Assumptions!$G$37)/12)</f>
        <v/>
      </c>
      <c r="T55" s="14">
        <f>((T28*Assumptions!$G$37)/12)</f>
        <v/>
      </c>
      <c r="U55" s="14">
        <f>((U28*Assumptions!$G$37)/12)</f>
        <v/>
      </c>
      <c r="V55" s="14">
        <f>((V28*Assumptions!$G$37)/12)</f>
        <v/>
      </c>
      <c r="W55" s="14">
        <f>((W28*Assumptions!$G$37)/12)</f>
        <v/>
      </c>
      <c r="X55" s="14">
        <f>((X28*Assumptions!$G$37)/12)</f>
        <v/>
      </c>
      <c r="Y55" s="14">
        <f>((Y28*Assumptions!$G$37)/12)</f>
        <v/>
      </c>
      <c r="Z55" s="14">
        <f>((Z28*Assumptions!$G$37)/12)</f>
        <v/>
      </c>
      <c r="AA55" s="14">
        <f>((AA28*Assumptions!$G$37)/12)</f>
        <v/>
      </c>
      <c r="AB55" s="14">
        <f>((AB28*Assumptions!$G$37)/12)</f>
        <v/>
      </c>
      <c r="AC55" s="14">
        <f>((AC28*Assumptions!$G$37)/12)</f>
        <v/>
      </c>
      <c r="AD55" s="14">
        <f>((AD28*Assumptions!$G$37)/12)</f>
        <v/>
      </c>
      <c r="AE55" s="14">
        <f>((AE28*Assumptions!$G$37)/12)</f>
        <v/>
      </c>
      <c r="AF55" s="14">
        <f>((AF28*Assumptions!$G$37)/12)</f>
        <v/>
      </c>
      <c r="AG55" s="14">
        <f>((AG28*Assumptions!$G$37)/12)</f>
        <v/>
      </c>
      <c r="AH55" s="14">
        <f>((AH28*Assumptions!$G$37)/12)</f>
        <v/>
      </c>
      <c r="AI55" s="14">
        <f>((AI28*Assumptions!$G$37)/12)</f>
        <v/>
      </c>
      <c r="AJ55" s="14">
        <f>((AJ28*Assumptions!$G$37)/12)</f>
        <v/>
      </c>
      <c r="AK55" s="14">
        <f>((AK28*Assumptions!$G$37)/12)</f>
        <v/>
      </c>
      <c r="AL55" s="14">
        <f>((AL28*Assumptions!$G$37)/12)</f>
        <v/>
      </c>
    </row>
    <row r="56">
      <c r="A56" s="6" t="inlineStr">
        <is>
          <t>Gross: Recruiting Pass</t>
        </is>
      </c>
      <c r="B56" s="2" t="inlineStr">
        <is>
          <t>rev_pass</t>
        </is>
      </c>
      <c r="C56" s="14">
        <f>(C21*Assumptions!$G$38)</f>
        <v/>
      </c>
      <c r="D56" s="14">
        <f>(D21*Assumptions!$G$38)</f>
        <v/>
      </c>
      <c r="E56" s="14">
        <f>(E21*Assumptions!$G$38)</f>
        <v/>
      </c>
      <c r="F56" s="14">
        <f>(F21*Assumptions!$G$38)</f>
        <v/>
      </c>
      <c r="G56" s="14">
        <f>(G21*Assumptions!$G$38)</f>
        <v/>
      </c>
      <c r="H56" s="14">
        <f>(H21*Assumptions!$G$38)</f>
        <v/>
      </c>
      <c r="I56" s="14">
        <f>(I21*Assumptions!$G$38)</f>
        <v/>
      </c>
      <c r="J56" s="14">
        <f>(J21*Assumptions!$G$38)</f>
        <v/>
      </c>
      <c r="K56" s="14">
        <f>(K21*Assumptions!$G$38)</f>
        <v/>
      </c>
      <c r="L56" s="14">
        <f>(L21*Assumptions!$G$38)</f>
        <v/>
      </c>
      <c r="M56" s="14">
        <f>(M21*Assumptions!$G$38)</f>
        <v/>
      </c>
      <c r="N56" s="14">
        <f>(N21*Assumptions!$G$38)</f>
        <v/>
      </c>
      <c r="O56" s="14">
        <f>(O21*Assumptions!$G$38)</f>
        <v/>
      </c>
      <c r="P56" s="14">
        <f>(P21*Assumptions!$G$38)</f>
        <v/>
      </c>
      <c r="Q56" s="14">
        <f>(Q21*Assumptions!$G$38)</f>
        <v/>
      </c>
      <c r="R56" s="14">
        <f>(R21*Assumptions!$G$38)</f>
        <v/>
      </c>
      <c r="S56" s="14">
        <f>(S21*Assumptions!$G$38)</f>
        <v/>
      </c>
      <c r="T56" s="14">
        <f>(T21*Assumptions!$G$38)</f>
        <v/>
      </c>
      <c r="U56" s="14">
        <f>(U21*Assumptions!$G$38)</f>
        <v/>
      </c>
      <c r="V56" s="14">
        <f>(V21*Assumptions!$G$38)</f>
        <v/>
      </c>
      <c r="W56" s="14">
        <f>(W21*Assumptions!$G$38)</f>
        <v/>
      </c>
      <c r="X56" s="14">
        <f>(X21*Assumptions!$G$38)</f>
        <v/>
      </c>
      <c r="Y56" s="14">
        <f>(Y21*Assumptions!$G$38)</f>
        <v/>
      </c>
      <c r="Z56" s="14">
        <f>(Z21*Assumptions!$G$38)</f>
        <v/>
      </c>
      <c r="AA56" s="14">
        <f>(AA21*Assumptions!$G$38)</f>
        <v/>
      </c>
      <c r="AB56" s="14">
        <f>(AB21*Assumptions!$G$38)</f>
        <v/>
      </c>
      <c r="AC56" s="14">
        <f>(AC21*Assumptions!$G$38)</f>
        <v/>
      </c>
      <c r="AD56" s="14">
        <f>(AD21*Assumptions!$G$38)</f>
        <v/>
      </c>
      <c r="AE56" s="14">
        <f>(AE21*Assumptions!$G$38)</f>
        <v/>
      </c>
      <c r="AF56" s="14">
        <f>(AF21*Assumptions!$G$38)</f>
        <v/>
      </c>
      <c r="AG56" s="14">
        <f>(AG21*Assumptions!$G$38)</f>
        <v/>
      </c>
      <c r="AH56" s="14">
        <f>(AH21*Assumptions!$G$38)</f>
        <v/>
      </c>
      <c r="AI56" s="14">
        <f>(AI21*Assumptions!$G$38)</f>
        <v/>
      </c>
      <c r="AJ56" s="14">
        <f>(AJ21*Assumptions!$G$38)</f>
        <v/>
      </c>
      <c r="AK56" s="14">
        <f>(AK21*Assumptions!$G$38)</f>
        <v/>
      </c>
      <c r="AL56" s="14">
        <f>(AL21*Assumptions!$G$38)</f>
        <v/>
      </c>
    </row>
    <row r="57">
      <c r="A57" s="21" t="inlineStr">
        <is>
          <t>Gross in-app sales</t>
        </is>
      </c>
      <c r="B57" s="2" t="inlineStr">
        <is>
          <t>rev_iap_gross</t>
        </is>
      </c>
      <c r="C57" s="23">
        <f>(((C53+C54)+C55)+C56)</f>
        <v/>
      </c>
      <c r="D57" s="23">
        <f>(((D53+D54)+D55)+D56)</f>
        <v/>
      </c>
      <c r="E57" s="23">
        <f>(((E53+E54)+E55)+E56)</f>
        <v/>
      </c>
      <c r="F57" s="23">
        <f>(((F53+F54)+F55)+F56)</f>
        <v/>
      </c>
      <c r="G57" s="23">
        <f>(((G53+G54)+G55)+G56)</f>
        <v/>
      </c>
      <c r="H57" s="23">
        <f>(((H53+H54)+H55)+H56)</f>
        <v/>
      </c>
      <c r="I57" s="23">
        <f>(((I53+I54)+I55)+I56)</f>
        <v/>
      </c>
      <c r="J57" s="23">
        <f>(((J53+J54)+J55)+J56)</f>
        <v/>
      </c>
      <c r="K57" s="23">
        <f>(((K53+K54)+K55)+K56)</f>
        <v/>
      </c>
      <c r="L57" s="23">
        <f>(((L53+L54)+L55)+L56)</f>
        <v/>
      </c>
      <c r="M57" s="23">
        <f>(((M53+M54)+M55)+M56)</f>
        <v/>
      </c>
      <c r="N57" s="23">
        <f>(((N53+N54)+N55)+N56)</f>
        <v/>
      </c>
      <c r="O57" s="23">
        <f>(((O53+O54)+O55)+O56)</f>
        <v/>
      </c>
      <c r="P57" s="23">
        <f>(((P53+P54)+P55)+P56)</f>
        <v/>
      </c>
      <c r="Q57" s="23">
        <f>(((Q53+Q54)+Q55)+Q56)</f>
        <v/>
      </c>
      <c r="R57" s="23">
        <f>(((R53+R54)+R55)+R56)</f>
        <v/>
      </c>
      <c r="S57" s="23">
        <f>(((S53+S54)+S55)+S56)</f>
        <v/>
      </c>
      <c r="T57" s="23">
        <f>(((T53+T54)+T55)+T56)</f>
        <v/>
      </c>
      <c r="U57" s="23">
        <f>(((U53+U54)+U55)+U56)</f>
        <v/>
      </c>
      <c r="V57" s="23">
        <f>(((V53+V54)+V55)+V56)</f>
        <v/>
      </c>
      <c r="W57" s="23">
        <f>(((W53+W54)+W55)+W56)</f>
        <v/>
      </c>
      <c r="X57" s="23">
        <f>(((X53+X54)+X55)+X56)</f>
        <v/>
      </c>
      <c r="Y57" s="23">
        <f>(((Y53+Y54)+Y55)+Y56)</f>
        <v/>
      </c>
      <c r="Z57" s="23">
        <f>(((Z53+Z54)+Z55)+Z56)</f>
        <v/>
      </c>
      <c r="AA57" s="23">
        <f>(((AA53+AA54)+AA55)+AA56)</f>
        <v/>
      </c>
      <c r="AB57" s="23">
        <f>(((AB53+AB54)+AB55)+AB56)</f>
        <v/>
      </c>
      <c r="AC57" s="23">
        <f>(((AC53+AC54)+AC55)+AC56)</f>
        <v/>
      </c>
      <c r="AD57" s="23">
        <f>(((AD53+AD54)+AD55)+AD56)</f>
        <v/>
      </c>
      <c r="AE57" s="23">
        <f>(((AE53+AE54)+AE55)+AE56)</f>
        <v/>
      </c>
      <c r="AF57" s="23">
        <f>(((AF53+AF54)+AF55)+AF56)</f>
        <v/>
      </c>
      <c r="AG57" s="23">
        <f>(((AG53+AG54)+AG55)+AG56)</f>
        <v/>
      </c>
      <c r="AH57" s="23">
        <f>(((AH53+AH54)+AH55)+AH56)</f>
        <v/>
      </c>
      <c r="AI57" s="23">
        <f>(((AI53+AI54)+AI55)+AI56)</f>
        <v/>
      </c>
      <c r="AJ57" s="23">
        <f>(((AJ53+AJ54)+AJ55)+AJ56)</f>
        <v/>
      </c>
      <c r="AK57" s="23">
        <f>(((AK53+AK54)+AK55)+AK56)</f>
        <v/>
      </c>
      <c r="AL57" s="23">
        <f>(((AL53+AL54)+AL55)+AL56)</f>
        <v/>
      </c>
    </row>
    <row r="58">
      <c r="A58" s="6" t="inlineStr">
        <is>
          <t>Less: refunds</t>
        </is>
      </c>
      <c r="B58" s="2" t="inlineStr">
        <is>
          <t>refunds</t>
        </is>
      </c>
      <c r="C58" s="14">
        <f>((-C57)*Assumptions!$G$40)</f>
        <v/>
      </c>
      <c r="D58" s="14">
        <f>((-D57)*Assumptions!$G$40)</f>
        <v/>
      </c>
      <c r="E58" s="14">
        <f>((-E57)*Assumptions!$G$40)</f>
        <v/>
      </c>
      <c r="F58" s="14">
        <f>((-F57)*Assumptions!$G$40)</f>
        <v/>
      </c>
      <c r="G58" s="14">
        <f>((-G57)*Assumptions!$G$40)</f>
        <v/>
      </c>
      <c r="H58" s="14">
        <f>((-H57)*Assumptions!$G$40)</f>
        <v/>
      </c>
      <c r="I58" s="14">
        <f>((-I57)*Assumptions!$G$40)</f>
        <v/>
      </c>
      <c r="J58" s="14">
        <f>((-J57)*Assumptions!$G$40)</f>
        <v/>
      </c>
      <c r="K58" s="14">
        <f>((-K57)*Assumptions!$G$40)</f>
        <v/>
      </c>
      <c r="L58" s="14">
        <f>((-L57)*Assumptions!$G$40)</f>
        <v/>
      </c>
      <c r="M58" s="14">
        <f>((-M57)*Assumptions!$G$40)</f>
        <v/>
      </c>
      <c r="N58" s="14">
        <f>((-N57)*Assumptions!$G$40)</f>
        <v/>
      </c>
      <c r="O58" s="14">
        <f>((-O57)*Assumptions!$G$40)</f>
        <v/>
      </c>
      <c r="P58" s="14">
        <f>((-P57)*Assumptions!$G$40)</f>
        <v/>
      </c>
      <c r="Q58" s="14">
        <f>((-Q57)*Assumptions!$G$40)</f>
        <v/>
      </c>
      <c r="R58" s="14">
        <f>((-R57)*Assumptions!$G$40)</f>
        <v/>
      </c>
      <c r="S58" s="14">
        <f>((-S57)*Assumptions!$G$40)</f>
        <v/>
      </c>
      <c r="T58" s="14">
        <f>((-T57)*Assumptions!$G$40)</f>
        <v/>
      </c>
      <c r="U58" s="14">
        <f>((-U57)*Assumptions!$G$40)</f>
        <v/>
      </c>
      <c r="V58" s="14">
        <f>((-V57)*Assumptions!$G$40)</f>
        <v/>
      </c>
      <c r="W58" s="14">
        <f>((-W57)*Assumptions!$G$40)</f>
        <v/>
      </c>
      <c r="X58" s="14">
        <f>((-X57)*Assumptions!$G$40)</f>
        <v/>
      </c>
      <c r="Y58" s="14">
        <f>((-Y57)*Assumptions!$G$40)</f>
        <v/>
      </c>
      <c r="Z58" s="14">
        <f>((-Z57)*Assumptions!$G$40)</f>
        <v/>
      </c>
      <c r="AA58" s="14">
        <f>((-AA57)*Assumptions!$G$40)</f>
        <v/>
      </c>
      <c r="AB58" s="14">
        <f>((-AB57)*Assumptions!$G$40)</f>
        <v/>
      </c>
      <c r="AC58" s="14">
        <f>((-AC57)*Assumptions!$G$40)</f>
        <v/>
      </c>
      <c r="AD58" s="14">
        <f>((-AD57)*Assumptions!$G$40)</f>
        <v/>
      </c>
      <c r="AE58" s="14">
        <f>((-AE57)*Assumptions!$G$40)</f>
        <v/>
      </c>
      <c r="AF58" s="14">
        <f>((-AF57)*Assumptions!$G$40)</f>
        <v/>
      </c>
      <c r="AG58" s="14">
        <f>((-AG57)*Assumptions!$G$40)</f>
        <v/>
      </c>
      <c r="AH58" s="14">
        <f>((-AH57)*Assumptions!$G$40)</f>
        <v/>
      </c>
      <c r="AI58" s="14">
        <f>((-AI57)*Assumptions!$G$40)</f>
        <v/>
      </c>
      <c r="AJ58" s="14">
        <f>((-AJ57)*Assumptions!$G$40)</f>
        <v/>
      </c>
      <c r="AK58" s="14">
        <f>((-AK57)*Assumptions!$G$40)</f>
        <v/>
      </c>
      <c r="AL58" s="14">
        <f>((-AL57)*Assumptions!$G$40)</f>
        <v/>
      </c>
    </row>
    <row r="59">
      <c r="A59" s="6" t="inlineStr">
        <is>
          <t>Less: app store commission</t>
        </is>
      </c>
      <c r="B59" s="2" t="inlineStr">
        <is>
          <t>store_fee</t>
        </is>
      </c>
      <c r="C59" s="14">
        <f>((-(C57+C58))*Assumptions!$G$39)</f>
        <v/>
      </c>
      <c r="D59" s="14">
        <f>((-(D57+D58))*Assumptions!$G$39)</f>
        <v/>
      </c>
      <c r="E59" s="14">
        <f>((-(E57+E58))*Assumptions!$G$39)</f>
        <v/>
      </c>
      <c r="F59" s="14">
        <f>((-(F57+F58))*Assumptions!$G$39)</f>
        <v/>
      </c>
      <c r="G59" s="14">
        <f>((-(G57+G58))*Assumptions!$G$39)</f>
        <v/>
      </c>
      <c r="H59" s="14">
        <f>((-(H57+H58))*Assumptions!$G$39)</f>
        <v/>
      </c>
      <c r="I59" s="14">
        <f>((-(I57+I58))*Assumptions!$G$39)</f>
        <v/>
      </c>
      <c r="J59" s="14">
        <f>((-(J57+J58))*Assumptions!$G$39)</f>
        <v/>
      </c>
      <c r="K59" s="14">
        <f>((-(K57+K58))*Assumptions!$G$39)</f>
        <v/>
      </c>
      <c r="L59" s="14">
        <f>((-(L57+L58))*Assumptions!$G$39)</f>
        <v/>
      </c>
      <c r="M59" s="14">
        <f>((-(M57+M58))*Assumptions!$G$39)</f>
        <v/>
      </c>
      <c r="N59" s="14">
        <f>((-(N57+N58))*Assumptions!$G$39)</f>
        <v/>
      </c>
      <c r="O59" s="14">
        <f>((-(O57+O58))*Assumptions!$G$39)</f>
        <v/>
      </c>
      <c r="P59" s="14">
        <f>((-(P57+P58))*Assumptions!$G$39)</f>
        <v/>
      </c>
      <c r="Q59" s="14">
        <f>((-(Q57+Q58))*Assumptions!$G$39)</f>
        <v/>
      </c>
      <c r="R59" s="14">
        <f>((-(R57+R58))*Assumptions!$G$39)</f>
        <v/>
      </c>
      <c r="S59" s="14">
        <f>((-(S57+S58))*Assumptions!$G$39)</f>
        <v/>
      </c>
      <c r="T59" s="14">
        <f>((-(T57+T58))*Assumptions!$G$39)</f>
        <v/>
      </c>
      <c r="U59" s="14">
        <f>((-(U57+U58))*Assumptions!$G$39)</f>
        <v/>
      </c>
      <c r="V59" s="14">
        <f>((-(V57+V58))*Assumptions!$G$39)</f>
        <v/>
      </c>
      <c r="W59" s="14">
        <f>((-(W57+W58))*Assumptions!$G$39)</f>
        <v/>
      </c>
      <c r="X59" s="14">
        <f>((-(X57+X58))*Assumptions!$G$39)</f>
        <v/>
      </c>
      <c r="Y59" s="14">
        <f>((-(Y57+Y58))*Assumptions!$G$39)</f>
        <v/>
      </c>
      <c r="Z59" s="14">
        <f>((-(Z57+Z58))*Assumptions!$G$39)</f>
        <v/>
      </c>
      <c r="AA59" s="14">
        <f>((-(AA57+AA58))*Assumptions!$G$39)</f>
        <v/>
      </c>
      <c r="AB59" s="14">
        <f>((-(AB57+AB58))*Assumptions!$G$39)</f>
        <v/>
      </c>
      <c r="AC59" s="14">
        <f>((-(AC57+AC58))*Assumptions!$G$39)</f>
        <v/>
      </c>
      <c r="AD59" s="14">
        <f>((-(AD57+AD58))*Assumptions!$G$39)</f>
        <v/>
      </c>
      <c r="AE59" s="14">
        <f>((-(AE57+AE58))*Assumptions!$G$39)</f>
        <v/>
      </c>
      <c r="AF59" s="14">
        <f>((-(AF57+AF58))*Assumptions!$G$39)</f>
        <v/>
      </c>
      <c r="AG59" s="14">
        <f>((-(AG57+AG58))*Assumptions!$G$39)</f>
        <v/>
      </c>
      <c r="AH59" s="14">
        <f>((-(AH57+AH58))*Assumptions!$G$39)</f>
        <v/>
      </c>
      <c r="AI59" s="14">
        <f>((-(AI57+AI58))*Assumptions!$G$39)</f>
        <v/>
      </c>
      <c r="AJ59" s="14">
        <f>((-(AJ57+AJ58))*Assumptions!$G$39)</f>
        <v/>
      </c>
      <c r="AK59" s="14">
        <f>((-(AK57+AK58))*Assumptions!$G$39)</f>
        <v/>
      </c>
      <c r="AL59" s="14">
        <f>((-(AL57+AL58))*Assumptions!$G$39)</f>
        <v/>
      </c>
    </row>
    <row r="60">
      <c r="A60" s="21" t="inlineStr">
        <is>
          <t>Subscriptions &amp; in-app, net of store fee</t>
        </is>
      </c>
      <c r="B60" s="2" t="inlineStr">
        <is>
          <t>rev_subs_net</t>
        </is>
      </c>
      <c r="C60" s="23">
        <f>((C57+C58)+C59)</f>
        <v/>
      </c>
      <c r="D60" s="23">
        <f>((D57+D58)+D59)</f>
        <v/>
      </c>
      <c r="E60" s="23">
        <f>((E57+E58)+E59)</f>
        <v/>
      </c>
      <c r="F60" s="23">
        <f>((F57+F58)+F59)</f>
        <v/>
      </c>
      <c r="G60" s="23">
        <f>((G57+G58)+G59)</f>
        <v/>
      </c>
      <c r="H60" s="23">
        <f>((H57+H58)+H59)</f>
        <v/>
      </c>
      <c r="I60" s="23">
        <f>((I57+I58)+I59)</f>
        <v/>
      </c>
      <c r="J60" s="23">
        <f>((J57+J58)+J59)</f>
        <v/>
      </c>
      <c r="K60" s="23">
        <f>((K57+K58)+K59)</f>
        <v/>
      </c>
      <c r="L60" s="23">
        <f>((L57+L58)+L59)</f>
        <v/>
      </c>
      <c r="M60" s="23">
        <f>((M57+M58)+M59)</f>
        <v/>
      </c>
      <c r="N60" s="23">
        <f>((N57+N58)+N59)</f>
        <v/>
      </c>
      <c r="O60" s="23">
        <f>((O57+O58)+O59)</f>
        <v/>
      </c>
      <c r="P60" s="23">
        <f>((P57+P58)+P59)</f>
        <v/>
      </c>
      <c r="Q60" s="23">
        <f>((Q57+Q58)+Q59)</f>
        <v/>
      </c>
      <c r="R60" s="23">
        <f>((R57+R58)+R59)</f>
        <v/>
      </c>
      <c r="S60" s="23">
        <f>((S57+S58)+S59)</f>
        <v/>
      </c>
      <c r="T60" s="23">
        <f>((T57+T58)+T59)</f>
        <v/>
      </c>
      <c r="U60" s="23">
        <f>((U57+U58)+U59)</f>
        <v/>
      </c>
      <c r="V60" s="23">
        <f>((V57+V58)+V59)</f>
        <v/>
      </c>
      <c r="W60" s="23">
        <f>((W57+W58)+W59)</f>
        <v/>
      </c>
      <c r="X60" s="23">
        <f>((X57+X58)+X59)</f>
        <v/>
      </c>
      <c r="Y60" s="23">
        <f>((Y57+Y58)+Y59)</f>
        <v/>
      </c>
      <c r="Z60" s="23">
        <f>((Z57+Z58)+Z59)</f>
        <v/>
      </c>
      <c r="AA60" s="23">
        <f>((AA57+AA58)+AA59)</f>
        <v/>
      </c>
      <c r="AB60" s="23">
        <f>((AB57+AB58)+AB59)</f>
        <v/>
      </c>
      <c r="AC60" s="23">
        <f>((AC57+AC58)+AC59)</f>
        <v/>
      </c>
      <c r="AD60" s="23">
        <f>((AD57+AD58)+AD59)</f>
        <v/>
      </c>
      <c r="AE60" s="23">
        <f>((AE57+AE58)+AE59)</f>
        <v/>
      </c>
      <c r="AF60" s="23">
        <f>((AF57+AF58)+AF59)</f>
        <v/>
      </c>
      <c r="AG60" s="23">
        <f>((AG57+AG58)+AG59)</f>
        <v/>
      </c>
      <c r="AH60" s="23">
        <f>((AH57+AH58)+AH59)</f>
        <v/>
      </c>
      <c r="AI60" s="23">
        <f>((AI57+AI58)+AI59)</f>
        <v/>
      </c>
      <c r="AJ60" s="23">
        <f>((AJ57+AJ58)+AJ59)</f>
        <v/>
      </c>
      <c r="AK60" s="23">
        <f>((AK57+AK58)+AK59)</f>
        <v/>
      </c>
      <c r="AL60" s="23">
        <f>((AL57+AL58)+AL59)</f>
        <v/>
      </c>
    </row>
    <row r="61">
      <c r="A61" s="6" t="inlineStr">
        <is>
          <t>Ads: article / lesson end</t>
        </is>
      </c>
      <c r="B61" s="2" t="inlineStr">
        <is>
          <t>rev_ads_article</t>
        </is>
      </c>
      <c r="C61" s="14">
        <f>(((C41/1000)*Assumptions!$G$51)*Assumptions!$G$54)</f>
        <v/>
      </c>
      <c r="D61" s="14">
        <f>(((D41/1000)*Assumptions!$G$51)*Assumptions!$G$54)</f>
        <v/>
      </c>
      <c r="E61" s="14">
        <f>(((E41/1000)*Assumptions!$G$51)*Assumptions!$G$54)</f>
        <v/>
      </c>
      <c r="F61" s="14">
        <f>(((F41/1000)*Assumptions!$G$51)*Assumptions!$G$54)</f>
        <v/>
      </c>
      <c r="G61" s="14">
        <f>(((G41/1000)*Assumptions!$G$51)*Assumptions!$G$54)</f>
        <v/>
      </c>
      <c r="H61" s="14">
        <f>(((H41/1000)*Assumptions!$G$51)*Assumptions!$G$54)</f>
        <v/>
      </c>
      <c r="I61" s="14">
        <f>(((I41/1000)*Assumptions!$G$51)*Assumptions!$G$54)</f>
        <v/>
      </c>
      <c r="J61" s="14">
        <f>(((J41/1000)*Assumptions!$G$51)*Assumptions!$G$54)</f>
        <v/>
      </c>
      <c r="K61" s="14">
        <f>(((K41/1000)*Assumptions!$G$51)*Assumptions!$G$54)</f>
        <v/>
      </c>
      <c r="L61" s="14">
        <f>(((L41/1000)*Assumptions!$G$51)*Assumptions!$G$54)</f>
        <v/>
      </c>
      <c r="M61" s="14">
        <f>(((M41/1000)*Assumptions!$G$51)*Assumptions!$G$54)</f>
        <v/>
      </c>
      <c r="N61" s="14">
        <f>(((N41/1000)*Assumptions!$G$51)*Assumptions!$G$54)</f>
        <v/>
      </c>
      <c r="O61" s="14">
        <f>(((O41/1000)*Assumptions!$G$51)*Assumptions!$G$54)</f>
        <v/>
      </c>
      <c r="P61" s="14">
        <f>(((P41/1000)*Assumptions!$G$51)*Assumptions!$G$54)</f>
        <v/>
      </c>
      <c r="Q61" s="14">
        <f>(((Q41/1000)*Assumptions!$G$51)*Assumptions!$G$54)</f>
        <v/>
      </c>
      <c r="R61" s="14">
        <f>(((R41/1000)*Assumptions!$G$51)*Assumptions!$G$54)</f>
        <v/>
      </c>
      <c r="S61" s="14">
        <f>(((S41/1000)*Assumptions!$G$51)*Assumptions!$G$54)</f>
        <v/>
      </c>
      <c r="T61" s="14">
        <f>(((T41/1000)*Assumptions!$G$51)*Assumptions!$G$54)</f>
        <v/>
      </c>
      <c r="U61" s="14">
        <f>(((U41/1000)*Assumptions!$G$51)*Assumptions!$G$54)</f>
        <v/>
      </c>
      <c r="V61" s="14">
        <f>(((V41/1000)*Assumptions!$G$51)*Assumptions!$G$54)</f>
        <v/>
      </c>
      <c r="W61" s="14">
        <f>(((W41/1000)*Assumptions!$G$51)*Assumptions!$G$54)</f>
        <v/>
      </c>
      <c r="X61" s="14">
        <f>(((X41/1000)*Assumptions!$G$51)*Assumptions!$G$54)</f>
        <v/>
      </c>
      <c r="Y61" s="14">
        <f>(((Y41/1000)*Assumptions!$G$51)*Assumptions!$G$54)</f>
        <v/>
      </c>
      <c r="Z61" s="14">
        <f>(((Z41/1000)*Assumptions!$G$51)*Assumptions!$G$54)</f>
        <v/>
      </c>
      <c r="AA61" s="14">
        <f>(((AA41/1000)*Assumptions!$G$51)*Assumptions!$G$54)</f>
        <v/>
      </c>
      <c r="AB61" s="14">
        <f>(((AB41/1000)*Assumptions!$G$51)*Assumptions!$G$54)</f>
        <v/>
      </c>
      <c r="AC61" s="14">
        <f>(((AC41/1000)*Assumptions!$G$51)*Assumptions!$G$54)</f>
        <v/>
      </c>
      <c r="AD61" s="14">
        <f>(((AD41/1000)*Assumptions!$G$51)*Assumptions!$G$54)</f>
        <v/>
      </c>
      <c r="AE61" s="14">
        <f>(((AE41/1000)*Assumptions!$G$51)*Assumptions!$G$54)</f>
        <v/>
      </c>
      <c r="AF61" s="14">
        <f>(((AF41/1000)*Assumptions!$G$51)*Assumptions!$G$54)</f>
        <v/>
      </c>
      <c r="AG61" s="14">
        <f>(((AG41/1000)*Assumptions!$G$51)*Assumptions!$G$54)</f>
        <v/>
      </c>
      <c r="AH61" s="14">
        <f>(((AH41/1000)*Assumptions!$G$51)*Assumptions!$G$54)</f>
        <v/>
      </c>
      <c r="AI61" s="14">
        <f>(((AI41/1000)*Assumptions!$G$51)*Assumptions!$G$54)</f>
        <v/>
      </c>
      <c r="AJ61" s="14">
        <f>(((AJ41/1000)*Assumptions!$G$51)*Assumptions!$G$54)</f>
        <v/>
      </c>
      <c r="AK61" s="14">
        <f>(((AK41/1000)*Assumptions!$G$51)*Assumptions!$G$54)</f>
        <v/>
      </c>
      <c r="AL61" s="14">
        <f>(((AL41/1000)*Assumptions!$G$51)*Assumptions!$G$54)</f>
        <v/>
      </c>
    </row>
    <row r="62">
      <c r="A62" s="6" t="inlineStr">
        <is>
          <t>Ads: screener native</t>
        </is>
      </c>
      <c r="B62" s="2" t="inlineStr">
        <is>
          <t>rev_ads_screener</t>
        </is>
      </c>
      <c r="C62" s="14">
        <f>(((C42/1000)*Assumptions!$G$52)*Assumptions!$G$54)</f>
        <v/>
      </c>
      <c r="D62" s="14">
        <f>(((D42/1000)*Assumptions!$G$52)*Assumptions!$G$54)</f>
        <v/>
      </c>
      <c r="E62" s="14">
        <f>(((E42/1000)*Assumptions!$G$52)*Assumptions!$G$54)</f>
        <v/>
      </c>
      <c r="F62" s="14">
        <f>(((F42/1000)*Assumptions!$G$52)*Assumptions!$G$54)</f>
        <v/>
      </c>
      <c r="G62" s="14">
        <f>(((G42/1000)*Assumptions!$G$52)*Assumptions!$G$54)</f>
        <v/>
      </c>
      <c r="H62" s="14">
        <f>(((H42/1000)*Assumptions!$G$52)*Assumptions!$G$54)</f>
        <v/>
      </c>
      <c r="I62" s="14">
        <f>(((I42/1000)*Assumptions!$G$52)*Assumptions!$G$54)</f>
        <v/>
      </c>
      <c r="J62" s="14">
        <f>(((J42/1000)*Assumptions!$G$52)*Assumptions!$G$54)</f>
        <v/>
      </c>
      <c r="K62" s="14">
        <f>(((K42/1000)*Assumptions!$G$52)*Assumptions!$G$54)</f>
        <v/>
      </c>
      <c r="L62" s="14">
        <f>(((L42/1000)*Assumptions!$G$52)*Assumptions!$G$54)</f>
        <v/>
      </c>
      <c r="M62" s="14">
        <f>(((M42/1000)*Assumptions!$G$52)*Assumptions!$G$54)</f>
        <v/>
      </c>
      <c r="N62" s="14">
        <f>(((N42/1000)*Assumptions!$G$52)*Assumptions!$G$54)</f>
        <v/>
      </c>
      <c r="O62" s="14">
        <f>(((O42/1000)*Assumptions!$G$52)*Assumptions!$G$54)</f>
        <v/>
      </c>
      <c r="P62" s="14">
        <f>(((P42/1000)*Assumptions!$G$52)*Assumptions!$G$54)</f>
        <v/>
      </c>
      <c r="Q62" s="14">
        <f>(((Q42/1000)*Assumptions!$G$52)*Assumptions!$G$54)</f>
        <v/>
      </c>
      <c r="R62" s="14">
        <f>(((R42/1000)*Assumptions!$G$52)*Assumptions!$G$54)</f>
        <v/>
      </c>
      <c r="S62" s="14">
        <f>(((S42/1000)*Assumptions!$G$52)*Assumptions!$G$54)</f>
        <v/>
      </c>
      <c r="T62" s="14">
        <f>(((T42/1000)*Assumptions!$G$52)*Assumptions!$G$54)</f>
        <v/>
      </c>
      <c r="U62" s="14">
        <f>(((U42/1000)*Assumptions!$G$52)*Assumptions!$G$54)</f>
        <v/>
      </c>
      <c r="V62" s="14">
        <f>(((V42/1000)*Assumptions!$G$52)*Assumptions!$G$54)</f>
        <v/>
      </c>
      <c r="W62" s="14">
        <f>(((W42/1000)*Assumptions!$G$52)*Assumptions!$G$54)</f>
        <v/>
      </c>
      <c r="X62" s="14">
        <f>(((X42/1000)*Assumptions!$G$52)*Assumptions!$G$54)</f>
        <v/>
      </c>
      <c r="Y62" s="14">
        <f>(((Y42/1000)*Assumptions!$G$52)*Assumptions!$G$54)</f>
        <v/>
      </c>
      <c r="Z62" s="14">
        <f>(((Z42/1000)*Assumptions!$G$52)*Assumptions!$G$54)</f>
        <v/>
      </c>
      <c r="AA62" s="14">
        <f>(((AA42/1000)*Assumptions!$G$52)*Assumptions!$G$54)</f>
        <v/>
      </c>
      <c r="AB62" s="14">
        <f>(((AB42/1000)*Assumptions!$G$52)*Assumptions!$G$54)</f>
        <v/>
      </c>
      <c r="AC62" s="14">
        <f>(((AC42/1000)*Assumptions!$G$52)*Assumptions!$G$54)</f>
        <v/>
      </c>
      <c r="AD62" s="14">
        <f>(((AD42/1000)*Assumptions!$G$52)*Assumptions!$G$54)</f>
        <v/>
      </c>
      <c r="AE62" s="14">
        <f>(((AE42/1000)*Assumptions!$G$52)*Assumptions!$G$54)</f>
        <v/>
      </c>
      <c r="AF62" s="14">
        <f>(((AF42/1000)*Assumptions!$G$52)*Assumptions!$G$54)</f>
        <v/>
      </c>
      <c r="AG62" s="14">
        <f>(((AG42/1000)*Assumptions!$G$52)*Assumptions!$G$54)</f>
        <v/>
      </c>
      <c r="AH62" s="14">
        <f>(((AH42/1000)*Assumptions!$G$52)*Assumptions!$G$54)</f>
        <v/>
      </c>
      <c r="AI62" s="14">
        <f>(((AI42/1000)*Assumptions!$G$52)*Assumptions!$G$54)</f>
        <v/>
      </c>
      <c r="AJ62" s="14">
        <f>(((AJ42/1000)*Assumptions!$G$52)*Assumptions!$G$54)</f>
        <v/>
      </c>
      <c r="AK62" s="14">
        <f>(((AK42/1000)*Assumptions!$G$52)*Assumptions!$G$54)</f>
        <v/>
      </c>
      <c r="AL62" s="14">
        <f>(((AL42/1000)*Assumptions!$G$52)*Assumptions!$G$54)</f>
        <v/>
      </c>
    </row>
    <row r="63">
      <c r="A63" s="6" t="inlineStr">
        <is>
          <t>Ads: opt-in rewarded</t>
        </is>
      </c>
      <c r="B63" s="2" t="inlineStr">
        <is>
          <t>rev_ads_rewarded</t>
        </is>
      </c>
      <c r="C63" s="14">
        <f>(((C43/1000)*Assumptions!$G$53)*Assumptions!$G$54)</f>
        <v/>
      </c>
      <c r="D63" s="14">
        <f>(((D43/1000)*Assumptions!$G$53)*Assumptions!$G$54)</f>
        <v/>
      </c>
      <c r="E63" s="14">
        <f>(((E43/1000)*Assumptions!$G$53)*Assumptions!$G$54)</f>
        <v/>
      </c>
      <c r="F63" s="14">
        <f>(((F43/1000)*Assumptions!$G$53)*Assumptions!$G$54)</f>
        <v/>
      </c>
      <c r="G63" s="14">
        <f>(((G43/1000)*Assumptions!$G$53)*Assumptions!$G$54)</f>
        <v/>
      </c>
      <c r="H63" s="14">
        <f>(((H43/1000)*Assumptions!$G$53)*Assumptions!$G$54)</f>
        <v/>
      </c>
      <c r="I63" s="14">
        <f>(((I43/1000)*Assumptions!$G$53)*Assumptions!$G$54)</f>
        <v/>
      </c>
      <c r="J63" s="14">
        <f>(((J43/1000)*Assumptions!$G$53)*Assumptions!$G$54)</f>
        <v/>
      </c>
      <c r="K63" s="14">
        <f>(((K43/1000)*Assumptions!$G$53)*Assumptions!$G$54)</f>
        <v/>
      </c>
      <c r="L63" s="14">
        <f>(((L43/1000)*Assumptions!$G$53)*Assumptions!$G$54)</f>
        <v/>
      </c>
      <c r="M63" s="14">
        <f>(((M43/1000)*Assumptions!$G$53)*Assumptions!$G$54)</f>
        <v/>
      </c>
      <c r="N63" s="14">
        <f>(((N43/1000)*Assumptions!$G$53)*Assumptions!$G$54)</f>
        <v/>
      </c>
      <c r="O63" s="14">
        <f>(((O43/1000)*Assumptions!$G$53)*Assumptions!$G$54)</f>
        <v/>
      </c>
      <c r="P63" s="14">
        <f>(((P43/1000)*Assumptions!$G$53)*Assumptions!$G$54)</f>
        <v/>
      </c>
      <c r="Q63" s="14">
        <f>(((Q43/1000)*Assumptions!$G$53)*Assumptions!$G$54)</f>
        <v/>
      </c>
      <c r="R63" s="14">
        <f>(((R43/1000)*Assumptions!$G$53)*Assumptions!$G$54)</f>
        <v/>
      </c>
      <c r="S63" s="14">
        <f>(((S43/1000)*Assumptions!$G$53)*Assumptions!$G$54)</f>
        <v/>
      </c>
      <c r="T63" s="14">
        <f>(((T43/1000)*Assumptions!$G$53)*Assumptions!$G$54)</f>
        <v/>
      </c>
      <c r="U63" s="14">
        <f>(((U43/1000)*Assumptions!$G$53)*Assumptions!$G$54)</f>
        <v/>
      </c>
      <c r="V63" s="14">
        <f>(((V43/1000)*Assumptions!$G$53)*Assumptions!$G$54)</f>
        <v/>
      </c>
      <c r="W63" s="14">
        <f>(((W43/1000)*Assumptions!$G$53)*Assumptions!$G$54)</f>
        <v/>
      </c>
      <c r="X63" s="14">
        <f>(((X43/1000)*Assumptions!$G$53)*Assumptions!$G$54)</f>
        <v/>
      </c>
      <c r="Y63" s="14">
        <f>(((Y43/1000)*Assumptions!$G$53)*Assumptions!$G$54)</f>
        <v/>
      </c>
      <c r="Z63" s="14">
        <f>(((Z43/1000)*Assumptions!$G$53)*Assumptions!$G$54)</f>
        <v/>
      </c>
      <c r="AA63" s="14">
        <f>(((AA43/1000)*Assumptions!$G$53)*Assumptions!$G$54)</f>
        <v/>
      </c>
      <c r="AB63" s="14">
        <f>(((AB43/1000)*Assumptions!$G$53)*Assumptions!$G$54)</f>
        <v/>
      </c>
      <c r="AC63" s="14">
        <f>(((AC43/1000)*Assumptions!$G$53)*Assumptions!$G$54)</f>
        <v/>
      </c>
      <c r="AD63" s="14">
        <f>(((AD43/1000)*Assumptions!$G$53)*Assumptions!$G$54)</f>
        <v/>
      </c>
      <c r="AE63" s="14">
        <f>(((AE43/1000)*Assumptions!$G$53)*Assumptions!$G$54)</f>
        <v/>
      </c>
      <c r="AF63" s="14">
        <f>(((AF43/1000)*Assumptions!$G$53)*Assumptions!$G$54)</f>
        <v/>
      </c>
      <c r="AG63" s="14">
        <f>(((AG43/1000)*Assumptions!$G$53)*Assumptions!$G$54)</f>
        <v/>
      </c>
      <c r="AH63" s="14">
        <f>(((AH43/1000)*Assumptions!$G$53)*Assumptions!$G$54)</f>
        <v/>
      </c>
      <c r="AI63" s="14">
        <f>(((AI43/1000)*Assumptions!$G$53)*Assumptions!$G$54)</f>
        <v/>
      </c>
      <c r="AJ63" s="14">
        <f>(((AJ43/1000)*Assumptions!$G$53)*Assumptions!$G$54)</f>
        <v/>
      </c>
      <c r="AK63" s="14">
        <f>(((AK43/1000)*Assumptions!$G$53)*Assumptions!$G$54)</f>
        <v/>
      </c>
      <c r="AL63" s="14">
        <f>(((AL43/1000)*Assumptions!$G$53)*Assumptions!$G$54)</f>
        <v/>
      </c>
    </row>
    <row r="64">
      <c r="A64" s="21" t="inlineStr">
        <is>
          <t>Advertising revenue</t>
        </is>
      </c>
      <c r="B64" s="2" t="inlineStr">
        <is>
          <t>rev_ads</t>
        </is>
      </c>
      <c r="C64" s="23">
        <f>((C61+C62)+C63)</f>
        <v/>
      </c>
      <c r="D64" s="23">
        <f>((D61+D62)+D63)</f>
        <v/>
      </c>
      <c r="E64" s="23">
        <f>((E61+E62)+E63)</f>
        <v/>
      </c>
      <c r="F64" s="23">
        <f>((F61+F62)+F63)</f>
        <v/>
      </c>
      <c r="G64" s="23">
        <f>((G61+G62)+G63)</f>
        <v/>
      </c>
      <c r="H64" s="23">
        <f>((H61+H62)+H63)</f>
        <v/>
      </c>
      <c r="I64" s="23">
        <f>((I61+I62)+I63)</f>
        <v/>
      </c>
      <c r="J64" s="23">
        <f>((J61+J62)+J63)</f>
        <v/>
      </c>
      <c r="K64" s="23">
        <f>((K61+K62)+K63)</f>
        <v/>
      </c>
      <c r="L64" s="23">
        <f>((L61+L62)+L63)</f>
        <v/>
      </c>
      <c r="M64" s="23">
        <f>((M61+M62)+M63)</f>
        <v/>
      </c>
      <c r="N64" s="23">
        <f>((N61+N62)+N63)</f>
        <v/>
      </c>
      <c r="O64" s="23">
        <f>((O61+O62)+O63)</f>
        <v/>
      </c>
      <c r="P64" s="23">
        <f>((P61+P62)+P63)</f>
        <v/>
      </c>
      <c r="Q64" s="23">
        <f>((Q61+Q62)+Q63)</f>
        <v/>
      </c>
      <c r="R64" s="23">
        <f>((R61+R62)+R63)</f>
        <v/>
      </c>
      <c r="S64" s="23">
        <f>((S61+S62)+S63)</f>
        <v/>
      </c>
      <c r="T64" s="23">
        <f>((T61+T62)+T63)</f>
        <v/>
      </c>
      <c r="U64" s="23">
        <f>((U61+U62)+U63)</f>
        <v/>
      </c>
      <c r="V64" s="23">
        <f>((V61+V62)+V63)</f>
        <v/>
      </c>
      <c r="W64" s="23">
        <f>((W61+W62)+W63)</f>
        <v/>
      </c>
      <c r="X64" s="23">
        <f>((X61+X62)+X63)</f>
        <v/>
      </c>
      <c r="Y64" s="23">
        <f>((Y61+Y62)+Y63)</f>
        <v/>
      </c>
      <c r="Z64" s="23">
        <f>((Z61+Z62)+Z63)</f>
        <v/>
      </c>
      <c r="AA64" s="23">
        <f>((AA61+AA62)+AA63)</f>
        <v/>
      </c>
      <c r="AB64" s="23">
        <f>((AB61+AB62)+AB63)</f>
        <v/>
      </c>
      <c r="AC64" s="23">
        <f>((AC61+AC62)+AC63)</f>
        <v/>
      </c>
      <c r="AD64" s="23">
        <f>((AD61+AD62)+AD63)</f>
        <v/>
      </c>
      <c r="AE64" s="23">
        <f>((AE61+AE62)+AE63)</f>
        <v/>
      </c>
      <c r="AF64" s="23">
        <f>((AF61+AF62)+AF63)</f>
        <v/>
      </c>
      <c r="AG64" s="23">
        <f>((AG61+AG62)+AG63)</f>
        <v/>
      </c>
      <c r="AH64" s="23">
        <f>((AH61+AH62)+AH63)</f>
        <v/>
      </c>
      <c r="AI64" s="23">
        <f>((AI61+AI62)+AI63)</f>
        <v/>
      </c>
      <c r="AJ64" s="23">
        <f>((AJ61+AJ62)+AJ63)</f>
        <v/>
      </c>
      <c r="AK64" s="23">
        <f>((AK61+AK62)+AK63)</f>
        <v/>
      </c>
      <c r="AL64" s="23">
        <f>((AL61+AL62)+AL63)</f>
        <v/>
      </c>
    </row>
    <row r="65">
      <c r="A65" s="6" t="inlineStr">
        <is>
          <t>Affiliate revenue</t>
        </is>
      </c>
      <c r="B65" s="2" t="inlineStr">
        <is>
          <t>rev_aff</t>
        </is>
      </c>
      <c r="C65" s="14">
        <f>(C45*Assumptions!$G$59)</f>
        <v/>
      </c>
      <c r="D65" s="14">
        <f>(D45*Assumptions!$G$59)</f>
        <v/>
      </c>
      <c r="E65" s="14">
        <f>(E45*Assumptions!$G$59)</f>
        <v/>
      </c>
      <c r="F65" s="14">
        <f>(F45*Assumptions!$G$59)</f>
        <v/>
      </c>
      <c r="G65" s="14">
        <f>(G45*Assumptions!$G$59)</f>
        <v/>
      </c>
      <c r="H65" s="14">
        <f>(H45*Assumptions!$G$59)</f>
        <v/>
      </c>
      <c r="I65" s="14">
        <f>(I45*Assumptions!$G$59)</f>
        <v/>
      </c>
      <c r="J65" s="14">
        <f>(J45*Assumptions!$G$59)</f>
        <v/>
      </c>
      <c r="K65" s="14">
        <f>(K45*Assumptions!$G$59)</f>
        <v/>
      </c>
      <c r="L65" s="14">
        <f>(L45*Assumptions!$G$59)</f>
        <v/>
      </c>
      <c r="M65" s="14">
        <f>(M45*Assumptions!$G$59)</f>
        <v/>
      </c>
      <c r="N65" s="14">
        <f>(N45*Assumptions!$G$59)</f>
        <v/>
      </c>
      <c r="O65" s="14">
        <f>(O45*Assumptions!$G$59)</f>
        <v/>
      </c>
      <c r="P65" s="14">
        <f>(P45*Assumptions!$G$59)</f>
        <v/>
      </c>
      <c r="Q65" s="14">
        <f>(Q45*Assumptions!$G$59)</f>
        <v/>
      </c>
      <c r="R65" s="14">
        <f>(R45*Assumptions!$G$59)</f>
        <v/>
      </c>
      <c r="S65" s="14">
        <f>(S45*Assumptions!$G$59)</f>
        <v/>
      </c>
      <c r="T65" s="14">
        <f>(T45*Assumptions!$G$59)</f>
        <v/>
      </c>
      <c r="U65" s="14">
        <f>(U45*Assumptions!$G$59)</f>
        <v/>
      </c>
      <c r="V65" s="14">
        <f>(V45*Assumptions!$G$59)</f>
        <v/>
      </c>
      <c r="W65" s="14">
        <f>(W45*Assumptions!$G$59)</f>
        <v/>
      </c>
      <c r="X65" s="14">
        <f>(X45*Assumptions!$G$59)</f>
        <v/>
      </c>
      <c r="Y65" s="14">
        <f>(Y45*Assumptions!$G$59)</f>
        <v/>
      </c>
      <c r="Z65" s="14">
        <f>(Z45*Assumptions!$G$59)</f>
        <v/>
      </c>
      <c r="AA65" s="14">
        <f>(AA45*Assumptions!$G$59)</f>
        <v/>
      </c>
      <c r="AB65" s="14">
        <f>(AB45*Assumptions!$G$59)</f>
        <v/>
      </c>
      <c r="AC65" s="14">
        <f>(AC45*Assumptions!$G$59)</f>
        <v/>
      </c>
      <c r="AD65" s="14">
        <f>(AD45*Assumptions!$G$59)</f>
        <v/>
      </c>
      <c r="AE65" s="14">
        <f>(AE45*Assumptions!$G$59)</f>
        <v/>
      </c>
      <c r="AF65" s="14">
        <f>(AF45*Assumptions!$G$59)</f>
        <v/>
      </c>
      <c r="AG65" s="14">
        <f>(AG45*Assumptions!$G$59)</f>
        <v/>
      </c>
      <c r="AH65" s="14">
        <f>(AH45*Assumptions!$G$59)</f>
        <v/>
      </c>
      <c r="AI65" s="14">
        <f>(AI45*Assumptions!$G$59)</f>
        <v/>
      </c>
      <c r="AJ65" s="14">
        <f>(AJ45*Assumptions!$G$59)</f>
        <v/>
      </c>
      <c r="AK65" s="14">
        <f>(AK45*Assumptions!$G$59)</f>
        <v/>
      </c>
      <c r="AL65" s="14">
        <f>(AL45*Assumptions!$G$59)</f>
        <v/>
      </c>
    </row>
    <row r="66">
      <c r="A66" s="6" t="inlineStr">
        <is>
          <t>B2B / Edu licence revenue</t>
        </is>
      </c>
      <c r="B66" s="2" t="inlineStr">
        <is>
          <t>rev_b2b</t>
        </is>
      </c>
      <c r="C66" s="14">
        <f>(((C46*Assumptions!$G$64)/12)+((C47*Assumptions!$G$67)/12))</f>
        <v/>
      </c>
      <c r="D66" s="14">
        <f>(((D46*Assumptions!$G$64)/12)+((D47*Assumptions!$G$67)/12))</f>
        <v/>
      </c>
      <c r="E66" s="14">
        <f>(((E46*Assumptions!$G$64)/12)+((E47*Assumptions!$G$67)/12))</f>
        <v/>
      </c>
      <c r="F66" s="14">
        <f>(((F46*Assumptions!$G$64)/12)+((F47*Assumptions!$G$67)/12))</f>
        <v/>
      </c>
      <c r="G66" s="14">
        <f>(((G46*Assumptions!$G$64)/12)+((G47*Assumptions!$G$67)/12))</f>
        <v/>
      </c>
      <c r="H66" s="14">
        <f>(((H46*Assumptions!$G$64)/12)+((H47*Assumptions!$G$67)/12))</f>
        <v/>
      </c>
      <c r="I66" s="14">
        <f>(((I46*Assumptions!$G$64)/12)+((I47*Assumptions!$G$67)/12))</f>
        <v/>
      </c>
      <c r="J66" s="14">
        <f>(((J46*Assumptions!$G$64)/12)+((J47*Assumptions!$G$67)/12))</f>
        <v/>
      </c>
      <c r="K66" s="14">
        <f>(((K46*Assumptions!$G$64)/12)+((K47*Assumptions!$G$67)/12))</f>
        <v/>
      </c>
      <c r="L66" s="14">
        <f>(((L46*Assumptions!$G$64)/12)+((L47*Assumptions!$G$67)/12))</f>
        <v/>
      </c>
      <c r="M66" s="14">
        <f>(((M46*Assumptions!$G$64)/12)+((M47*Assumptions!$G$67)/12))</f>
        <v/>
      </c>
      <c r="N66" s="14">
        <f>(((N46*Assumptions!$G$64)/12)+((N47*Assumptions!$G$67)/12))</f>
        <v/>
      </c>
      <c r="O66" s="14">
        <f>(((O46*Assumptions!$G$64)/12)+((O47*Assumptions!$G$67)/12))</f>
        <v/>
      </c>
      <c r="P66" s="14">
        <f>(((P46*Assumptions!$G$64)/12)+((P47*Assumptions!$G$67)/12))</f>
        <v/>
      </c>
      <c r="Q66" s="14">
        <f>(((Q46*Assumptions!$G$64)/12)+((Q47*Assumptions!$G$67)/12))</f>
        <v/>
      </c>
      <c r="R66" s="14">
        <f>(((R46*Assumptions!$G$64)/12)+((R47*Assumptions!$G$67)/12))</f>
        <v/>
      </c>
      <c r="S66" s="14">
        <f>(((S46*Assumptions!$G$64)/12)+((S47*Assumptions!$G$67)/12))</f>
        <v/>
      </c>
      <c r="T66" s="14">
        <f>(((T46*Assumptions!$G$64)/12)+((T47*Assumptions!$G$67)/12))</f>
        <v/>
      </c>
      <c r="U66" s="14">
        <f>(((U46*Assumptions!$G$64)/12)+((U47*Assumptions!$G$67)/12))</f>
        <v/>
      </c>
      <c r="V66" s="14">
        <f>(((V46*Assumptions!$G$64)/12)+((V47*Assumptions!$G$67)/12))</f>
        <v/>
      </c>
      <c r="W66" s="14">
        <f>(((W46*Assumptions!$G$64)/12)+((W47*Assumptions!$G$67)/12))</f>
        <v/>
      </c>
      <c r="X66" s="14">
        <f>(((X46*Assumptions!$G$64)/12)+((X47*Assumptions!$G$67)/12))</f>
        <v/>
      </c>
      <c r="Y66" s="14">
        <f>(((Y46*Assumptions!$G$64)/12)+((Y47*Assumptions!$G$67)/12))</f>
        <v/>
      </c>
      <c r="Z66" s="14">
        <f>(((Z46*Assumptions!$G$64)/12)+((Z47*Assumptions!$G$67)/12))</f>
        <v/>
      </c>
      <c r="AA66" s="14">
        <f>(((AA46*Assumptions!$G$64)/12)+((AA47*Assumptions!$G$67)/12))</f>
        <v/>
      </c>
      <c r="AB66" s="14">
        <f>(((AB46*Assumptions!$G$64)/12)+((AB47*Assumptions!$G$67)/12))</f>
        <v/>
      </c>
      <c r="AC66" s="14">
        <f>(((AC46*Assumptions!$G$64)/12)+((AC47*Assumptions!$G$67)/12))</f>
        <v/>
      </c>
      <c r="AD66" s="14">
        <f>(((AD46*Assumptions!$G$64)/12)+((AD47*Assumptions!$G$67)/12))</f>
        <v/>
      </c>
      <c r="AE66" s="14">
        <f>(((AE46*Assumptions!$G$64)/12)+((AE47*Assumptions!$G$67)/12))</f>
        <v/>
      </c>
      <c r="AF66" s="14">
        <f>(((AF46*Assumptions!$G$64)/12)+((AF47*Assumptions!$G$67)/12))</f>
        <v/>
      </c>
      <c r="AG66" s="14">
        <f>(((AG46*Assumptions!$G$64)/12)+((AG47*Assumptions!$G$67)/12))</f>
        <v/>
      </c>
      <c r="AH66" s="14">
        <f>(((AH46*Assumptions!$G$64)/12)+((AH47*Assumptions!$G$67)/12))</f>
        <v/>
      </c>
      <c r="AI66" s="14">
        <f>(((AI46*Assumptions!$G$64)/12)+((AI47*Assumptions!$G$67)/12))</f>
        <v/>
      </c>
      <c r="AJ66" s="14">
        <f>(((AJ46*Assumptions!$G$64)/12)+((AJ47*Assumptions!$G$67)/12))</f>
        <v/>
      </c>
      <c r="AK66" s="14">
        <f>(((AK46*Assumptions!$G$64)/12)+((AK47*Assumptions!$G$67)/12))</f>
        <v/>
      </c>
      <c r="AL66" s="14">
        <f>(((AL46*Assumptions!$G$64)/12)+((AL47*Assumptions!$G$67)/12))</f>
        <v/>
      </c>
    </row>
    <row r="67">
      <c r="A67" s="21" t="inlineStr">
        <is>
          <t>TOTAL REVENUE</t>
        </is>
      </c>
      <c r="B67" s="2" t="inlineStr">
        <is>
          <t>rev_total</t>
        </is>
      </c>
      <c r="C67" s="23">
        <f>(((C60+C64)+C65)+C66)</f>
        <v/>
      </c>
      <c r="D67" s="23">
        <f>(((D60+D64)+D65)+D66)</f>
        <v/>
      </c>
      <c r="E67" s="23">
        <f>(((E60+E64)+E65)+E66)</f>
        <v/>
      </c>
      <c r="F67" s="23">
        <f>(((F60+F64)+F65)+F66)</f>
        <v/>
      </c>
      <c r="G67" s="23">
        <f>(((G60+G64)+G65)+G66)</f>
        <v/>
      </c>
      <c r="H67" s="23">
        <f>(((H60+H64)+H65)+H66)</f>
        <v/>
      </c>
      <c r="I67" s="23">
        <f>(((I60+I64)+I65)+I66)</f>
        <v/>
      </c>
      <c r="J67" s="23">
        <f>(((J60+J64)+J65)+J66)</f>
        <v/>
      </c>
      <c r="K67" s="23">
        <f>(((K60+K64)+K65)+K66)</f>
        <v/>
      </c>
      <c r="L67" s="23">
        <f>(((L60+L64)+L65)+L66)</f>
        <v/>
      </c>
      <c r="M67" s="23">
        <f>(((M60+M64)+M65)+M66)</f>
        <v/>
      </c>
      <c r="N67" s="23">
        <f>(((N60+N64)+N65)+N66)</f>
        <v/>
      </c>
      <c r="O67" s="23">
        <f>(((O60+O64)+O65)+O66)</f>
        <v/>
      </c>
      <c r="P67" s="23">
        <f>(((P60+P64)+P65)+P66)</f>
        <v/>
      </c>
      <c r="Q67" s="23">
        <f>(((Q60+Q64)+Q65)+Q66)</f>
        <v/>
      </c>
      <c r="R67" s="23">
        <f>(((R60+R64)+R65)+R66)</f>
        <v/>
      </c>
      <c r="S67" s="23">
        <f>(((S60+S64)+S65)+S66)</f>
        <v/>
      </c>
      <c r="T67" s="23">
        <f>(((T60+T64)+T65)+T66)</f>
        <v/>
      </c>
      <c r="U67" s="23">
        <f>(((U60+U64)+U65)+U66)</f>
        <v/>
      </c>
      <c r="V67" s="23">
        <f>(((V60+V64)+V65)+V66)</f>
        <v/>
      </c>
      <c r="W67" s="23">
        <f>(((W60+W64)+W65)+W66)</f>
        <v/>
      </c>
      <c r="X67" s="23">
        <f>(((X60+X64)+X65)+X66)</f>
        <v/>
      </c>
      <c r="Y67" s="23">
        <f>(((Y60+Y64)+Y65)+Y66)</f>
        <v/>
      </c>
      <c r="Z67" s="23">
        <f>(((Z60+Z64)+Z65)+Z66)</f>
        <v/>
      </c>
      <c r="AA67" s="23">
        <f>(((AA60+AA64)+AA65)+AA66)</f>
        <v/>
      </c>
      <c r="AB67" s="23">
        <f>(((AB60+AB64)+AB65)+AB66)</f>
        <v/>
      </c>
      <c r="AC67" s="23">
        <f>(((AC60+AC64)+AC65)+AC66)</f>
        <v/>
      </c>
      <c r="AD67" s="23">
        <f>(((AD60+AD64)+AD65)+AD66)</f>
        <v/>
      </c>
      <c r="AE67" s="23">
        <f>(((AE60+AE64)+AE65)+AE66)</f>
        <v/>
      </c>
      <c r="AF67" s="23">
        <f>(((AF60+AF64)+AF65)+AF66)</f>
        <v/>
      </c>
      <c r="AG67" s="23">
        <f>(((AG60+AG64)+AG65)+AG66)</f>
        <v/>
      </c>
      <c r="AH67" s="23">
        <f>(((AH60+AH64)+AH65)+AH66)</f>
        <v/>
      </c>
      <c r="AI67" s="23">
        <f>(((AI60+AI64)+AI65)+AI66)</f>
        <v/>
      </c>
      <c r="AJ67" s="23">
        <f>(((AJ60+AJ64)+AJ65)+AJ66)</f>
        <v/>
      </c>
      <c r="AK67" s="23">
        <f>(((AK60+AK64)+AK65)+AK66)</f>
        <v/>
      </c>
      <c r="AL67" s="23">
        <f>(((AL60+AL64)+AL65)+AL66)</f>
        <v/>
      </c>
    </row>
    <row r="69">
      <c r="A69" s="4" t="inlineStr">
        <is>
          <t>COST OF REVENUE (COGS)</t>
        </is>
      </c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</row>
    <row r="70">
      <c r="A70" s="6" t="inlineStr">
        <is>
          <t>Data licensing (beta, or scale phase above MAU threshold)</t>
        </is>
      </c>
      <c r="B70" s="2" t="inlineStr">
        <is>
          <t>cogs_data</t>
        </is>
      </c>
      <c r="C70" s="14">
        <f>IF((C36&gt;=Assumptions!$G$72),Assumptions!$G$71,Assumptions!$G$70)</f>
        <v/>
      </c>
      <c r="D70" s="14">
        <f>IF((D36&gt;=Assumptions!$G$72),Assumptions!$G$71,Assumptions!$G$70)</f>
        <v/>
      </c>
      <c r="E70" s="14">
        <f>IF((E36&gt;=Assumptions!$G$72),Assumptions!$G$71,Assumptions!$G$70)</f>
        <v/>
      </c>
      <c r="F70" s="14">
        <f>IF((F36&gt;=Assumptions!$G$72),Assumptions!$G$71,Assumptions!$G$70)</f>
        <v/>
      </c>
      <c r="G70" s="14">
        <f>IF((G36&gt;=Assumptions!$G$72),Assumptions!$G$71,Assumptions!$G$70)</f>
        <v/>
      </c>
      <c r="H70" s="14">
        <f>IF((H36&gt;=Assumptions!$G$72),Assumptions!$G$71,Assumptions!$G$70)</f>
        <v/>
      </c>
      <c r="I70" s="14">
        <f>IF((I36&gt;=Assumptions!$G$72),Assumptions!$G$71,Assumptions!$G$70)</f>
        <v/>
      </c>
      <c r="J70" s="14">
        <f>IF((J36&gt;=Assumptions!$G$72),Assumptions!$G$71,Assumptions!$G$70)</f>
        <v/>
      </c>
      <c r="K70" s="14">
        <f>IF((K36&gt;=Assumptions!$G$72),Assumptions!$G$71,Assumptions!$G$70)</f>
        <v/>
      </c>
      <c r="L70" s="14">
        <f>IF((L36&gt;=Assumptions!$G$72),Assumptions!$G$71,Assumptions!$G$70)</f>
        <v/>
      </c>
      <c r="M70" s="14">
        <f>IF((M36&gt;=Assumptions!$G$72),Assumptions!$G$71,Assumptions!$G$70)</f>
        <v/>
      </c>
      <c r="N70" s="14">
        <f>IF((N36&gt;=Assumptions!$G$72),Assumptions!$G$71,Assumptions!$G$70)</f>
        <v/>
      </c>
      <c r="O70" s="14">
        <f>IF((O36&gt;=Assumptions!$G$72),Assumptions!$G$71,Assumptions!$G$70)</f>
        <v/>
      </c>
      <c r="P70" s="14">
        <f>IF((P36&gt;=Assumptions!$G$72),Assumptions!$G$71,Assumptions!$G$70)</f>
        <v/>
      </c>
      <c r="Q70" s="14">
        <f>IF((Q36&gt;=Assumptions!$G$72),Assumptions!$G$71,Assumptions!$G$70)</f>
        <v/>
      </c>
      <c r="R70" s="14">
        <f>IF((R36&gt;=Assumptions!$G$72),Assumptions!$G$71,Assumptions!$G$70)</f>
        <v/>
      </c>
      <c r="S70" s="14">
        <f>IF((S36&gt;=Assumptions!$G$72),Assumptions!$G$71,Assumptions!$G$70)</f>
        <v/>
      </c>
      <c r="T70" s="14">
        <f>IF((T36&gt;=Assumptions!$G$72),Assumptions!$G$71,Assumptions!$G$70)</f>
        <v/>
      </c>
      <c r="U70" s="14">
        <f>IF((U36&gt;=Assumptions!$G$72),Assumptions!$G$71,Assumptions!$G$70)</f>
        <v/>
      </c>
      <c r="V70" s="14">
        <f>IF((V36&gt;=Assumptions!$G$72),Assumptions!$G$71,Assumptions!$G$70)</f>
        <v/>
      </c>
      <c r="W70" s="14">
        <f>IF((W36&gt;=Assumptions!$G$72),Assumptions!$G$71,Assumptions!$G$70)</f>
        <v/>
      </c>
      <c r="X70" s="14">
        <f>IF((X36&gt;=Assumptions!$G$72),Assumptions!$G$71,Assumptions!$G$70)</f>
        <v/>
      </c>
      <c r="Y70" s="14">
        <f>IF((Y36&gt;=Assumptions!$G$72),Assumptions!$G$71,Assumptions!$G$70)</f>
        <v/>
      </c>
      <c r="Z70" s="14">
        <f>IF((Z36&gt;=Assumptions!$G$72),Assumptions!$G$71,Assumptions!$G$70)</f>
        <v/>
      </c>
      <c r="AA70" s="14">
        <f>IF((AA36&gt;=Assumptions!$G$72),Assumptions!$G$71,Assumptions!$G$70)</f>
        <v/>
      </c>
      <c r="AB70" s="14">
        <f>IF((AB36&gt;=Assumptions!$G$72),Assumptions!$G$71,Assumptions!$G$70)</f>
        <v/>
      </c>
      <c r="AC70" s="14">
        <f>IF((AC36&gt;=Assumptions!$G$72),Assumptions!$G$71,Assumptions!$G$70)</f>
        <v/>
      </c>
      <c r="AD70" s="14">
        <f>IF((AD36&gt;=Assumptions!$G$72),Assumptions!$G$71,Assumptions!$G$70)</f>
        <v/>
      </c>
      <c r="AE70" s="14">
        <f>IF((AE36&gt;=Assumptions!$G$72),Assumptions!$G$71,Assumptions!$G$70)</f>
        <v/>
      </c>
      <c r="AF70" s="14">
        <f>IF((AF36&gt;=Assumptions!$G$72),Assumptions!$G$71,Assumptions!$G$70)</f>
        <v/>
      </c>
      <c r="AG70" s="14">
        <f>IF((AG36&gt;=Assumptions!$G$72),Assumptions!$G$71,Assumptions!$G$70)</f>
        <v/>
      </c>
      <c r="AH70" s="14">
        <f>IF((AH36&gt;=Assumptions!$G$72),Assumptions!$G$71,Assumptions!$G$70)</f>
        <v/>
      </c>
      <c r="AI70" s="14">
        <f>IF((AI36&gt;=Assumptions!$G$72),Assumptions!$G$71,Assumptions!$G$70)</f>
        <v/>
      </c>
      <c r="AJ70" s="14">
        <f>IF((AJ36&gt;=Assumptions!$G$72),Assumptions!$G$71,Assumptions!$G$70)</f>
        <v/>
      </c>
      <c r="AK70" s="14">
        <f>IF((AK36&gt;=Assumptions!$G$72),Assumptions!$G$71,Assumptions!$G$70)</f>
        <v/>
      </c>
      <c r="AL70" s="14">
        <f>IF((AL36&gt;=Assumptions!$G$72),Assumptions!$G$71,Assumptions!$G$70)</f>
        <v/>
      </c>
    </row>
    <row r="71">
      <c r="A71" s="6" t="inlineStr">
        <is>
          <t>Plaid / aggregation</t>
        </is>
      </c>
      <c r="B71" s="2" t="inlineStr">
        <is>
          <t>cogs_plaid</t>
        </is>
      </c>
      <c r="C71" s="14">
        <f>(((C49*Assumptions!$G$75)+(C50*Assumptions!$G$78))+(C48*Assumptions!$G$79))</f>
        <v/>
      </c>
      <c r="D71" s="14">
        <f>(((D49*Assumptions!$G$75)+(D50*Assumptions!$G$78))+(D48*Assumptions!$G$79))</f>
        <v/>
      </c>
      <c r="E71" s="14">
        <f>(((E49*Assumptions!$G$75)+(E50*Assumptions!$G$78))+(E48*Assumptions!$G$79))</f>
        <v/>
      </c>
      <c r="F71" s="14">
        <f>(((F49*Assumptions!$G$75)+(F50*Assumptions!$G$78))+(F48*Assumptions!$G$79))</f>
        <v/>
      </c>
      <c r="G71" s="14">
        <f>(((G49*Assumptions!$G$75)+(G50*Assumptions!$G$78))+(G48*Assumptions!$G$79))</f>
        <v/>
      </c>
      <c r="H71" s="14">
        <f>(((H49*Assumptions!$G$75)+(H50*Assumptions!$G$78))+(H48*Assumptions!$G$79))</f>
        <v/>
      </c>
      <c r="I71" s="14">
        <f>(((I49*Assumptions!$G$75)+(I50*Assumptions!$G$78))+(I48*Assumptions!$G$79))</f>
        <v/>
      </c>
      <c r="J71" s="14">
        <f>(((J49*Assumptions!$G$75)+(J50*Assumptions!$G$78))+(J48*Assumptions!$G$79))</f>
        <v/>
      </c>
      <c r="K71" s="14">
        <f>(((K49*Assumptions!$G$75)+(K50*Assumptions!$G$78))+(K48*Assumptions!$G$79))</f>
        <v/>
      </c>
      <c r="L71" s="14">
        <f>(((L49*Assumptions!$G$75)+(L50*Assumptions!$G$78))+(L48*Assumptions!$G$79))</f>
        <v/>
      </c>
      <c r="M71" s="14">
        <f>(((M49*Assumptions!$G$75)+(M50*Assumptions!$G$78))+(M48*Assumptions!$G$79))</f>
        <v/>
      </c>
      <c r="N71" s="14">
        <f>(((N49*Assumptions!$G$75)+(N50*Assumptions!$G$78))+(N48*Assumptions!$G$79))</f>
        <v/>
      </c>
      <c r="O71" s="14">
        <f>(((O49*Assumptions!$G$75)+(O50*Assumptions!$G$78))+(O48*Assumptions!$G$79))</f>
        <v/>
      </c>
      <c r="P71" s="14">
        <f>(((P49*Assumptions!$G$75)+(P50*Assumptions!$G$78))+(P48*Assumptions!$G$79))</f>
        <v/>
      </c>
      <c r="Q71" s="14">
        <f>(((Q49*Assumptions!$G$75)+(Q50*Assumptions!$G$78))+(Q48*Assumptions!$G$79))</f>
        <v/>
      </c>
      <c r="R71" s="14">
        <f>(((R49*Assumptions!$G$75)+(R50*Assumptions!$G$78))+(R48*Assumptions!$G$79))</f>
        <v/>
      </c>
      <c r="S71" s="14">
        <f>(((S49*Assumptions!$G$75)+(S50*Assumptions!$G$78))+(S48*Assumptions!$G$79))</f>
        <v/>
      </c>
      <c r="T71" s="14">
        <f>(((T49*Assumptions!$G$75)+(T50*Assumptions!$G$78))+(T48*Assumptions!$G$79))</f>
        <v/>
      </c>
      <c r="U71" s="14">
        <f>(((U49*Assumptions!$G$75)+(U50*Assumptions!$G$78))+(U48*Assumptions!$G$79))</f>
        <v/>
      </c>
      <c r="V71" s="14">
        <f>(((V49*Assumptions!$G$75)+(V50*Assumptions!$G$78))+(V48*Assumptions!$G$79))</f>
        <v/>
      </c>
      <c r="W71" s="14">
        <f>(((W49*Assumptions!$G$75)+(W50*Assumptions!$G$78))+(W48*Assumptions!$G$79))</f>
        <v/>
      </c>
      <c r="X71" s="14">
        <f>(((X49*Assumptions!$G$75)+(X50*Assumptions!$G$78))+(X48*Assumptions!$G$79))</f>
        <v/>
      </c>
      <c r="Y71" s="14">
        <f>(((Y49*Assumptions!$G$75)+(Y50*Assumptions!$G$78))+(Y48*Assumptions!$G$79))</f>
        <v/>
      </c>
      <c r="Z71" s="14">
        <f>(((Z49*Assumptions!$G$75)+(Z50*Assumptions!$G$78))+(Z48*Assumptions!$G$79))</f>
        <v/>
      </c>
      <c r="AA71" s="14">
        <f>(((AA49*Assumptions!$G$75)+(AA50*Assumptions!$G$78))+(AA48*Assumptions!$G$79))</f>
        <v/>
      </c>
      <c r="AB71" s="14">
        <f>(((AB49*Assumptions!$G$75)+(AB50*Assumptions!$G$78))+(AB48*Assumptions!$G$79))</f>
        <v/>
      </c>
      <c r="AC71" s="14">
        <f>(((AC49*Assumptions!$G$75)+(AC50*Assumptions!$G$78))+(AC48*Assumptions!$G$79))</f>
        <v/>
      </c>
      <c r="AD71" s="14">
        <f>(((AD49*Assumptions!$G$75)+(AD50*Assumptions!$G$78))+(AD48*Assumptions!$G$79))</f>
        <v/>
      </c>
      <c r="AE71" s="14">
        <f>(((AE49*Assumptions!$G$75)+(AE50*Assumptions!$G$78))+(AE48*Assumptions!$G$79))</f>
        <v/>
      </c>
      <c r="AF71" s="14">
        <f>(((AF49*Assumptions!$G$75)+(AF50*Assumptions!$G$78))+(AF48*Assumptions!$G$79))</f>
        <v/>
      </c>
      <c r="AG71" s="14">
        <f>(((AG49*Assumptions!$G$75)+(AG50*Assumptions!$G$78))+(AG48*Assumptions!$G$79))</f>
        <v/>
      </c>
      <c r="AH71" s="14">
        <f>(((AH49*Assumptions!$G$75)+(AH50*Assumptions!$G$78))+(AH48*Assumptions!$G$79))</f>
        <v/>
      </c>
      <c r="AI71" s="14">
        <f>(((AI49*Assumptions!$G$75)+(AI50*Assumptions!$G$78))+(AI48*Assumptions!$G$79))</f>
        <v/>
      </c>
      <c r="AJ71" s="14">
        <f>(((AJ49*Assumptions!$G$75)+(AJ50*Assumptions!$G$78))+(AJ48*Assumptions!$G$79))</f>
        <v/>
      </c>
      <c r="AK71" s="14">
        <f>(((AK49*Assumptions!$G$75)+(AK50*Assumptions!$G$78))+(AK48*Assumptions!$G$79))</f>
        <v/>
      </c>
      <c r="AL71" s="14">
        <f>(((AL49*Assumptions!$G$75)+(AL50*Assumptions!$G$78))+(AL48*Assumptions!$G$79))</f>
        <v/>
      </c>
    </row>
    <row r="72">
      <c r="A72" s="6" t="inlineStr">
        <is>
          <t>Hosting / Supabase / Expo</t>
        </is>
      </c>
      <c r="B72" s="2" t="inlineStr">
        <is>
          <t>cogs_hosting</t>
        </is>
      </c>
      <c r="C72" s="14">
        <f>(Assumptions!$G$80+(Assumptions!$G$81*C36))</f>
        <v/>
      </c>
      <c r="D72" s="14">
        <f>(Assumptions!$G$80+(Assumptions!$G$81*D36))</f>
        <v/>
      </c>
      <c r="E72" s="14">
        <f>(Assumptions!$G$80+(Assumptions!$G$81*E36))</f>
        <v/>
      </c>
      <c r="F72" s="14">
        <f>(Assumptions!$G$80+(Assumptions!$G$81*F36))</f>
        <v/>
      </c>
      <c r="G72" s="14">
        <f>(Assumptions!$G$80+(Assumptions!$G$81*G36))</f>
        <v/>
      </c>
      <c r="H72" s="14">
        <f>(Assumptions!$G$80+(Assumptions!$G$81*H36))</f>
        <v/>
      </c>
      <c r="I72" s="14">
        <f>(Assumptions!$G$80+(Assumptions!$G$81*I36))</f>
        <v/>
      </c>
      <c r="J72" s="14">
        <f>(Assumptions!$G$80+(Assumptions!$G$81*J36))</f>
        <v/>
      </c>
      <c r="K72" s="14">
        <f>(Assumptions!$G$80+(Assumptions!$G$81*K36))</f>
        <v/>
      </c>
      <c r="L72" s="14">
        <f>(Assumptions!$G$80+(Assumptions!$G$81*L36))</f>
        <v/>
      </c>
      <c r="M72" s="14">
        <f>(Assumptions!$G$80+(Assumptions!$G$81*M36))</f>
        <v/>
      </c>
      <c r="N72" s="14">
        <f>(Assumptions!$G$80+(Assumptions!$G$81*N36))</f>
        <v/>
      </c>
      <c r="O72" s="14">
        <f>(Assumptions!$G$80+(Assumptions!$G$81*O36))</f>
        <v/>
      </c>
      <c r="P72" s="14">
        <f>(Assumptions!$G$80+(Assumptions!$G$81*P36))</f>
        <v/>
      </c>
      <c r="Q72" s="14">
        <f>(Assumptions!$G$80+(Assumptions!$G$81*Q36))</f>
        <v/>
      </c>
      <c r="R72" s="14">
        <f>(Assumptions!$G$80+(Assumptions!$G$81*R36))</f>
        <v/>
      </c>
      <c r="S72" s="14">
        <f>(Assumptions!$G$80+(Assumptions!$G$81*S36))</f>
        <v/>
      </c>
      <c r="T72" s="14">
        <f>(Assumptions!$G$80+(Assumptions!$G$81*T36))</f>
        <v/>
      </c>
      <c r="U72" s="14">
        <f>(Assumptions!$G$80+(Assumptions!$G$81*U36))</f>
        <v/>
      </c>
      <c r="V72" s="14">
        <f>(Assumptions!$G$80+(Assumptions!$G$81*V36))</f>
        <v/>
      </c>
      <c r="W72" s="14">
        <f>(Assumptions!$G$80+(Assumptions!$G$81*W36))</f>
        <v/>
      </c>
      <c r="X72" s="14">
        <f>(Assumptions!$G$80+(Assumptions!$G$81*X36))</f>
        <v/>
      </c>
      <c r="Y72" s="14">
        <f>(Assumptions!$G$80+(Assumptions!$G$81*Y36))</f>
        <v/>
      </c>
      <c r="Z72" s="14">
        <f>(Assumptions!$G$80+(Assumptions!$G$81*Z36))</f>
        <v/>
      </c>
      <c r="AA72" s="14">
        <f>(Assumptions!$G$80+(Assumptions!$G$81*AA36))</f>
        <v/>
      </c>
      <c r="AB72" s="14">
        <f>(Assumptions!$G$80+(Assumptions!$G$81*AB36))</f>
        <v/>
      </c>
      <c r="AC72" s="14">
        <f>(Assumptions!$G$80+(Assumptions!$G$81*AC36))</f>
        <v/>
      </c>
      <c r="AD72" s="14">
        <f>(Assumptions!$G$80+(Assumptions!$G$81*AD36))</f>
        <v/>
      </c>
      <c r="AE72" s="14">
        <f>(Assumptions!$G$80+(Assumptions!$G$81*AE36))</f>
        <v/>
      </c>
      <c r="AF72" s="14">
        <f>(Assumptions!$G$80+(Assumptions!$G$81*AF36))</f>
        <v/>
      </c>
      <c r="AG72" s="14">
        <f>(Assumptions!$G$80+(Assumptions!$G$81*AG36))</f>
        <v/>
      </c>
      <c r="AH72" s="14">
        <f>(Assumptions!$G$80+(Assumptions!$G$81*AH36))</f>
        <v/>
      </c>
      <c r="AI72" s="14">
        <f>(Assumptions!$G$80+(Assumptions!$G$81*AI36))</f>
        <v/>
      </c>
      <c r="AJ72" s="14">
        <f>(Assumptions!$G$80+(Assumptions!$G$81*AJ36))</f>
        <v/>
      </c>
      <c r="AK72" s="14">
        <f>(Assumptions!$G$80+(Assumptions!$G$81*AK36))</f>
        <v/>
      </c>
      <c r="AL72" s="14">
        <f>(Assumptions!$G$80+(Assumptions!$G$81*AL36))</f>
        <v/>
      </c>
    </row>
    <row r="73">
      <c r="A73" s="6" t="inlineStr">
        <is>
          <t>LLM tutor tokens</t>
        </is>
      </c>
      <c r="B73" s="2" t="inlineStr">
        <is>
          <t>cogs_llm</t>
        </is>
      </c>
      <c r="C73" s="14">
        <f>IF(AND((Assumptions!$G$8=1),(C$2&gt;=Assumptions!$G$82)),((C29*Assumptions!$G$83)+(C35*Assumptions!$G$84)),0)</f>
        <v/>
      </c>
      <c r="D73" s="14">
        <f>IF(AND((Assumptions!$G$8=1),(D$2&gt;=Assumptions!$G$82)),((D29*Assumptions!$G$83)+(D35*Assumptions!$G$84)),0)</f>
        <v/>
      </c>
      <c r="E73" s="14">
        <f>IF(AND((Assumptions!$G$8=1),(E$2&gt;=Assumptions!$G$82)),((E29*Assumptions!$G$83)+(E35*Assumptions!$G$84)),0)</f>
        <v/>
      </c>
      <c r="F73" s="14">
        <f>IF(AND((Assumptions!$G$8=1),(F$2&gt;=Assumptions!$G$82)),((F29*Assumptions!$G$83)+(F35*Assumptions!$G$84)),0)</f>
        <v/>
      </c>
      <c r="G73" s="14">
        <f>IF(AND((Assumptions!$G$8=1),(G$2&gt;=Assumptions!$G$82)),((G29*Assumptions!$G$83)+(G35*Assumptions!$G$84)),0)</f>
        <v/>
      </c>
      <c r="H73" s="14">
        <f>IF(AND((Assumptions!$G$8=1),(H$2&gt;=Assumptions!$G$82)),((H29*Assumptions!$G$83)+(H35*Assumptions!$G$84)),0)</f>
        <v/>
      </c>
      <c r="I73" s="14">
        <f>IF(AND((Assumptions!$G$8=1),(I$2&gt;=Assumptions!$G$82)),((I29*Assumptions!$G$83)+(I35*Assumptions!$G$84)),0)</f>
        <v/>
      </c>
      <c r="J73" s="14">
        <f>IF(AND((Assumptions!$G$8=1),(J$2&gt;=Assumptions!$G$82)),((J29*Assumptions!$G$83)+(J35*Assumptions!$G$84)),0)</f>
        <v/>
      </c>
      <c r="K73" s="14">
        <f>IF(AND((Assumptions!$G$8=1),(K$2&gt;=Assumptions!$G$82)),((K29*Assumptions!$G$83)+(K35*Assumptions!$G$84)),0)</f>
        <v/>
      </c>
      <c r="L73" s="14">
        <f>IF(AND((Assumptions!$G$8=1),(L$2&gt;=Assumptions!$G$82)),((L29*Assumptions!$G$83)+(L35*Assumptions!$G$84)),0)</f>
        <v/>
      </c>
      <c r="M73" s="14">
        <f>IF(AND((Assumptions!$G$8=1),(M$2&gt;=Assumptions!$G$82)),((M29*Assumptions!$G$83)+(M35*Assumptions!$G$84)),0)</f>
        <v/>
      </c>
      <c r="N73" s="14">
        <f>IF(AND((Assumptions!$G$8=1),(N$2&gt;=Assumptions!$G$82)),((N29*Assumptions!$G$83)+(N35*Assumptions!$G$84)),0)</f>
        <v/>
      </c>
      <c r="O73" s="14">
        <f>IF(AND((Assumptions!$G$8=1),(O$2&gt;=Assumptions!$G$82)),((O29*Assumptions!$G$83)+(O35*Assumptions!$G$84)),0)</f>
        <v/>
      </c>
      <c r="P73" s="14">
        <f>IF(AND((Assumptions!$G$8=1),(P$2&gt;=Assumptions!$G$82)),((P29*Assumptions!$G$83)+(P35*Assumptions!$G$84)),0)</f>
        <v/>
      </c>
      <c r="Q73" s="14">
        <f>IF(AND((Assumptions!$G$8=1),(Q$2&gt;=Assumptions!$G$82)),((Q29*Assumptions!$G$83)+(Q35*Assumptions!$G$84)),0)</f>
        <v/>
      </c>
      <c r="R73" s="14">
        <f>IF(AND((Assumptions!$G$8=1),(R$2&gt;=Assumptions!$G$82)),((R29*Assumptions!$G$83)+(R35*Assumptions!$G$84)),0)</f>
        <v/>
      </c>
      <c r="S73" s="14">
        <f>IF(AND((Assumptions!$G$8=1),(S$2&gt;=Assumptions!$G$82)),((S29*Assumptions!$G$83)+(S35*Assumptions!$G$84)),0)</f>
        <v/>
      </c>
      <c r="T73" s="14">
        <f>IF(AND((Assumptions!$G$8=1),(T$2&gt;=Assumptions!$G$82)),((T29*Assumptions!$G$83)+(T35*Assumptions!$G$84)),0)</f>
        <v/>
      </c>
      <c r="U73" s="14">
        <f>IF(AND((Assumptions!$G$8=1),(U$2&gt;=Assumptions!$G$82)),((U29*Assumptions!$G$83)+(U35*Assumptions!$G$84)),0)</f>
        <v/>
      </c>
      <c r="V73" s="14">
        <f>IF(AND((Assumptions!$G$8=1),(V$2&gt;=Assumptions!$G$82)),((V29*Assumptions!$G$83)+(V35*Assumptions!$G$84)),0)</f>
        <v/>
      </c>
      <c r="W73" s="14">
        <f>IF(AND((Assumptions!$G$8=1),(W$2&gt;=Assumptions!$G$82)),((W29*Assumptions!$G$83)+(W35*Assumptions!$G$84)),0)</f>
        <v/>
      </c>
      <c r="X73" s="14">
        <f>IF(AND((Assumptions!$G$8=1),(X$2&gt;=Assumptions!$G$82)),((X29*Assumptions!$G$83)+(X35*Assumptions!$G$84)),0)</f>
        <v/>
      </c>
      <c r="Y73" s="14">
        <f>IF(AND((Assumptions!$G$8=1),(Y$2&gt;=Assumptions!$G$82)),((Y29*Assumptions!$G$83)+(Y35*Assumptions!$G$84)),0)</f>
        <v/>
      </c>
      <c r="Z73" s="14">
        <f>IF(AND((Assumptions!$G$8=1),(Z$2&gt;=Assumptions!$G$82)),((Z29*Assumptions!$G$83)+(Z35*Assumptions!$G$84)),0)</f>
        <v/>
      </c>
      <c r="AA73" s="14">
        <f>IF(AND((Assumptions!$G$8=1),(AA$2&gt;=Assumptions!$G$82)),((AA29*Assumptions!$G$83)+(AA35*Assumptions!$G$84)),0)</f>
        <v/>
      </c>
      <c r="AB73" s="14">
        <f>IF(AND((Assumptions!$G$8=1),(AB$2&gt;=Assumptions!$G$82)),((AB29*Assumptions!$G$83)+(AB35*Assumptions!$G$84)),0)</f>
        <v/>
      </c>
      <c r="AC73" s="14">
        <f>IF(AND((Assumptions!$G$8=1),(AC$2&gt;=Assumptions!$G$82)),((AC29*Assumptions!$G$83)+(AC35*Assumptions!$G$84)),0)</f>
        <v/>
      </c>
      <c r="AD73" s="14">
        <f>IF(AND((Assumptions!$G$8=1),(AD$2&gt;=Assumptions!$G$82)),((AD29*Assumptions!$G$83)+(AD35*Assumptions!$G$84)),0)</f>
        <v/>
      </c>
      <c r="AE73" s="14">
        <f>IF(AND((Assumptions!$G$8=1),(AE$2&gt;=Assumptions!$G$82)),((AE29*Assumptions!$G$83)+(AE35*Assumptions!$G$84)),0)</f>
        <v/>
      </c>
      <c r="AF73" s="14">
        <f>IF(AND((Assumptions!$G$8=1),(AF$2&gt;=Assumptions!$G$82)),((AF29*Assumptions!$G$83)+(AF35*Assumptions!$G$84)),0)</f>
        <v/>
      </c>
      <c r="AG73" s="14">
        <f>IF(AND((Assumptions!$G$8=1),(AG$2&gt;=Assumptions!$G$82)),((AG29*Assumptions!$G$83)+(AG35*Assumptions!$G$84)),0)</f>
        <v/>
      </c>
      <c r="AH73" s="14">
        <f>IF(AND((Assumptions!$G$8=1),(AH$2&gt;=Assumptions!$G$82)),((AH29*Assumptions!$G$83)+(AH35*Assumptions!$G$84)),0)</f>
        <v/>
      </c>
      <c r="AI73" s="14">
        <f>IF(AND((Assumptions!$G$8=1),(AI$2&gt;=Assumptions!$G$82)),((AI29*Assumptions!$G$83)+(AI35*Assumptions!$G$84)),0)</f>
        <v/>
      </c>
      <c r="AJ73" s="14">
        <f>IF(AND((Assumptions!$G$8=1),(AJ$2&gt;=Assumptions!$G$82)),((AJ29*Assumptions!$G$83)+(AJ35*Assumptions!$G$84)),0)</f>
        <v/>
      </c>
      <c r="AK73" s="14">
        <f>IF(AND((Assumptions!$G$8=1),(AK$2&gt;=Assumptions!$G$82)),((AK29*Assumptions!$G$83)+(AK35*Assumptions!$G$84)),0)</f>
        <v/>
      </c>
      <c r="AL73" s="14">
        <f>IF(AND((Assumptions!$G$8=1),(AL$2&gt;=Assumptions!$G$82)),((AL29*Assumptions!$G$83)+(AL35*Assumptions!$G$84)),0)</f>
        <v/>
      </c>
    </row>
    <row r="74">
      <c r="A74" s="6" t="inlineStr">
        <is>
          <t>RevenueCat (1% of MTR above $2.5k)</t>
        </is>
      </c>
      <c r="B74" s="2" t="inlineStr">
        <is>
          <t>cogs_rc</t>
        </is>
      </c>
      <c r="C74" s="14">
        <f>(MAX(0,(C30-Assumptions!$G$85))*Assumptions!$G$86)</f>
        <v/>
      </c>
      <c r="D74" s="14">
        <f>(MAX(0,(D30-Assumptions!$G$85))*Assumptions!$G$86)</f>
        <v/>
      </c>
      <c r="E74" s="14">
        <f>(MAX(0,(E30-Assumptions!$G$85))*Assumptions!$G$86)</f>
        <v/>
      </c>
      <c r="F74" s="14">
        <f>(MAX(0,(F30-Assumptions!$G$85))*Assumptions!$G$86)</f>
        <v/>
      </c>
      <c r="G74" s="14">
        <f>(MAX(0,(G30-Assumptions!$G$85))*Assumptions!$G$86)</f>
        <v/>
      </c>
      <c r="H74" s="14">
        <f>(MAX(0,(H30-Assumptions!$G$85))*Assumptions!$G$86)</f>
        <v/>
      </c>
      <c r="I74" s="14">
        <f>(MAX(0,(I30-Assumptions!$G$85))*Assumptions!$G$86)</f>
        <v/>
      </c>
      <c r="J74" s="14">
        <f>(MAX(0,(J30-Assumptions!$G$85))*Assumptions!$G$86)</f>
        <v/>
      </c>
      <c r="K74" s="14">
        <f>(MAX(0,(K30-Assumptions!$G$85))*Assumptions!$G$86)</f>
        <v/>
      </c>
      <c r="L74" s="14">
        <f>(MAX(0,(L30-Assumptions!$G$85))*Assumptions!$G$86)</f>
        <v/>
      </c>
      <c r="M74" s="14">
        <f>(MAX(0,(M30-Assumptions!$G$85))*Assumptions!$G$86)</f>
        <v/>
      </c>
      <c r="N74" s="14">
        <f>(MAX(0,(N30-Assumptions!$G$85))*Assumptions!$G$86)</f>
        <v/>
      </c>
      <c r="O74" s="14">
        <f>(MAX(0,(O30-Assumptions!$G$85))*Assumptions!$G$86)</f>
        <v/>
      </c>
      <c r="P74" s="14">
        <f>(MAX(0,(P30-Assumptions!$G$85))*Assumptions!$G$86)</f>
        <v/>
      </c>
      <c r="Q74" s="14">
        <f>(MAX(0,(Q30-Assumptions!$G$85))*Assumptions!$G$86)</f>
        <v/>
      </c>
      <c r="R74" s="14">
        <f>(MAX(0,(R30-Assumptions!$G$85))*Assumptions!$G$86)</f>
        <v/>
      </c>
      <c r="S74" s="14">
        <f>(MAX(0,(S30-Assumptions!$G$85))*Assumptions!$G$86)</f>
        <v/>
      </c>
      <c r="T74" s="14">
        <f>(MAX(0,(T30-Assumptions!$G$85))*Assumptions!$G$86)</f>
        <v/>
      </c>
      <c r="U74" s="14">
        <f>(MAX(0,(U30-Assumptions!$G$85))*Assumptions!$G$86)</f>
        <v/>
      </c>
      <c r="V74" s="14">
        <f>(MAX(0,(V30-Assumptions!$G$85))*Assumptions!$G$86)</f>
        <v/>
      </c>
      <c r="W74" s="14">
        <f>(MAX(0,(W30-Assumptions!$G$85))*Assumptions!$G$86)</f>
        <v/>
      </c>
      <c r="X74" s="14">
        <f>(MAX(0,(X30-Assumptions!$G$85))*Assumptions!$G$86)</f>
        <v/>
      </c>
      <c r="Y74" s="14">
        <f>(MAX(0,(Y30-Assumptions!$G$85))*Assumptions!$G$86)</f>
        <v/>
      </c>
      <c r="Z74" s="14">
        <f>(MAX(0,(Z30-Assumptions!$G$85))*Assumptions!$G$86)</f>
        <v/>
      </c>
      <c r="AA74" s="14">
        <f>(MAX(0,(AA30-Assumptions!$G$85))*Assumptions!$G$86)</f>
        <v/>
      </c>
      <c r="AB74" s="14">
        <f>(MAX(0,(AB30-Assumptions!$G$85))*Assumptions!$G$86)</f>
        <v/>
      </c>
      <c r="AC74" s="14">
        <f>(MAX(0,(AC30-Assumptions!$G$85))*Assumptions!$G$86)</f>
        <v/>
      </c>
      <c r="AD74" s="14">
        <f>(MAX(0,(AD30-Assumptions!$G$85))*Assumptions!$G$86)</f>
        <v/>
      </c>
      <c r="AE74" s="14">
        <f>(MAX(0,(AE30-Assumptions!$G$85))*Assumptions!$G$86)</f>
        <v/>
      </c>
      <c r="AF74" s="14">
        <f>(MAX(0,(AF30-Assumptions!$G$85))*Assumptions!$G$86)</f>
        <v/>
      </c>
      <c r="AG74" s="14">
        <f>(MAX(0,(AG30-Assumptions!$G$85))*Assumptions!$G$86)</f>
        <v/>
      </c>
      <c r="AH74" s="14">
        <f>(MAX(0,(AH30-Assumptions!$G$85))*Assumptions!$G$86)</f>
        <v/>
      </c>
      <c r="AI74" s="14">
        <f>(MAX(0,(AI30-Assumptions!$G$85))*Assumptions!$G$86)</f>
        <v/>
      </c>
      <c r="AJ74" s="14">
        <f>(MAX(0,(AJ30-Assumptions!$G$85))*Assumptions!$G$86)</f>
        <v/>
      </c>
      <c r="AK74" s="14">
        <f>(MAX(0,(AK30-Assumptions!$G$85))*Assumptions!$G$86)</f>
        <v/>
      </c>
      <c r="AL74" s="14">
        <f>(MAX(0,(AL30-Assumptions!$G$85))*Assumptions!$G$86)</f>
        <v/>
      </c>
    </row>
    <row r="75">
      <c r="A75" s="6" t="inlineStr">
        <is>
          <t>B2B card processing</t>
        </is>
      </c>
      <c r="B75" s="2" t="inlineStr">
        <is>
          <t>cogs_b2b</t>
        </is>
      </c>
      <c r="C75" s="14">
        <f>(C66*Assumptions!$G$68)</f>
        <v/>
      </c>
      <c r="D75" s="14">
        <f>(D66*Assumptions!$G$68)</f>
        <v/>
      </c>
      <c r="E75" s="14">
        <f>(E66*Assumptions!$G$68)</f>
        <v/>
      </c>
      <c r="F75" s="14">
        <f>(F66*Assumptions!$G$68)</f>
        <v/>
      </c>
      <c r="G75" s="14">
        <f>(G66*Assumptions!$G$68)</f>
        <v/>
      </c>
      <c r="H75" s="14">
        <f>(H66*Assumptions!$G$68)</f>
        <v/>
      </c>
      <c r="I75" s="14">
        <f>(I66*Assumptions!$G$68)</f>
        <v/>
      </c>
      <c r="J75" s="14">
        <f>(J66*Assumptions!$G$68)</f>
        <v/>
      </c>
      <c r="K75" s="14">
        <f>(K66*Assumptions!$G$68)</f>
        <v/>
      </c>
      <c r="L75" s="14">
        <f>(L66*Assumptions!$G$68)</f>
        <v/>
      </c>
      <c r="M75" s="14">
        <f>(M66*Assumptions!$G$68)</f>
        <v/>
      </c>
      <c r="N75" s="14">
        <f>(N66*Assumptions!$G$68)</f>
        <v/>
      </c>
      <c r="O75" s="14">
        <f>(O66*Assumptions!$G$68)</f>
        <v/>
      </c>
      <c r="P75" s="14">
        <f>(P66*Assumptions!$G$68)</f>
        <v/>
      </c>
      <c r="Q75" s="14">
        <f>(Q66*Assumptions!$G$68)</f>
        <v/>
      </c>
      <c r="R75" s="14">
        <f>(R66*Assumptions!$G$68)</f>
        <v/>
      </c>
      <c r="S75" s="14">
        <f>(S66*Assumptions!$G$68)</f>
        <v/>
      </c>
      <c r="T75" s="14">
        <f>(T66*Assumptions!$G$68)</f>
        <v/>
      </c>
      <c r="U75" s="14">
        <f>(U66*Assumptions!$G$68)</f>
        <v/>
      </c>
      <c r="V75" s="14">
        <f>(V66*Assumptions!$G$68)</f>
        <v/>
      </c>
      <c r="W75" s="14">
        <f>(W66*Assumptions!$G$68)</f>
        <v/>
      </c>
      <c r="X75" s="14">
        <f>(X66*Assumptions!$G$68)</f>
        <v/>
      </c>
      <c r="Y75" s="14">
        <f>(Y66*Assumptions!$G$68)</f>
        <v/>
      </c>
      <c r="Z75" s="14">
        <f>(Z66*Assumptions!$G$68)</f>
        <v/>
      </c>
      <c r="AA75" s="14">
        <f>(AA66*Assumptions!$G$68)</f>
        <v/>
      </c>
      <c r="AB75" s="14">
        <f>(AB66*Assumptions!$G$68)</f>
        <v/>
      </c>
      <c r="AC75" s="14">
        <f>(AC66*Assumptions!$G$68)</f>
        <v/>
      </c>
      <c r="AD75" s="14">
        <f>(AD66*Assumptions!$G$68)</f>
        <v/>
      </c>
      <c r="AE75" s="14">
        <f>(AE66*Assumptions!$G$68)</f>
        <v/>
      </c>
      <c r="AF75" s="14">
        <f>(AF66*Assumptions!$G$68)</f>
        <v/>
      </c>
      <c r="AG75" s="14">
        <f>(AG66*Assumptions!$G$68)</f>
        <v/>
      </c>
      <c r="AH75" s="14">
        <f>(AH66*Assumptions!$G$68)</f>
        <v/>
      </c>
      <c r="AI75" s="14">
        <f>(AI66*Assumptions!$G$68)</f>
        <v/>
      </c>
      <c r="AJ75" s="14">
        <f>(AJ66*Assumptions!$G$68)</f>
        <v/>
      </c>
      <c r="AK75" s="14">
        <f>(AK66*Assumptions!$G$68)</f>
        <v/>
      </c>
      <c r="AL75" s="14">
        <f>(AL66*Assumptions!$G$68)</f>
        <v/>
      </c>
    </row>
    <row r="76">
      <c r="A76" s="21" t="inlineStr">
        <is>
          <t>Total COGS</t>
        </is>
      </c>
      <c r="B76" s="2" t="inlineStr">
        <is>
          <t>cogs_total</t>
        </is>
      </c>
      <c r="C76" s="23">
        <f>(((((C70+C71)+C72)+C73)+C74)+C75)</f>
        <v/>
      </c>
      <c r="D76" s="23">
        <f>(((((D70+D71)+D72)+D73)+D74)+D75)</f>
        <v/>
      </c>
      <c r="E76" s="23">
        <f>(((((E70+E71)+E72)+E73)+E74)+E75)</f>
        <v/>
      </c>
      <c r="F76" s="23">
        <f>(((((F70+F71)+F72)+F73)+F74)+F75)</f>
        <v/>
      </c>
      <c r="G76" s="23">
        <f>(((((G70+G71)+G72)+G73)+G74)+G75)</f>
        <v/>
      </c>
      <c r="H76" s="23">
        <f>(((((H70+H71)+H72)+H73)+H74)+H75)</f>
        <v/>
      </c>
      <c r="I76" s="23">
        <f>(((((I70+I71)+I72)+I73)+I74)+I75)</f>
        <v/>
      </c>
      <c r="J76" s="23">
        <f>(((((J70+J71)+J72)+J73)+J74)+J75)</f>
        <v/>
      </c>
      <c r="K76" s="23">
        <f>(((((K70+K71)+K72)+K73)+K74)+K75)</f>
        <v/>
      </c>
      <c r="L76" s="23">
        <f>(((((L70+L71)+L72)+L73)+L74)+L75)</f>
        <v/>
      </c>
      <c r="M76" s="23">
        <f>(((((M70+M71)+M72)+M73)+M74)+M75)</f>
        <v/>
      </c>
      <c r="N76" s="23">
        <f>(((((N70+N71)+N72)+N73)+N74)+N75)</f>
        <v/>
      </c>
      <c r="O76" s="23">
        <f>(((((O70+O71)+O72)+O73)+O74)+O75)</f>
        <v/>
      </c>
      <c r="P76" s="23">
        <f>(((((P70+P71)+P72)+P73)+P74)+P75)</f>
        <v/>
      </c>
      <c r="Q76" s="23">
        <f>(((((Q70+Q71)+Q72)+Q73)+Q74)+Q75)</f>
        <v/>
      </c>
      <c r="R76" s="23">
        <f>(((((R70+R71)+R72)+R73)+R74)+R75)</f>
        <v/>
      </c>
      <c r="S76" s="23">
        <f>(((((S70+S71)+S72)+S73)+S74)+S75)</f>
        <v/>
      </c>
      <c r="T76" s="23">
        <f>(((((T70+T71)+T72)+T73)+T74)+T75)</f>
        <v/>
      </c>
      <c r="U76" s="23">
        <f>(((((U70+U71)+U72)+U73)+U74)+U75)</f>
        <v/>
      </c>
      <c r="V76" s="23">
        <f>(((((V70+V71)+V72)+V73)+V74)+V75)</f>
        <v/>
      </c>
      <c r="W76" s="23">
        <f>(((((W70+W71)+W72)+W73)+W74)+W75)</f>
        <v/>
      </c>
      <c r="X76" s="23">
        <f>(((((X70+X71)+X72)+X73)+X74)+X75)</f>
        <v/>
      </c>
      <c r="Y76" s="23">
        <f>(((((Y70+Y71)+Y72)+Y73)+Y74)+Y75)</f>
        <v/>
      </c>
      <c r="Z76" s="23">
        <f>(((((Z70+Z71)+Z72)+Z73)+Z74)+Z75)</f>
        <v/>
      </c>
      <c r="AA76" s="23">
        <f>(((((AA70+AA71)+AA72)+AA73)+AA74)+AA75)</f>
        <v/>
      </c>
      <c r="AB76" s="23">
        <f>(((((AB70+AB71)+AB72)+AB73)+AB74)+AB75)</f>
        <v/>
      </c>
      <c r="AC76" s="23">
        <f>(((((AC70+AC71)+AC72)+AC73)+AC74)+AC75)</f>
        <v/>
      </c>
      <c r="AD76" s="23">
        <f>(((((AD70+AD71)+AD72)+AD73)+AD74)+AD75)</f>
        <v/>
      </c>
      <c r="AE76" s="23">
        <f>(((((AE70+AE71)+AE72)+AE73)+AE74)+AE75)</f>
        <v/>
      </c>
      <c r="AF76" s="23">
        <f>(((((AF70+AF71)+AF72)+AF73)+AF74)+AF75)</f>
        <v/>
      </c>
      <c r="AG76" s="23">
        <f>(((((AG70+AG71)+AG72)+AG73)+AG74)+AG75)</f>
        <v/>
      </c>
      <c r="AH76" s="23">
        <f>(((((AH70+AH71)+AH72)+AH73)+AH74)+AH75)</f>
        <v/>
      </c>
      <c r="AI76" s="23">
        <f>(((((AI70+AI71)+AI72)+AI73)+AI74)+AI75)</f>
        <v/>
      </c>
      <c r="AJ76" s="23">
        <f>(((((AJ70+AJ71)+AJ72)+AJ73)+AJ74)+AJ75)</f>
        <v/>
      </c>
      <c r="AK76" s="23">
        <f>(((((AK70+AK71)+AK72)+AK73)+AK74)+AK75)</f>
        <v/>
      </c>
      <c r="AL76" s="23">
        <f>(((((AL70+AL71)+AL72)+AL73)+AL74)+AL75)</f>
        <v/>
      </c>
    </row>
    <row r="77">
      <c r="A77" s="21" t="inlineStr">
        <is>
          <t>GROSS PROFIT</t>
        </is>
      </c>
      <c r="B77" s="2" t="inlineStr">
        <is>
          <t>gross_profit</t>
        </is>
      </c>
      <c r="C77" s="23">
        <f>(C67-C76)</f>
        <v/>
      </c>
      <c r="D77" s="23">
        <f>(D67-D76)</f>
        <v/>
      </c>
      <c r="E77" s="23">
        <f>(E67-E76)</f>
        <v/>
      </c>
      <c r="F77" s="23">
        <f>(F67-F76)</f>
        <v/>
      </c>
      <c r="G77" s="23">
        <f>(G67-G76)</f>
        <v/>
      </c>
      <c r="H77" s="23">
        <f>(H67-H76)</f>
        <v/>
      </c>
      <c r="I77" s="23">
        <f>(I67-I76)</f>
        <v/>
      </c>
      <c r="J77" s="23">
        <f>(J67-J76)</f>
        <v/>
      </c>
      <c r="K77" s="23">
        <f>(K67-K76)</f>
        <v/>
      </c>
      <c r="L77" s="23">
        <f>(L67-L76)</f>
        <v/>
      </c>
      <c r="M77" s="23">
        <f>(M67-M76)</f>
        <v/>
      </c>
      <c r="N77" s="23">
        <f>(N67-N76)</f>
        <v/>
      </c>
      <c r="O77" s="23">
        <f>(O67-O76)</f>
        <v/>
      </c>
      <c r="P77" s="23">
        <f>(P67-P76)</f>
        <v/>
      </c>
      <c r="Q77" s="23">
        <f>(Q67-Q76)</f>
        <v/>
      </c>
      <c r="R77" s="23">
        <f>(R67-R76)</f>
        <v/>
      </c>
      <c r="S77" s="23">
        <f>(S67-S76)</f>
        <v/>
      </c>
      <c r="T77" s="23">
        <f>(T67-T76)</f>
        <v/>
      </c>
      <c r="U77" s="23">
        <f>(U67-U76)</f>
        <v/>
      </c>
      <c r="V77" s="23">
        <f>(V67-V76)</f>
        <v/>
      </c>
      <c r="W77" s="23">
        <f>(W67-W76)</f>
        <v/>
      </c>
      <c r="X77" s="23">
        <f>(X67-X76)</f>
        <v/>
      </c>
      <c r="Y77" s="23">
        <f>(Y67-Y76)</f>
        <v/>
      </c>
      <c r="Z77" s="23">
        <f>(Z67-Z76)</f>
        <v/>
      </c>
      <c r="AA77" s="23">
        <f>(AA67-AA76)</f>
        <v/>
      </c>
      <c r="AB77" s="23">
        <f>(AB67-AB76)</f>
        <v/>
      </c>
      <c r="AC77" s="23">
        <f>(AC67-AC76)</f>
        <v/>
      </c>
      <c r="AD77" s="23">
        <f>(AD67-AD76)</f>
        <v/>
      </c>
      <c r="AE77" s="23">
        <f>(AE67-AE76)</f>
        <v/>
      </c>
      <c r="AF77" s="23">
        <f>(AF67-AF76)</f>
        <v/>
      </c>
      <c r="AG77" s="23">
        <f>(AG67-AG76)</f>
        <v/>
      </c>
      <c r="AH77" s="23">
        <f>(AH67-AH76)</f>
        <v/>
      </c>
      <c r="AI77" s="23">
        <f>(AI67-AI76)</f>
        <v/>
      </c>
      <c r="AJ77" s="23">
        <f>(AJ67-AJ76)</f>
        <v/>
      </c>
      <c r="AK77" s="23">
        <f>(AK67-AK76)</f>
        <v/>
      </c>
      <c r="AL77" s="23">
        <f>(AL67-AL76)</f>
        <v/>
      </c>
    </row>
    <row r="78">
      <c r="A78" s="6" t="inlineStr">
        <is>
          <t>Gross margin</t>
        </is>
      </c>
      <c r="B78" s="2" t="inlineStr">
        <is>
          <t>gross_margin</t>
        </is>
      </c>
      <c r="C78" s="16">
        <f>IF(C67=0,0,C77/C67)</f>
        <v/>
      </c>
      <c r="D78" s="16">
        <f>IF(D67=0,0,D77/D67)</f>
        <v/>
      </c>
      <c r="E78" s="16">
        <f>IF(E67=0,0,E77/E67)</f>
        <v/>
      </c>
      <c r="F78" s="16">
        <f>IF(F67=0,0,F77/F67)</f>
        <v/>
      </c>
      <c r="G78" s="16">
        <f>IF(G67=0,0,G77/G67)</f>
        <v/>
      </c>
      <c r="H78" s="16">
        <f>IF(H67=0,0,H77/H67)</f>
        <v/>
      </c>
      <c r="I78" s="16">
        <f>IF(I67=0,0,I77/I67)</f>
        <v/>
      </c>
      <c r="J78" s="16">
        <f>IF(J67=0,0,J77/J67)</f>
        <v/>
      </c>
      <c r="K78" s="16">
        <f>IF(K67=0,0,K77/K67)</f>
        <v/>
      </c>
      <c r="L78" s="16">
        <f>IF(L67=0,0,L77/L67)</f>
        <v/>
      </c>
      <c r="M78" s="16">
        <f>IF(M67=0,0,M77/M67)</f>
        <v/>
      </c>
      <c r="N78" s="16">
        <f>IF(N67=0,0,N77/N67)</f>
        <v/>
      </c>
      <c r="O78" s="16">
        <f>IF(O67=0,0,O77/O67)</f>
        <v/>
      </c>
      <c r="P78" s="16">
        <f>IF(P67=0,0,P77/P67)</f>
        <v/>
      </c>
      <c r="Q78" s="16">
        <f>IF(Q67=0,0,Q77/Q67)</f>
        <v/>
      </c>
      <c r="R78" s="16">
        <f>IF(R67=0,0,R77/R67)</f>
        <v/>
      </c>
      <c r="S78" s="16">
        <f>IF(S67=0,0,S77/S67)</f>
        <v/>
      </c>
      <c r="T78" s="16">
        <f>IF(T67=0,0,T77/T67)</f>
        <v/>
      </c>
      <c r="U78" s="16">
        <f>IF(U67=0,0,U77/U67)</f>
        <v/>
      </c>
      <c r="V78" s="16">
        <f>IF(V67=0,0,V77/V67)</f>
        <v/>
      </c>
      <c r="W78" s="16">
        <f>IF(W67=0,0,W77/W67)</f>
        <v/>
      </c>
      <c r="X78" s="16">
        <f>IF(X67=0,0,X77/X67)</f>
        <v/>
      </c>
      <c r="Y78" s="16">
        <f>IF(Y67=0,0,Y77/Y67)</f>
        <v/>
      </c>
      <c r="Z78" s="16">
        <f>IF(Z67=0,0,Z77/Z67)</f>
        <v/>
      </c>
      <c r="AA78" s="16">
        <f>IF(AA67=0,0,AA77/AA67)</f>
        <v/>
      </c>
      <c r="AB78" s="16">
        <f>IF(AB67=0,0,AB77/AB67)</f>
        <v/>
      </c>
      <c r="AC78" s="16">
        <f>IF(AC67=0,0,AC77/AC67)</f>
        <v/>
      </c>
      <c r="AD78" s="16">
        <f>IF(AD67=0,0,AD77/AD67)</f>
        <v/>
      </c>
      <c r="AE78" s="16">
        <f>IF(AE67=0,0,AE77/AE67)</f>
        <v/>
      </c>
      <c r="AF78" s="16">
        <f>IF(AF67=0,0,AF77/AF67)</f>
        <v/>
      </c>
      <c r="AG78" s="16">
        <f>IF(AG67=0,0,AG77/AG67)</f>
        <v/>
      </c>
      <c r="AH78" s="16">
        <f>IF(AH67=0,0,AH77/AH67)</f>
        <v/>
      </c>
      <c r="AI78" s="16">
        <f>IF(AI67=0,0,AI77/AI67)</f>
        <v/>
      </c>
      <c r="AJ78" s="16">
        <f>IF(AJ67=0,0,AJ77/AJ67)</f>
        <v/>
      </c>
      <c r="AK78" s="16">
        <f>IF(AK67=0,0,AK77/AK67)</f>
        <v/>
      </c>
      <c r="AL78" s="16">
        <f>IF(AL67=0,0,AL77/AL67)</f>
        <v/>
      </c>
    </row>
    <row r="80">
      <c r="A80" s="4" t="inlineStr">
        <is>
          <t>OPERATING EXPENSES</t>
        </is>
      </c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5" t="n"/>
      <c r="AC80" s="5" t="n"/>
      <c r="AD80" s="5" t="n"/>
      <c r="AE80" s="5" t="n"/>
      <c r="AF80" s="5" t="n"/>
      <c r="AG80" s="5" t="n"/>
      <c r="AH80" s="5" t="n"/>
      <c r="AI80" s="5" t="n"/>
      <c r="AJ80" s="5" t="n"/>
      <c r="AK80" s="5" t="n"/>
      <c r="AL80" s="5" t="n"/>
    </row>
    <row r="81">
      <c r="A81" s="6" t="inlineStr">
        <is>
          <t>Founder salary</t>
        </is>
      </c>
      <c r="B81" s="2" t="inlineStr">
        <is>
          <t>opex_founder</t>
        </is>
      </c>
      <c r="C81" s="14">
        <f>(Assumptions!$G$10*Assumptions!$G$88)</f>
        <v/>
      </c>
      <c r="D81" s="14">
        <f>(Assumptions!$G$10*Assumptions!$G$88)</f>
        <v/>
      </c>
      <c r="E81" s="14">
        <f>(Assumptions!$G$10*Assumptions!$G$88)</f>
        <v/>
      </c>
      <c r="F81" s="14">
        <f>(Assumptions!$G$10*Assumptions!$G$88)</f>
        <v/>
      </c>
      <c r="G81" s="14">
        <f>(Assumptions!$G$10*Assumptions!$G$88)</f>
        <v/>
      </c>
      <c r="H81" s="14">
        <f>(Assumptions!$G$10*Assumptions!$G$88)</f>
        <v/>
      </c>
      <c r="I81" s="14">
        <f>(Assumptions!$G$10*Assumptions!$G$88)</f>
        <v/>
      </c>
      <c r="J81" s="14">
        <f>(Assumptions!$G$10*Assumptions!$G$88)</f>
        <v/>
      </c>
      <c r="K81" s="14">
        <f>(Assumptions!$G$10*Assumptions!$G$88)</f>
        <v/>
      </c>
      <c r="L81" s="14">
        <f>(Assumptions!$G$10*Assumptions!$G$88)</f>
        <v/>
      </c>
      <c r="M81" s="14">
        <f>(Assumptions!$G$10*Assumptions!$G$88)</f>
        <v/>
      </c>
      <c r="N81" s="14">
        <f>(Assumptions!$G$10*Assumptions!$G$88)</f>
        <v/>
      </c>
      <c r="O81" s="14">
        <f>(Assumptions!$G$10*Assumptions!$G$88)</f>
        <v/>
      </c>
      <c r="P81" s="14">
        <f>(Assumptions!$G$10*Assumptions!$G$88)</f>
        <v/>
      </c>
      <c r="Q81" s="14">
        <f>(Assumptions!$G$10*Assumptions!$G$88)</f>
        <v/>
      </c>
      <c r="R81" s="14">
        <f>(Assumptions!$G$10*Assumptions!$G$88)</f>
        <v/>
      </c>
      <c r="S81" s="14">
        <f>(Assumptions!$G$10*Assumptions!$G$88)</f>
        <v/>
      </c>
      <c r="T81" s="14">
        <f>(Assumptions!$G$10*Assumptions!$G$88)</f>
        <v/>
      </c>
      <c r="U81" s="14">
        <f>(Assumptions!$G$10*Assumptions!$G$88)</f>
        <v/>
      </c>
      <c r="V81" s="14">
        <f>(Assumptions!$G$10*Assumptions!$G$88)</f>
        <v/>
      </c>
      <c r="W81" s="14">
        <f>(Assumptions!$G$10*Assumptions!$G$88)</f>
        <v/>
      </c>
      <c r="X81" s="14">
        <f>(Assumptions!$G$10*Assumptions!$G$88)</f>
        <v/>
      </c>
      <c r="Y81" s="14">
        <f>(Assumptions!$G$10*Assumptions!$G$88)</f>
        <v/>
      </c>
      <c r="Z81" s="14">
        <f>(Assumptions!$G$10*Assumptions!$G$88)</f>
        <v/>
      </c>
      <c r="AA81" s="14">
        <f>(Assumptions!$G$10*Assumptions!$G$88)</f>
        <v/>
      </c>
      <c r="AB81" s="14">
        <f>(Assumptions!$G$10*Assumptions!$G$88)</f>
        <v/>
      </c>
      <c r="AC81" s="14">
        <f>(Assumptions!$G$10*Assumptions!$G$88)</f>
        <v/>
      </c>
      <c r="AD81" s="14">
        <f>(Assumptions!$G$10*Assumptions!$G$88)</f>
        <v/>
      </c>
      <c r="AE81" s="14">
        <f>(Assumptions!$G$10*Assumptions!$G$88)</f>
        <v/>
      </c>
      <c r="AF81" s="14">
        <f>(Assumptions!$G$10*Assumptions!$G$88)</f>
        <v/>
      </c>
      <c r="AG81" s="14">
        <f>(Assumptions!$G$10*Assumptions!$G$88)</f>
        <v/>
      </c>
      <c r="AH81" s="14">
        <f>(Assumptions!$G$10*Assumptions!$G$88)</f>
        <v/>
      </c>
      <c r="AI81" s="14">
        <f>(Assumptions!$G$10*Assumptions!$G$88)</f>
        <v/>
      </c>
      <c r="AJ81" s="14">
        <f>(Assumptions!$G$10*Assumptions!$G$88)</f>
        <v/>
      </c>
      <c r="AK81" s="14">
        <f>(Assumptions!$G$10*Assumptions!$G$88)</f>
        <v/>
      </c>
      <c r="AL81" s="14">
        <f>(Assumptions!$G$10*Assumptions!$G$88)</f>
        <v/>
      </c>
    </row>
    <row r="82">
      <c r="A82" s="6" t="inlineStr">
        <is>
          <t>Contractors</t>
        </is>
      </c>
      <c r="B82" s="2" t="inlineStr">
        <is>
          <t>opex_contractors</t>
        </is>
      </c>
      <c r="C82" s="14">
        <f>CHOOSE(C$3,Assumptions!$G$89,Assumptions!$G$90,Assumptions!$G$91)</f>
        <v/>
      </c>
      <c r="D82" s="14">
        <f>CHOOSE(D$3,Assumptions!$G$89,Assumptions!$G$90,Assumptions!$G$91)</f>
        <v/>
      </c>
      <c r="E82" s="14">
        <f>CHOOSE(E$3,Assumptions!$G$89,Assumptions!$G$90,Assumptions!$G$91)</f>
        <v/>
      </c>
      <c r="F82" s="14">
        <f>CHOOSE(F$3,Assumptions!$G$89,Assumptions!$G$90,Assumptions!$G$91)</f>
        <v/>
      </c>
      <c r="G82" s="14">
        <f>CHOOSE(G$3,Assumptions!$G$89,Assumptions!$G$90,Assumptions!$G$91)</f>
        <v/>
      </c>
      <c r="H82" s="14">
        <f>CHOOSE(H$3,Assumptions!$G$89,Assumptions!$G$90,Assumptions!$G$91)</f>
        <v/>
      </c>
      <c r="I82" s="14">
        <f>CHOOSE(I$3,Assumptions!$G$89,Assumptions!$G$90,Assumptions!$G$91)</f>
        <v/>
      </c>
      <c r="J82" s="14">
        <f>CHOOSE(J$3,Assumptions!$G$89,Assumptions!$G$90,Assumptions!$G$91)</f>
        <v/>
      </c>
      <c r="K82" s="14">
        <f>CHOOSE(K$3,Assumptions!$G$89,Assumptions!$G$90,Assumptions!$G$91)</f>
        <v/>
      </c>
      <c r="L82" s="14">
        <f>CHOOSE(L$3,Assumptions!$G$89,Assumptions!$G$90,Assumptions!$G$91)</f>
        <v/>
      </c>
      <c r="M82" s="14">
        <f>CHOOSE(M$3,Assumptions!$G$89,Assumptions!$G$90,Assumptions!$G$91)</f>
        <v/>
      </c>
      <c r="N82" s="14">
        <f>CHOOSE(N$3,Assumptions!$G$89,Assumptions!$G$90,Assumptions!$G$91)</f>
        <v/>
      </c>
      <c r="O82" s="14">
        <f>CHOOSE(O$3,Assumptions!$G$89,Assumptions!$G$90,Assumptions!$G$91)</f>
        <v/>
      </c>
      <c r="P82" s="14">
        <f>CHOOSE(P$3,Assumptions!$G$89,Assumptions!$G$90,Assumptions!$G$91)</f>
        <v/>
      </c>
      <c r="Q82" s="14">
        <f>CHOOSE(Q$3,Assumptions!$G$89,Assumptions!$G$90,Assumptions!$G$91)</f>
        <v/>
      </c>
      <c r="R82" s="14">
        <f>CHOOSE(R$3,Assumptions!$G$89,Assumptions!$G$90,Assumptions!$G$91)</f>
        <v/>
      </c>
      <c r="S82" s="14">
        <f>CHOOSE(S$3,Assumptions!$G$89,Assumptions!$G$90,Assumptions!$G$91)</f>
        <v/>
      </c>
      <c r="T82" s="14">
        <f>CHOOSE(T$3,Assumptions!$G$89,Assumptions!$G$90,Assumptions!$G$91)</f>
        <v/>
      </c>
      <c r="U82" s="14">
        <f>CHOOSE(U$3,Assumptions!$G$89,Assumptions!$G$90,Assumptions!$G$91)</f>
        <v/>
      </c>
      <c r="V82" s="14">
        <f>CHOOSE(V$3,Assumptions!$G$89,Assumptions!$G$90,Assumptions!$G$91)</f>
        <v/>
      </c>
      <c r="W82" s="14">
        <f>CHOOSE(W$3,Assumptions!$G$89,Assumptions!$G$90,Assumptions!$G$91)</f>
        <v/>
      </c>
      <c r="X82" s="14">
        <f>CHOOSE(X$3,Assumptions!$G$89,Assumptions!$G$90,Assumptions!$G$91)</f>
        <v/>
      </c>
      <c r="Y82" s="14">
        <f>CHOOSE(Y$3,Assumptions!$G$89,Assumptions!$G$90,Assumptions!$G$91)</f>
        <v/>
      </c>
      <c r="Z82" s="14">
        <f>CHOOSE(Z$3,Assumptions!$G$89,Assumptions!$G$90,Assumptions!$G$91)</f>
        <v/>
      </c>
      <c r="AA82" s="14">
        <f>CHOOSE(AA$3,Assumptions!$G$89,Assumptions!$G$90,Assumptions!$G$91)</f>
        <v/>
      </c>
      <c r="AB82" s="14">
        <f>CHOOSE(AB$3,Assumptions!$G$89,Assumptions!$G$90,Assumptions!$G$91)</f>
        <v/>
      </c>
      <c r="AC82" s="14">
        <f>CHOOSE(AC$3,Assumptions!$G$89,Assumptions!$G$90,Assumptions!$G$91)</f>
        <v/>
      </c>
      <c r="AD82" s="14">
        <f>CHOOSE(AD$3,Assumptions!$G$89,Assumptions!$G$90,Assumptions!$G$91)</f>
        <v/>
      </c>
      <c r="AE82" s="14">
        <f>CHOOSE(AE$3,Assumptions!$G$89,Assumptions!$G$90,Assumptions!$G$91)</f>
        <v/>
      </c>
      <c r="AF82" s="14">
        <f>CHOOSE(AF$3,Assumptions!$G$89,Assumptions!$G$90,Assumptions!$G$91)</f>
        <v/>
      </c>
      <c r="AG82" s="14">
        <f>CHOOSE(AG$3,Assumptions!$G$89,Assumptions!$G$90,Assumptions!$G$91)</f>
        <v/>
      </c>
      <c r="AH82" s="14">
        <f>CHOOSE(AH$3,Assumptions!$G$89,Assumptions!$G$90,Assumptions!$G$91)</f>
        <v/>
      </c>
      <c r="AI82" s="14">
        <f>CHOOSE(AI$3,Assumptions!$G$89,Assumptions!$G$90,Assumptions!$G$91)</f>
        <v/>
      </c>
      <c r="AJ82" s="14">
        <f>CHOOSE(AJ$3,Assumptions!$G$89,Assumptions!$G$90,Assumptions!$G$91)</f>
        <v/>
      </c>
      <c r="AK82" s="14">
        <f>CHOOSE(AK$3,Assumptions!$G$89,Assumptions!$G$90,Assumptions!$G$91)</f>
        <v/>
      </c>
      <c r="AL82" s="14">
        <f>CHOOSE(AL$3,Assumptions!$G$89,Assumptions!$G$90,Assumptions!$G$91)</f>
        <v/>
      </c>
    </row>
    <row r="83">
      <c r="A83" s="6" t="inlineStr">
        <is>
          <t>Marketing: Apple Search Ads</t>
        </is>
      </c>
      <c r="B83" s="2" t="inlineStr">
        <is>
          <t>opex_asa</t>
        </is>
      </c>
      <c r="C83" s="14">
        <f>C10</f>
        <v/>
      </c>
      <c r="D83" s="14">
        <f>D10</f>
        <v/>
      </c>
      <c r="E83" s="14">
        <f>E10</f>
        <v/>
      </c>
      <c r="F83" s="14">
        <f>F10</f>
        <v/>
      </c>
      <c r="G83" s="14">
        <f>G10</f>
        <v/>
      </c>
      <c r="H83" s="14">
        <f>H10</f>
        <v/>
      </c>
      <c r="I83" s="14">
        <f>I10</f>
        <v/>
      </c>
      <c r="J83" s="14">
        <f>J10</f>
        <v/>
      </c>
      <c r="K83" s="14">
        <f>K10</f>
        <v/>
      </c>
      <c r="L83" s="14">
        <f>L10</f>
        <v/>
      </c>
      <c r="M83" s="14">
        <f>M10</f>
        <v/>
      </c>
      <c r="N83" s="14">
        <f>N10</f>
        <v/>
      </c>
      <c r="O83" s="14">
        <f>O10</f>
        <v/>
      </c>
      <c r="P83" s="14">
        <f>P10</f>
        <v/>
      </c>
      <c r="Q83" s="14">
        <f>Q10</f>
        <v/>
      </c>
      <c r="R83" s="14">
        <f>R10</f>
        <v/>
      </c>
      <c r="S83" s="14">
        <f>S10</f>
        <v/>
      </c>
      <c r="T83" s="14">
        <f>T10</f>
        <v/>
      </c>
      <c r="U83" s="14">
        <f>U10</f>
        <v/>
      </c>
      <c r="V83" s="14">
        <f>V10</f>
        <v/>
      </c>
      <c r="W83" s="14">
        <f>W10</f>
        <v/>
      </c>
      <c r="X83" s="14">
        <f>X10</f>
        <v/>
      </c>
      <c r="Y83" s="14">
        <f>Y10</f>
        <v/>
      </c>
      <c r="Z83" s="14">
        <f>Z10</f>
        <v/>
      </c>
      <c r="AA83" s="14">
        <f>AA10</f>
        <v/>
      </c>
      <c r="AB83" s="14">
        <f>AB10</f>
        <v/>
      </c>
      <c r="AC83" s="14">
        <f>AC10</f>
        <v/>
      </c>
      <c r="AD83" s="14">
        <f>AD10</f>
        <v/>
      </c>
      <c r="AE83" s="14">
        <f>AE10</f>
        <v/>
      </c>
      <c r="AF83" s="14">
        <f>AF10</f>
        <v/>
      </c>
      <c r="AG83" s="14">
        <f>AG10</f>
        <v/>
      </c>
      <c r="AH83" s="14">
        <f>AH10</f>
        <v/>
      </c>
      <c r="AI83" s="14">
        <f>AI10</f>
        <v/>
      </c>
      <c r="AJ83" s="14">
        <f>AJ10</f>
        <v/>
      </c>
      <c r="AK83" s="14">
        <f>AK10</f>
        <v/>
      </c>
      <c r="AL83" s="14">
        <f>AL10</f>
        <v/>
      </c>
    </row>
    <row r="84">
      <c r="A84" s="6" t="inlineStr">
        <is>
          <t>Marketing: creators</t>
        </is>
      </c>
      <c r="B84" s="2" t="inlineStr">
        <is>
          <t>opex_creators</t>
        </is>
      </c>
      <c r="C84" s="14">
        <f>C8</f>
        <v/>
      </c>
      <c r="D84" s="14">
        <f>D8</f>
        <v/>
      </c>
      <c r="E84" s="14">
        <f>E8</f>
        <v/>
      </c>
      <c r="F84" s="14">
        <f>F8</f>
        <v/>
      </c>
      <c r="G84" s="14">
        <f>G8</f>
        <v/>
      </c>
      <c r="H84" s="14">
        <f>H8</f>
        <v/>
      </c>
      <c r="I84" s="14">
        <f>I8</f>
        <v/>
      </c>
      <c r="J84" s="14">
        <f>J8</f>
        <v/>
      </c>
      <c r="K84" s="14">
        <f>K8</f>
        <v/>
      </c>
      <c r="L84" s="14">
        <f>L8</f>
        <v/>
      </c>
      <c r="M84" s="14">
        <f>M8</f>
        <v/>
      </c>
      <c r="N84" s="14">
        <f>N8</f>
        <v/>
      </c>
      <c r="O84" s="14">
        <f>O8</f>
        <v/>
      </c>
      <c r="P84" s="14">
        <f>P8</f>
        <v/>
      </c>
      <c r="Q84" s="14">
        <f>Q8</f>
        <v/>
      </c>
      <c r="R84" s="14">
        <f>R8</f>
        <v/>
      </c>
      <c r="S84" s="14">
        <f>S8</f>
        <v/>
      </c>
      <c r="T84" s="14">
        <f>T8</f>
        <v/>
      </c>
      <c r="U84" s="14">
        <f>U8</f>
        <v/>
      </c>
      <c r="V84" s="14">
        <f>V8</f>
        <v/>
      </c>
      <c r="W84" s="14">
        <f>W8</f>
        <v/>
      </c>
      <c r="X84" s="14">
        <f>X8</f>
        <v/>
      </c>
      <c r="Y84" s="14">
        <f>Y8</f>
        <v/>
      </c>
      <c r="Z84" s="14">
        <f>Z8</f>
        <v/>
      </c>
      <c r="AA84" s="14">
        <f>AA8</f>
        <v/>
      </c>
      <c r="AB84" s="14">
        <f>AB8</f>
        <v/>
      </c>
      <c r="AC84" s="14">
        <f>AC8</f>
        <v/>
      </c>
      <c r="AD84" s="14">
        <f>AD8</f>
        <v/>
      </c>
      <c r="AE84" s="14">
        <f>AE8</f>
        <v/>
      </c>
      <c r="AF84" s="14">
        <f>AF8</f>
        <v/>
      </c>
      <c r="AG84" s="14">
        <f>AG8</f>
        <v/>
      </c>
      <c r="AH84" s="14">
        <f>AH8</f>
        <v/>
      </c>
      <c r="AI84" s="14">
        <f>AI8</f>
        <v/>
      </c>
      <c r="AJ84" s="14">
        <f>AJ8</f>
        <v/>
      </c>
      <c r="AK84" s="14">
        <f>AK8</f>
        <v/>
      </c>
      <c r="AL84" s="14">
        <f>AL8</f>
        <v/>
      </c>
    </row>
    <row r="85">
      <c r="A85" s="6" t="inlineStr">
        <is>
          <t>Marketing: other</t>
        </is>
      </c>
      <c r="B85" s="2" t="inlineStr">
        <is>
          <t>opex_mkt_other</t>
        </is>
      </c>
      <c r="C85" s="14">
        <f>Assumptions!$G$92</f>
        <v/>
      </c>
      <c r="D85" s="14">
        <f>Assumptions!$G$92</f>
        <v/>
      </c>
      <c r="E85" s="14">
        <f>Assumptions!$G$92</f>
        <v/>
      </c>
      <c r="F85" s="14">
        <f>Assumptions!$G$92</f>
        <v/>
      </c>
      <c r="G85" s="14">
        <f>Assumptions!$G$92</f>
        <v/>
      </c>
      <c r="H85" s="14">
        <f>Assumptions!$G$92</f>
        <v/>
      </c>
      <c r="I85" s="14">
        <f>Assumptions!$G$92</f>
        <v/>
      </c>
      <c r="J85" s="14">
        <f>Assumptions!$G$92</f>
        <v/>
      </c>
      <c r="K85" s="14">
        <f>Assumptions!$G$92</f>
        <v/>
      </c>
      <c r="L85" s="14">
        <f>Assumptions!$G$92</f>
        <v/>
      </c>
      <c r="M85" s="14">
        <f>Assumptions!$G$92</f>
        <v/>
      </c>
      <c r="N85" s="14">
        <f>Assumptions!$G$92</f>
        <v/>
      </c>
      <c r="O85" s="14">
        <f>Assumptions!$G$92</f>
        <v/>
      </c>
      <c r="P85" s="14">
        <f>Assumptions!$G$92</f>
        <v/>
      </c>
      <c r="Q85" s="14">
        <f>Assumptions!$G$92</f>
        <v/>
      </c>
      <c r="R85" s="14">
        <f>Assumptions!$G$92</f>
        <v/>
      </c>
      <c r="S85" s="14">
        <f>Assumptions!$G$92</f>
        <v/>
      </c>
      <c r="T85" s="14">
        <f>Assumptions!$G$92</f>
        <v/>
      </c>
      <c r="U85" s="14">
        <f>Assumptions!$G$92</f>
        <v/>
      </c>
      <c r="V85" s="14">
        <f>Assumptions!$G$92</f>
        <v/>
      </c>
      <c r="W85" s="14">
        <f>Assumptions!$G$92</f>
        <v/>
      </c>
      <c r="X85" s="14">
        <f>Assumptions!$G$92</f>
        <v/>
      </c>
      <c r="Y85" s="14">
        <f>Assumptions!$G$92</f>
        <v/>
      </c>
      <c r="Z85" s="14">
        <f>Assumptions!$G$92</f>
        <v/>
      </c>
      <c r="AA85" s="14">
        <f>Assumptions!$G$92</f>
        <v/>
      </c>
      <c r="AB85" s="14">
        <f>Assumptions!$G$92</f>
        <v/>
      </c>
      <c r="AC85" s="14">
        <f>Assumptions!$G$92</f>
        <v/>
      </c>
      <c r="AD85" s="14">
        <f>Assumptions!$G$92</f>
        <v/>
      </c>
      <c r="AE85" s="14">
        <f>Assumptions!$G$92</f>
        <v/>
      </c>
      <c r="AF85" s="14">
        <f>Assumptions!$G$92</f>
        <v/>
      </c>
      <c r="AG85" s="14">
        <f>Assumptions!$G$92</f>
        <v/>
      </c>
      <c r="AH85" s="14">
        <f>Assumptions!$G$92</f>
        <v/>
      </c>
      <c r="AI85" s="14">
        <f>Assumptions!$G$92</f>
        <v/>
      </c>
      <c r="AJ85" s="14">
        <f>Assumptions!$G$92</f>
        <v/>
      </c>
      <c r="AK85" s="14">
        <f>Assumptions!$G$92</f>
        <v/>
      </c>
      <c r="AL85" s="14">
        <f>Assumptions!$G$92</f>
        <v/>
      </c>
    </row>
    <row r="86">
      <c r="A86" s="6" t="inlineStr">
        <is>
          <t>Legal &amp; compliance</t>
        </is>
      </c>
      <c r="B86" s="2" t="inlineStr">
        <is>
          <t>opex_legal</t>
        </is>
      </c>
      <c r="C86" s="14">
        <f>(((IF((C$2=1),(((Assumptions!$G$93+Assumptions!$G$94)+Assumptions!$G$95)+Assumptions!$G$96),0)+Assumptions!$G$97)+IF(AND((C$2&gt;1),(MOD((C$2-1),12)=0)),Assumptions!$G$98,0))+IF(AND((Assumptions!$G$11=1),(C$2&gt;=Assumptions!$G$99)),Assumptions!$G$100,0))</f>
        <v/>
      </c>
      <c r="D86" s="14">
        <f>(((IF((D$2=1),(((Assumptions!$G$93+Assumptions!$G$94)+Assumptions!$G$95)+Assumptions!$G$96),0)+Assumptions!$G$97)+IF(AND((D$2&gt;1),(MOD((D$2-1),12)=0)),Assumptions!$G$98,0))+IF(AND((Assumptions!$G$11=1),(D$2&gt;=Assumptions!$G$99)),Assumptions!$G$100,0))</f>
        <v/>
      </c>
      <c r="E86" s="14">
        <f>(((IF((E$2=1),(((Assumptions!$G$93+Assumptions!$G$94)+Assumptions!$G$95)+Assumptions!$G$96),0)+Assumptions!$G$97)+IF(AND((E$2&gt;1),(MOD((E$2-1),12)=0)),Assumptions!$G$98,0))+IF(AND((Assumptions!$G$11=1),(E$2&gt;=Assumptions!$G$99)),Assumptions!$G$100,0))</f>
        <v/>
      </c>
      <c r="F86" s="14">
        <f>(((IF((F$2=1),(((Assumptions!$G$93+Assumptions!$G$94)+Assumptions!$G$95)+Assumptions!$G$96),0)+Assumptions!$G$97)+IF(AND((F$2&gt;1),(MOD((F$2-1),12)=0)),Assumptions!$G$98,0))+IF(AND((Assumptions!$G$11=1),(F$2&gt;=Assumptions!$G$99)),Assumptions!$G$100,0))</f>
        <v/>
      </c>
      <c r="G86" s="14">
        <f>(((IF((G$2=1),(((Assumptions!$G$93+Assumptions!$G$94)+Assumptions!$G$95)+Assumptions!$G$96),0)+Assumptions!$G$97)+IF(AND((G$2&gt;1),(MOD((G$2-1),12)=0)),Assumptions!$G$98,0))+IF(AND((Assumptions!$G$11=1),(G$2&gt;=Assumptions!$G$99)),Assumptions!$G$100,0))</f>
        <v/>
      </c>
      <c r="H86" s="14">
        <f>(((IF((H$2=1),(((Assumptions!$G$93+Assumptions!$G$94)+Assumptions!$G$95)+Assumptions!$G$96),0)+Assumptions!$G$97)+IF(AND((H$2&gt;1),(MOD((H$2-1),12)=0)),Assumptions!$G$98,0))+IF(AND((Assumptions!$G$11=1),(H$2&gt;=Assumptions!$G$99)),Assumptions!$G$100,0))</f>
        <v/>
      </c>
      <c r="I86" s="14">
        <f>(((IF((I$2=1),(((Assumptions!$G$93+Assumptions!$G$94)+Assumptions!$G$95)+Assumptions!$G$96),0)+Assumptions!$G$97)+IF(AND((I$2&gt;1),(MOD((I$2-1),12)=0)),Assumptions!$G$98,0))+IF(AND((Assumptions!$G$11=1),(I$2&gt;=Assumptions!$G$99)),Assumptions!$G$100,0))</f>
        <v/>
      </c>
      <c r="J86" s="14">
        <f>(((IF((J$2=1),(((Assumptions!$G$93+Assumptions!$G$94)+Assumptions!$G$95)+Assumptions!$G$96),0)+Assumptions!$G$97)+IF(AND((J$2&gt;1),(MOD((J$2-1),12)=0)),Assumptions!$G$98,0))+IF(AND((Assumptions!$G$11=1),(J$2&gt;=Assumptions!$G$99)),Assumptions!$G$100,0))</f>
        <v/>
      </c>
      <c r="K86" s="14">
        <f>(((IF((K$2=1),(((Assumptions!$G$93+Assumptions!$G$94)+Assumptions!$G$95)+Assumptions!$G$96),0)+Assumptions!$G$97)+IF(AND((K$2&gt;1),(MOD((K$2-1),12)=0)),Assumptions!$G$98,0))+IF(AND((Assumptions!$G$11=1),(K$2&gt;=Assumptions!$G$99)),Assumptions!$G$100,0))</f>
        <v/>
      </c>
      <c r="L86" s="14">
        <f>(((IF((L$2=1),(((Assumptions!$G$93+Assumptions!$G$94)+Assumptions!$G$95)+Assumptions!$G$96),0)+Assumptions!$G$97)+IF(AND((L$2&gt;1),(MOD((L$2-1),12)=0)),Assumptions!$G$98,0))+IF(AND((Assumptions!$G$11=1),(L$2&gt;=Assumptions!$G$99)),Assumptions!$G$100,0))</f>
        <v/>
      </c>
      <c r="M86" s="14">
        <f>(((IF((M$2=1),(((Assumptions!$G$93+Assumptions!$G$94)+Assumptions!$G$95)+Assumptions!$G$96),0)+Assumptions!$G$97)+IF(AND((M$2&gt;1),(MOD((M$2-1),12)=0)),Assumptions!$G$98,0))+IF(AND((Assumptions!$G$11=1),(M$2&gt;=Assumptions!$G$99)),Assumptions!$G$100,0))</f>
        <v/>
      </c>
      <c r="N86" s="14">
        <f>(((IF((N$2=1),(((Assumptions!$G$93+Assumptions!$G$94)+Assumptions!$G$95)+Assumptions!$G$96),0)+Assumptions!$G$97)+IF(AND((N$2&gt;1),(MOD((N$2-1),12)=0)),Assumptions!$G$98,0))+IF(AND((Assumptions!$G$11=1),(N$2&gt;=Assumptions!$G$99)),Assumptions!$G$100,0))</f>
        <v/>
      </c>
      <c r="O86" s="14">
        <f>(((IF((O$2=1),(((Assumptions!$G$93+Assumptions!$G$94)+Assumptions!$G$95)+Assumptions!$G$96),0)+Assumptions!$G$97)+IF(AND((O$2&gt;1),(MOD((O$2-1),12)=0)),Assumptions!$G$98,0))+IF(AND((Assumptions!$G$11=1),(O$2&gt;=Assumptions!$G$99)),Assumptions!$G$100,0))</f>
        <v/>
      </c>
      <c r="P86" s="14">
        <f>(((IF((P$2=1),(((Assumptions!$G$93+Assumptions!$G$94)+Assumptions!$G$95)+Assumptions!$G$96),0)+Assumptions!$G$97)+IF(AND((P$2&gt;1),(MOD((P$2-1),12)=0)),Assumptions!$G$98,0))+IF(AND((Assumptions!$G$11=1),(P$2&gt;=Assumptions!$G$99)),Assumptions!$G$100,0))</f>
        <v/>
      </c>
      <c r="Q86" s="14">
        <f>(((IF((Q$2=1),(((Assumptions!$G$93+Assumptions!$G$94)+Assumptions!$G$95)+Assumptions!$G$96),0)+Assumptions!$G$97)+IF(AND((Q$2&gt;1),(MOD((Q$2-1),12)=0)),Assumptions!$G$98,0))+IF(AND((Assumptions!$G$11=1),(Q$2&gt;=Assumptions!$G$99)),Assumptions!$G$100,0))</f>
        <v/>
      </c>
      <c r="R86" s="14">
        <f>(((IF((R$2=1),(((Assumptions!$G$93+Assumptions!$G$94)+Assumptions!$G$95)+Assumptions!$G$96),0)+Assumptions!$G$97)+IF(AND((R$2&gt;1),(MOD((R$2-1),12)=0)),Assumptions!$G$98,0))+IF(AND((Assumptions!$G$11=1),(R$2&gt;=Assumptions!$G$99)),Assumptions!$G$100,0))</f>
        <v/>
      </c>
      <c r="S86" s="14">
        <f>(((IF((S$2=1),(((Assumptions!$G$93+Assumptions!$G$94)+Assumptions!$G$95)+Assumptions!$G$96),0)+Assumptions!$G$97)+IF(AND((S$2&gt;1),(MOD((S$2-1),12)=0)),Assumptions!$G$98,0))+IF(AND((Assumptions!$G$11=1),(S$2&gt;=Assumptions!$G$99)),Assumptions!$G$100,0))</f>
        <v/>
      </c>
      <c r="T86" s="14">
        <f>(((IF((T$2=1),(((Assumptions!$G$93+Assumptions!$G$94)+Assumptions!$G$95)+Assumptions!$G$96),0)+Assumptions!$G$97)+IF(AND((T$2&gt;1),(MOD((T$2-1),12)=0)),Assumptions!$G$98,0))+IF(AND((Assumptions!$G$11=1),(T$2&gt;=Assumptions!$G$99)),Assumptions!$G$100,0))</f>
        <v/>
      </c>
      <c r="U86" s="14">
        <f>(((IF((U$2=1),(((Assumptions!$G$93+Assumptions!$G$94)+Assumptions!$G$95)+Assumptions!$G$96),0)+Assumptions!$G$97)+IF(AND((U$2&gt;1),(MOD((U$2-1),12)=0)),Assumptions!$G$98,0))+IF(AND((Assumptions!$G$11=1),(U$2&gt;=Assumptions!$G$99)),Assumptions!$G$100,0))</f>
        <v/>
      </c>
      <c r="V86" s="14">
        <f>(((IF((V$2=1),(((Assumptions!$G$93+Assumptions!$G$94)+Assumptions!$G$95)+Assumptions!$G$96),0)+Assumptions!$G$97)+IF(AND((V$2&gt;1),(MOD((V$2-1),12)=0)),Assumptions!$G$98,0))+IF(AND((Assumptions!$G$11=1),(V$2&gt;=Assumptions!$G$99)),Assumptions!$G$100,0))</f>
        <v/>
      </c>
      <c r="W86" s="14">
        <f>(((IF((W$2=1),(((Assumptions!$G$93+Assumptions!$G$94)+Assumptions!$G$95)+Assumptions!$G$96),0)+Assumptions!$G$97)+IF(AND((W$2&gt;1),(MOD((W$2-1),12)=0)),Assumptions!$G$98,0))+IF(AND((Assumptions!$G$11=1),(W$2&gt;=Assumptions!$G$99)),Assumptions!$G$100,0))</f>
        <v/>
      </c>
      <c r="X86" s="14">
        <f>(((IF((X$2=1),(((Assumptions!$G$93+Assumptions!$G$94)+Assumptions!$G$95)+Assumptions!$G$96),0)+Assumptions!$G$97)+IF(AND((X$2&gt;1),(MOD((X$2-1),12)=0)),Assumptions!$G$98,0))+IF(AND((Assumptions!$G$11=1),(X$2&gt;=Assumptions!$G$99)),Assumptions!$G$100,0))</f>
        <v/>
      </c>
      <c r="Y86" s="14">
        <f>(((IF((Y$2=1),(((Assumptions!$G$93+Assumptions!$G$94)+Assumptions!$G$95)+Assumptions!$G$96),0)+Assumptions!$G$97)+IF(AND((Y$2&gt;1),(MOD((Y$2-1),12)=0)),Assumptions!$G$98,0))+IF(AND((Assumptions!$G$11=1),(Y$2&gt;=Assumptions!$G$99)),Assumptions!$G$100,0))</f>
        <v/>
      </c>
      <c r="Z86" s="14">
        <f>(((IF((Z$2=1),(((Assumptions!$G$93+Assumptions!$G$94)+Assumptions!$G$95)+Assumptions!$G$96),0)+Assumptions!$G$97)+IF(AND((Z$2&gt;1),(MOD((Z$2-1),12)=0)),Assumptions!$G$98,0))+IF(AND((Assumptions!$G$11=1),(Z$2&gt;=Assumptions!$G$99)),Assumptions!$G$100,0))</f>
        <v/>
      </c>
      <c r="AA86" s="14">
        <f>(((IF((AA$2=1),(((Assumptions!$G$93+Assumptions!$G$94)+Assumptions!$G$95)+Assumptions!$G$96),0)+Assumptions!$G$97)+IF(AND((AA$2&gt;1),(MOD((AA$2-1),12)=0)),Assumptions!$G$98,0))+IF(AND((Assumptions!$G$11=1),(AA$2&gt;=Assumptions!$G$99)),Assumptions!$G$100,0))</f>
        <v/>
      </c>
      <c r="AB86" s="14">
        <f>(((IF((AB$2=1),(((Assumptions!$G$93+Assumptions!$G$94)+Assumptions!$G$95)+Assumptions!$G$96),0)+Assumptions!$G$97)+IF(AND((AB$2&gt;1),(MOD((AB$2-1),12)=0)),Assumptions!$G$98,0))+IF(AND((Assumptions!$G$11=1),(AB$2&gt;=Assumptions!$G$99)),Assumptions!$G$100,0))</f>
        <v/>
      </c>
      <c r="AC86" s="14">
        <f>(((IF((AC$2=1),(((Assumptions!$G$93+Assumptions!$G$94)+Assumptions!$G$95)+Assumptions!$G$96),0)+Assumptions!$G$97)+IF(AND((AC$2&gt;1),(MOD((AC$2-1),12)=0)),Assumptions!$G$98,0))+IF(AND((Assumptions!$G$11=1),(AC$2&gt;=Assumptions!$G$99)),Assumptions!$G$100,0))</f>
        <v/>
      </c>
      <c r="AD86" s="14">
        <f>(((IF((AD$2=1),(((Assumptions!$G$93+Assumptions!$G$94)+Assumptions!$G$95)+Assumptions!$G$96),0)+Assumptions!$G$97)+IF(AND((AD$2&gt;1),(MOD((AD$2-1),12)=0)),Assumptions!$G$98,0))+IF(AND((Assumptions!$G$11=1),(AD$2&gt;=Assumptions!$G$99)),Assumptions!$G$100,0))</f>
        <v/>
      </c>
      <c r="AE86" s="14">
        <f>(((IF((AE$2=1),(((Assumptions!$G$93+Assumptions!$G$94)+Assumptions!$G$95)+Assumptions!$G$96),0)+Assumptions!$G$97)+IF(AND((AE$2&gt;1),(MOD((AE$2-1),12)=0)),Assumptions!$G$98,0))+IF(AND((Assumptions!$G$11=1),(AE$2&gt;=Assumptions!$G$99)),Assumptions!$G$100,0))</f>
        <v/>
      </c>
      <c r="AF86" s="14">
        <f>(((IF((AF$2=1),(((Assumptions!$G$93+Assumptions!$G$94)+Assumptions!$G$95)+Assumptions!$G$96),0)+Assumptions!$G$97)+IF(AND((AF$2&gt;1),(MOD((AF$2-1),12)=0)),Assumptions!$G$98,0))+IF(AND((Assumptions!$G$11=1),(AF$2&gt;=Assumptions!$G$99)),Assumptions!$G$100,0))</f>
        <v/>
      </c>
      <c r="AG86" s="14">
        <f>(((IF((AG$2=1),(((Assumptions!$G$93+Assumptions!$G$94)+Assumptions!$G$95)+Assumptions!$G$96),0)+Assumptions!$G$97)+IF(AND((AG$2&gt;1),(MOD((AG$2-1),12)=0)),Assumptions!$G$98,0))+IF(AND((Assumptions!$G$11=1),(AG$2&gt;=Assumptions!$G$99)),Assumptions!$G$100,0))</f>
        <v/>
      </c>
      <c r="AH86" s="14">
        <f>(((IF((AH$2=1),(((Assumptions!$G$93+Assumptions!$G$94)+Assumptions!$G$95)+Assumptions!$G$96),0)+Assumptions!$G$97)+IF(AND((AH$2&gt;1),(MOD((AH$2-1),12)=0)),Assumptions!$G$98,0))+IF(AND((Assumptions!$G$11=1),(AH$2&gt;=Assumptions!$G$99)),Assumptions!$G$100,0))</f>
        <v/>
      </c>
      <c r="AI86" s="14">
        <f>(((IF((AI$2=1),(((Assumptions!$G$93+Assumptions!$G$94)+Assumptions!$G$95)+Assumptions!$G$96),0)+Assumptions!$G$97)+IF(AND((AI$2&gt;1),(MOD((AI$2-1),12)=0)),Assumptions!$G$98,0))+IF(AND((Assumptions!$G$11=1),(AI$2&gt;=Assumptions!$G$99)),Assumptions!$G$100,0))</f>
        <v/>
      </c>
      <c r="AJ86" s="14">
        <f>(((IF((AJ$2=1),(((Assumptions!$G$93+Assumptions!$G$94)+Assumptions!$G$95)+Assumptions!$G$96),0)+Assumptions!$G$97)+IF(AND((AJ$2&gt;1),(MOD((AJ$2-1),12)=0)),Assumptions!$G$98,0))+IF(AND((Assumptions!$G$11=1),(AJ$2&gt;=Assumptions!$G$99)),Assumptions!$G$100,0))</f>
        <v/>
      </c>
      <c r="AK86" s="14">
        <f>(((IF((AK$2=1),(((Assumptions!$G$93+Assumptions!$G$94)+Assumptions!$G$95)+Assumptions!$G$96),0)+Assumptions!$G$97)+IF(AND((AK$2&gt;1),(MOD((AK$2-1),12)=0)),Assumptions!$G$98,0))+IF(AND((Assumptions!$G$11=1),(AK$2&gt;=Assumptions!$G$99)),Assumptions!$G$100,0))</f>
        <v/>
      </c>
      <c r="AL86" s="14">
        <f>(((IF((AL$2=1),(((Assumptions!$G$93+Assumptions!$G$94)+Assumptions!$G$95)+Assumptions!$G$96),0)+Assumptions!$G$97)+IF(AND((AL$2&gt;1),(MOD((AL$2-1),12)=0)),Assumptions!$G$98,0))+IF(AND((Assumptions!$G$11=1),(AL$2&gt;=Assumptions!$G$99)),Assumptions!$G$100,0))</f>
        <v/>
      </c>
    </row>
    <row r="87">
      <c r="A87" s="6" t="inlineStr">
        <is>
          <t>Software / tools</t>
        </is>
      </c>
      <c r="B87" s="2" t="inlineStr">
        <is>
          <t>opex_tools</t>
        </is>
      </c>
      <c r="C87" s="14">
        <f>CHOOSE(C$3,Assumptions!$G$101,Assumptions!$G$102,Assumptions!$G$103)</f>
        <v/>
      </c>
      <c r="D87" s="14">
        <f>CHOOSE(D$3,Assumptions!$G$101,Assumptions!$G$102,Assumptions!$G$103)</f>
        <v/>
      </c>
      <c r="E87" s="14">
        <f>CHOOSE(E$3,Assumptions!$G$101,Assumptions!$G$102,Assumptions!$G$103)</f>
        <v/>
      </c>
      <c r="F87" s="14">
        <f>CHOOSE(F$3,Assumptions!$G$101,Assumptions!$G$102,Assumptions!$G$103)</f>
        <v/>
      </c>
      <c r="G87" s="14">
        <f>CHOOSE(G$3,Assumptions!$G$101,Assumptions!$G$102,Assumptions!$G$103)</f>
        <v/>
      </c>
      <c r="H87" s="14">
        <f>CHOOSE(H$3,Assumptions!$G$101,Assumptions!$G$102,Assumptions!$G$103)</f>
        <v/>
      </c>
      <c r="I87" s="14">
        <f>CHOOSE(I$3,Assumptions!$G$101,Assumptions!$G$102,Assumptions!$G$103)</f>
        <v/>
      </c>
      <c r="J87" s="14">
        <f>CHOOSE(J$3,Assumptions!$G$101,Assumptions!$G$102,Assumptions!$G$103)</f>
        <v/>
      </c>
      <c r="K87" s="14">
        <f>CHOOSE(K$3,Assumptions!$G$101,Assumptions!$G$102,Assumptions!$G$103)</f>
        <v/>
      </c>
      <c r="L87" s="14">
        <f>CHOOSE(L$3,Assumptions!$G$101,Assumptions!$G$102,Assumptions!$G$103)</f>
        <v/>
      </c>
      <c r="M87" s="14">
        <f>CHOOSE(M$3,Assumptions!$G$101,Assumptions!$G$102,Assumptions!$G$103)</f>
        <v/>
      </c>
      <c r="N87" s="14">
        <f>CHOOSE(N$3,Assumptions!$G$101,Assumptions!$G$102,Assumptions!$G$103)</f>
        <v/>
      </c>
      <c r="O87" s="14">
        <f>CHOOSE(O$3,Assumptions!$G$101,Assumptions!$G$102,Assumptions!$G$103)</f>
        <v/>
      </c>
      <c r="P87" s="14">
        <f>CHOOSE(P$3,Assumptions!$G$101,Assumptions!$G$102,Assumptions!$G$103)</f>
        <v/>
      </c>
      <c r="Q87" s="14">
        <f>CHOOSE(Q$3,Assumptions!$G$101,Assumptions!$G$102,Assumptions!$G$103)</f>
        <v/>
      </c>
      <c r="R87" s="14">
        <f>CHOOSE(R$3,Assumptions!$G$101,Assumptions!$G$102,Assumptions!$G$103)</f>
        <v/>
      </c>
      <c r="S87" s="14">
        <f>CHOOSE(S$3,Assumptions!$G$101,Assumptions!$G$102,Assumptions!$G$103)</f>
        <v/>
      </c>
      <c r="T87" s="14">
        <f>CHOOSE(T$3,Assumptions!$G$101,Assumptions!$G$102,Assumptions!$G$103)</f>
        <v/>
      </c>
      <c r="U87" s="14">
        <f>CHOOSE(U$3,Assumptions!$G$101,Assumptions!$G$102,Assumptions!$G$103)</f>
        <v/>
      </c>
      <c r="V87" s="14">
        <f>CHOOSE(V$3,Assumptions!$G$101,Assumptions!$G$102,Assumptions!$G$103)</f>
        <v/>
      </c>
      <c r="W87" s="14">
        <f>CHOOSE(W$3,Assumptions!$G$101,Assumptions!$G$102,Assumptions!$G$103)</f>
        <v/>
      </c>
      <c r="X87" s="14">
        <f>CHOOSE(X$3,Assumptions!$G$101,Assumptions!$G$102,Assumptions!$G$103)</f>
        <v/>
      </c>
      <c r="Y87" s="14">
        <f>CHOOSE(Y$3,Assumptions!$G$101,Assumptions!$G$102,Assumptions!$G$103)</f>
        <v/>
      </c>
      <c r="Z87" s="14">
        <f>CHOOSE(Z$3,Assumptions!$G$101,Assumptions!$G$102,Assumptions!$G$103)</f>
        <v/>
      </c>
      <c r="AA87" s="14">
        <f>CHOOSE(AA$3,Assumptions!$G$101,Assumptions!$G$102,Assumptions!$G$103)</f>
        <v/>
      </c>
      <c r="AB87" s="14">
        <f>CHOOSE(AB$3,Assumptions!$G$101,Assumptions!$G$102,Assumptions!$G$103)</f>
        <v/>
      </c>
      <c r="AC87" s="14">
        <f>CHOOSE(AC$3,Assumptions!$G$101,Assumptions!$G$102,Assumptions!$G$103)</f>
        <v/>
      </c>
      <c r="AD87" s="14">
        <f>CHOOSE(AD$3,Assumptions!$G$101,Assumptions!$G$102,Assumptions!$G$103)</f>
        <v/>
      </c>
      <c r="AE87" s="14">
        <f>CHOOSE(AE$3,Assumptions!$G$101,Assumptions!$G$102,Assumptions!$G$103)</f>
        <v/>
      </c>
      <c r="AF87" s="14">
        <f>CHOOSE(AF$3,Assumptions!$G$101,Assumptions!$G$102,Assumptions!$G$103)</f>
        <v/>
      </c>
      <c r="AG87" s="14">
        <f>CHOOSE(AG$3,Assumptions!$G$101,Assumptions!$G$102,Assumptions!$G$103)</f>
        <v/>
      </c>
      <c r="AH87" s="14">
        <f>CHOOSE(AH$3,Assumptions!$G$101,Assumptions!$G$102,Assumptions!$G$103)</f>
        <v/>
      </c>
      <c r="AI87" s="14">
        <f>CHOOSE(AI$3,Assumptions!$G$101,Assumptions!$G$102,Assumptions!$G$103)</f>
        <v/>
      </c>
      <c r="AJ87" s="14">
        <f>CHOOSE(AJ$3,Assumptions!$G$101,Assumptions!$G$102,Assumptions!$G$103)</f>
        <v/>
      </c>
      <c r="AK87" s="14">
        <f>CHOOSE(AK$3,Assumptions!$G$101,Assumptions!$G$102,Assumptions!$G$103)</f>
        <v/>
      </c>
      <c r="AL87" s="14">
        <f>CHOOSE(AL$3,Assumptions!$G$101,Assumptions!$G$102,Assumptions!$G$103)</f>
        <v/>
      </c>
    </row>
    <row r="88">
      <c r="A88" s="6" t="inlineStr">
        <is>
          <t>Apple / Google developer fees</t>
        </is>
      </c>
      <c r="B88" s="2" t="inlineStr">
        <is>
          <t>opex_stores</t>
        </is>
      </c>
      <c r="C88" s="14">
        <f>(IF((MOD((C$2-1),12)=0),Assumptions!$G$104,0)+IF((C$2=1),Assumptions!$G$105,0))</f>
        <v/>
      </c>
      <c r="D88" s="14">
        <f>(IF((MOD((D$2-1),12)=0),Assumptions!$G$104,0)+IF((D$2=1),Assumptions!$G$105,0))</f>
        <v/>
      </c>
      <c r="E88" s="14">
        <f>(IF((MOD((E$2-1),12)=0),Assumptions!$G$104,0)+IF((E$2=1),Assumptions!$G$105,0))</f>
        <v/>
      </c>
      <c r="F88" s="14">
        <f>(IF((MOD((F$2-1),12)=0),Assumptions!$G$104,0)+IF((F$2=1),Assumptions!$G$105,0))</f>
        <v/>
      </c>
      <c r="G88" s="14">
        <f>(IF((MOD((G$2-1),12)=0),Assumptions!$G$104,0)+IF((G$2=1),Assumptions!$G$105,0))</f>
        <v/>
      </c>
      <c r="H88" s="14">
        <f>(IF((MOD((H$2-1),12)=0),Assumptions!$G$104,0)+IF((H$2=1),Assumptions!$G$105,0))</f>
        <v/>
      </c>
      <c r="I88" s="14">
        <f>(IF((MOD((I$2-1),12)=0),Assumptions!$G$104,0)+IF((I$2=1),Assumptions!$G$105,0))</f>
        <v/>
      </c>
      <c r="J88" s="14">
        <f>(IF((MOD((J$2-1),12)=0),Assumptions!$G$104,0)+IF((J$2=1),Assumptions!$G$105,0))</f>
        <v/>
      </c>
      <c r="K88" s="14">
        <f>(IF((MOD((K$2-1),12)=0),Assumptions!$G$104,0)+IF((K$2=1),Assumptions!$G$105,0))</f>
        <v/>
      </c>
      <c r="L88" s="14">
        <f>(IF((MOD((L$2-1),12)=0),Assumptions!$G$104,0)+IF((L$2=1),Assumptions!$G$105,0))</f>
        <v/>
      </c>
      <c r="M88" s="14">
        <f>(IF((MOD((M$2-1),12)=0),Assumptions!$G$104,0)+IF((M$2=1),Assumptions!$G$105,0))</f>
        <v/>
      </c>
      <c r="N88" s="14">
        <f>(IF((MOD((N$2-1),12)=0),Assumptions!$G$104,0)+IF((N$2=1),Assumptions!$G$105,0))</f>
        <v/>
      </c>
      <c r="O88" s="14">
        <f>(IF((MOD((O$2-1),12)=0),Assumptions!$G$104,0)+IF((O$2=1),Assumptions!$G$105,0))</f>
        <v/>
      </c>
      <c r="P88" s="14">
        <f>(IF((MOD((P$2-1),12)=0),Assumptions!$G$104,0)+IF((P$2=1),Assumptions!$G$105,0))</f>
        <v/>
      </c>
      <c r="Q88" s="14">
        <f>(IF((MOD((Q$2-1),12)=0),Assumptions!$G$104,0)+IF((Q$2=1),Assumptions!$G$105,0))</f>
        <v/>
      </c>
      <c r="R88" s="14">
        <f>(IF((MOD((R$2-1),12)=0),Assumptions!$G$104,0)+IF((R$2=1),Assumptions!$G$105,0))</f>
        <v/>
      </c>
      <c r="S88" s="14">
        <f>(IF((MOD((S$2-1),12)=0),Assumptions!$G$104,0)+IF((S$2=1),Assumptions!$G$105,0))</f>
        <v/>
      </c>
      <c r="T88" s="14">
        <f>(IF((MOD((T$2-1),12)=0),Assumptions!$G$104,0)+IF((T$2=1),Assumptions!$G$105,0))</f>
        <v/>
      </c>
      <c r="U88" s="14">
        <f>(IF((MOD((U$2-1),12)=0),Assumptions!$G$104,0)+IF((U$2=1),Assumptions!$G$105,0))</f>
        <v/>
      </c>
      <c r="V88" s="14">
        <f>(IF((MOD((V$2-1),12)=0),Assumptions!$G$104,0)+IF((V$2=1),Assumptions!$G$105,0))</f>
        <v/>
      </c>
      <c r="W88" s="14">
        <f>(IF((MOD((W$2-1),12)=0),Assumptions!$G$104,0)+IF((W$2=1),Assumptions!$G$105,0))</f>
        <v/>
      </c>
      <c r="X88" s="14">
        <f>(IF((MOD((X$2-1),12)=0),Assumptions!$G$104,0)+IF((X$2=1),Assumptions!$G$105,0))</f>
        <v/>
      </c>
      <c r="Y88" s="14">
        <f>(IF((MOD((Y$2-1),12)=0),Assumptions!$G$104,0)+IF((Y$2=1),Assumptions!$G$105,0))</f>
        <v/>
      </c>
      <c r="Z88" s="14">
        <f>(IF((MOD((Z$2-1),12)=0),Assumptions!$G$104,0)+IF((Z$2=1),Assumptions!$G$105,0))</f>
        <v/>
      </c>
      <c r="AA88" s="14">
        <f>(IF((MOD((AA$2-1),12)=0),Assumptions!$G$104,0)+IF((AA$2=1),Assumptions!$G$105,0))</f>
        <v/>
      </c>
      <c r="AB88" s="14">
        <f>(IF((MOD((AB$2-1),12)=0),Assumptions!$G$104,0)+IF((AB$2=1),Assumptions!$G$105,0))</f>
        <v/>
      </c>
      <c r="AC88" s="14">
        <f>(IF((MOD((AC$2-1),12)=0),Assumptions!$G$104,0)+IF((AC$2=1),Assumptions!$G$105,0))</f>
        <v/>
      </c>
      <c r="AD88" s="14">
        <f>(IF((MOD((AD$2-1),12)=0),Assumptions!$G$104,0)+IF((AD$2=1),Assumptions!$G$105,0))</f>
        <v/>
      </c>
      <c r="AE88" s="14">
        <f>(IF((MOD((AE$2-1),12)=0),Assumptions!$G$104,0)+IF((AE$2=1),Assumptions!$G$105,0))</f>
        <v/>
      </c>
      <c r="AF88" s="14">
        <f>(IF((MOD((AF$2-1),12)=0),Assumptions!$G$104,0)+IF((AF$2=1),Assumptions!$G$105,0))</f>
        <v/>
      </c>
      <c r="AG88" s="14">
        <f>(IF((MOD((AG$2-1),12)=0),Assumptions!$G$104,0)+IF((AG$2=1),Assumptions!$G$105,0))</f>
        <v/>
      </c>
      <c r="AH88" s="14">
        <f>(IF((MOD((AH$2-1),12)=0),Assumptions!$G$104,0)+IF((AH$2=1),Assumptions!$G$105,0))</f>
        <v/>
      </c>
      <c r="AI88" s="14">
        <f>(IF((MOD((AI$2-1),12)=0),Assumptions!$G$104,0)+IF((AI$2=1),Assumptions!$G$105,0))</f>
        <v/>
      </c>
      <c r="AJ88" s="14">
        <f>(IF((MOD((AJ$2-1),12)=0),Assumptions!$G$104,0)+IF((AJ$2=1),Assumptions!$G$105,0))</f>
        <v/>
      </c>
      <c r="AK88" s="14">
        <f>(IF((MOD((AK$2-1),12)=0),Assumptions!$G$104,0)+IF((AK$2=1),Assumptions!$G$105,0))</f>
        <v/>
      </c>
      <c r="AL88" s="14">
        <f>(IF((MOD((AL$2-1),12)=0),Assumptions!$G$104,0)+IF((AL$2=1),Assumptions!$G$105,0))</f>
        <v/>
      </c>
    </row>
    <row r="89">
      <c r="A89" s="6" t="inlineStr">
        <is>
          <t>Insurance</t>
        </is>
      </c>
      <c r="B89" s="2" t="inlineStr">
        <is>
          <t>opex_insurance</t>
        </is>
      </c>
      <c r="C89" s="14">
        <f>Assumptions!$G$106</f>
        <v/>
      </c>
      <c r="D89" s="14">
        <f>Assumptions!$G$106</f>
        <v/>
      </c>
      <c r="E89" s="14">
        <f>Assumptions!$G$106</f>
        <v/>
      </c>
      <c r="F89" s="14">
        <f>Assumptions!$G$106</f>
        <v/>
      </c>
      <c r="G89" s="14">
        <f>Assumptions!$G$106</f>
        <v/>
      </c>
      <c r="H89" s="14">
        <f>Assumptions!$G$106</f>
        <v/>
      </c>
      <c r="I89" s="14">
        <f>Assumptions!$G$106</f>
        <v/>
      </c>
      <c r="J89" s="14">
        <f>Assumptions!$G$106</f>
        <v/>
      </c>
      <c r="K89" s="14">
        <f>Assumptions!$G$106</f>
        <v/>
      </c>
      <c r="L89" s="14">
        <f>Assumptions!$G$106</f>
        <v/>
      </c>
      <c r="M89" s="14">
        <f>Assumptions!$G$106</f>
        <v/>
      </c>
      <c r="N89" s="14">
        <f>Assumptions!$G$106</f>
        <v/>
      </c>
      <c r="O89" s="14">
        <f>Assumptions!$G$106</f>
        <v/>
      </c>
      <c r="P89" s="14">
        <f>Assumptions!$G$106</f>
        <v/>
      </c>
      <c r="Q89" s="14">
        <f>Assumptions!$G$106</f>
        <v/>
      </c>
      <c r="R89" s="14">
        <f>Assumptions!$G$106</f>
        <v/>
      </c>
      <c r="S89" s="14">
        <f>Assumptions!$G$106</f>
        <v/>
      </c>
      <c r="T89" s="14">
        <f>Assumptions!$G$106</f>
        <v/>
      </c>
      <c r="U89" s="14">
        <f>Assumptions!$G$106</f>
        <v/>
      </c>
      <c r="V89" s="14">
        <f>Assumptions!$G$106</f>
        <v/>
      </c>
      <c r="W89" s="14">
        <f>Assumptions!$G$106</f>
        <v/>
      </c>
      <c r="X89" s="14">
        <f>Assumptions!$G$106</f>
        <v/>
      </c>
      <c r="Y89" s="14">
        <f>Assumptions!$G$106</f>
        <v/>
      </c>
      <c r="Z89" s="14">
        <f>Assumptions!$G$106</f>
        <v/>
      </c>
      <c r="AA89" s="14">
        <f>Assumptions!$G$106</f>
        <v/>
      </c>
      <c r="AB89" s="14">
        <f>Assumptions!$G$106</f>
        <v/>
      </c>
      <c r="AC89" s="14">
        <f>Assumptions!$G$106</f>
        <v/>
      </c>
      <c r="AD89" s="14">
        <f>Assumptions!$G$106</f>
        <v/>
      </c>
      <c r="AE89" s="14">
        <f>Assumptions!$G$106</f>
        <v/>
      </c>
      <c r="AF89" s="14">
        <f>Assumptions!$G$106</f>
        <v/>
      </c>
      <c r="AG89" s="14">
        <f>Assumptions!$G$106</f>
        <v/>
      </c>
      <c r="AH89" s="14">
        <f>Assumptions!$G$106</f>
        <v/>
      </c>
      <c r="AI89" s="14">
        <f>Assumptions!$G$106</f>
        <v/>
      </c>
      <c r="AJ89" s="14">
        <f>Assumptions!$G$106</f>
        <v/>
      </c>
      <c r="AK89" s="14">
        <f>Assumptions!$G$106</f>
        <v/>
      </c>
      <c r="AL89" s="14">
        <f>Assumptions!$G$106</f>
        <v/>
      </c>
    </row>
    <row r="90">
      <c r="A90" s="21" t="inlineStr">
        <is>
          <t>Total operating expenses</t>
        </is>
      </c>
      <c r="B90" s="2" t="inlineStr">
        <is>
          <t>opex_total</t>
        </is>
      </c>
      <c r="C90" s="23">
        <f>((((((((C81+C82)+C83)+C84)+C85)+C86)+C87)+C88)+C89)</f>
        <v/>
      </c>
      <c r="D90" s="23">
        <f>((((((((D81+D82)+D83)+D84)+D85)+D86)+D87)+D88)+D89)</f>
        <v/>
      </c>
      <c r="E90" s="23">
        <f>((((((((E81+E82)+E83)+E84)+E85)+E86)+E87)+E88)+E89)</f>
        <v/>
      </c>
      <c r="F90" s="23">
        <f>((((((((F81+F82)+F83)+F84)+F85)+F86)+F87)+F88)+F89)</f>
        <v/>
      </c>
      <c r="G90" s="23">
        <f>((((((((G81+G82)+G83)+G84)+G85)+G86)+G87)+G88)+G89)</f>
        <v/>
      </c>
      <c r="H90" s="23">
        <f>((((((((H81+H82)+H83)+H84)+H85)+H86)+H87)+H88)+H89)</f>
        <v/>
      </c>
      <c r="I90" s="23">
        <f>((((((((I81+I82)+I83)+I84)+I85)+I86)+I87)+I88)+I89)</f>
        <v/>
      </c>
      <c r="J90" s="23">
        <f>((((((((J81+J82)+J83)+J84)+J85)+J86)+J87)+J88)+J89)</f>
        <v/>
      </c>
      <c r="K90" s="23">
        <f>((((((((K81+K82)+K83)+K84)+K85)+K86)+K87)+K88)+K89)</f>
        <v/>
      </c>
      <c r="L90" s="23">
        <f>((((((((L81+L82)+L83)+L84)+L85)+L86)+L87)+L88)+L89)</f>
        <v/>
      </c>
      <c r="M90" s="23">
        <f>((((((((M81+M82)+M83)+M84)+M85)+M86)+M87)+M88)+M89)</f>
        <v/>
      </c>
      <c r="N90" s="23">
        <f>((((((((N81+N82)+N83)+N84)+N85)+N86)+N87)+N88)+N89)</f>
        <v/>
      </c>
      <c r="O90" s="23">
        <f>((((((((O81+O82)+O83)+O84)+O85)+O86)+O87)+O88)+O89)</f>
        <v/>
      </c>
      <c r="P90" s="23">
        <f>((((((((P81+P82)+P83)+P84)+P85)+P86)+P87)+P88)+P89)</f>
        <v/>
      </c>
      <c r="Q90" s="23">
        <f>((((((((Q81+Q82)+Q83)+Q84)+Q85)+Q86)+Q87)+Q88)+Q89)</f>
        <v/>
      </c>
      <c r="R90" s="23">
        <f>((((((((R81+R82)+R83)+R84)+R85)+R86)+R87)+R88)+R89)</f>
        <v/>
      </c>
      <c r="S90" s="23">
        <f>((((((((S81+S82)+S83)+S84)+S85)+S86)+S87)+S88)+S89)</f>
        <v/>
      </c>
      <c r="T90" s="23">
        <f>((((((((T81+T82)+T83)+T84)+T85)+T86)+T87)+T88)+T89)</f>
        <v/>
      </c>
      <c r="U90" s="23">
        <f>((((((((U81+U82)+U83)+U84)+U85)+U86)+U87)+U88)+U89)</f>
        <v/>
      </c>
      <c r="V90" s="23">
        <f>((((((((V81+V82)+V83)+V84)+V85)+V86)+V87)+V88)+V89)</f>
        <v/>
      </c>
      <c r="W90" s="23">
        <f>((((((((W81+W82)+W83)+W84)+W85)+W86)+W87)+W88)+W89)</f>
        <v/>
      </c>
      <c r="X90" s="23">
        <f>((((((((X81+X82)+X83)+X84)+X85)+X86)+X87)+X88)+X89)</f>
        <v/>
      </c>
      <c r="Y90" s="23">
        <f>((((((((Y81+Y82)+Y83)+Y84)+Y85)+Y86)+Y87)+Y88)+Y89)</f>
        <v/>
      </c>
      <c r="Z90" s="23">
        <f>((((((((Z81+Z82)+Z83)+Z84)+Z85)+Z86)+Z87)+Z88)+Z89)</f>
        <v/>
      </c>
      <c r="AA90" s="23">
        <f>((((((((AA81+AA82)+AA83)+AA84)+AA85)+AA86)+AA87)+AA88)+AA89)</f>
        <v/>
      </c>
      <c r="AB90" s="23">
        <f>((((((((AB81+AB82)+AB83)+AB84)+AB85)+AB86)+AB87)+AB88)+AB89)</f>
        <v/>
      </c>
      <c r="AC90" s="23">
        <f>((((((((AC81+AC82)+AC83)+AC84)+AC85)+AC86)+AC87)+AC88)+AC89)</f>
        <v/>
      </c>
      <c r="AD90" s="23">
        <f>((((((((AD81+AD82)+AD83)+AD84)+AD85)+AD86)+AD87)+AD88)+AD89)</f>
        <v/>
      </c>
      <c r="AE90" s="23">
        <f>((((((((AE81+AE82)+AE83)+AE84)+AE85)+AE86)+AE87)+AE88)+AE89)</f>
        <v/>
      </c>
      <c r="AF90" s="23">
        <f>((((((((AF81+AF82)+AF83)+AF84)+AF85)+AF86)+AF87)+AF88)+AF89)</f>
        <v/>
      </c>
      <c r="AG90" s="23">
        <f>((((((((AG81+AG82)+AG83)+AG84)+AG85)+AG86)+AG87)+AG88)+AG89)</f>
        <v/>
      </c>
      <c r="AH90" s="23">
        <f>((((((((AH81+AH82)+AH83)+AH84)+AH85)+AH86)+AH87)+AH88)+AH89)</f>
        <v/>
      </c>
      <c r="AI90" s="23">
        <f>((((((((AI81+AI82)+AI83)+AI84)+AI85)+AI86)+AI87)+AI88)+AI89)</f>
        <v/>
      </c>
      <c r="AJ90" s="23">
        <f>((((((((AJ81+AJ82)+AJ83)+AJ84)+AJ85)+AJ86)+AJ87)+AJ88)+AJ89)</f>
        <v/>
      </c>
      <c r="AK90" s="23">
        <f>((((((((AK81+AK82)+AK83)+AK84)+AK85)+AK86)+AK87)+AK88)+AK89)</f>
        <v/>
      </c>
      <c r="AL90" s="23">
        <f>((((((((AL81+AL82)+AL83)+AL84)+AL85)+AL86)+AL87)+AL88)+AL89)</f>
        <v/>
      </c>
    </row>
    <row r="91">
      <c r="A91" s="21" t="inlineStr">
        <is>
          <t>OPERATING INCOME (EBIT)</t>
        </is>
      </c>
      <c r="B91" s="2" t="inlineStr">
        <is>
          <t>ebit</t>
        </is>
      </c>
      <c r="C91" s="23">
        <f>(C77-C90)</f>
        <v/>
      </c>
      <c r="D91" s="23">
        <f>(D77-D90)</f>
        <v/>
      </c>
      <c r="E91" s="23">
        <f>(E77-E90)</f>
        <v/>
      </c>
      <c r="F91" s="23">
        <f>(F77-F90)</f>
        <v/>
      </c>
      <c r="G91" s="23">
        <f>(G77-G90)</f>
        <v/>
      </c>
      <c r="H91" s="23">
        <f>(H77-H90)</f>
        <v/>
      </c>
      <c r="I91" s="23">
        <f>(I77-I90)</f>
        <v/>
      </c>
      <c r="J91" s="23">
        <f>(J77-J90)</f>
        <v/>
      </c>
      <c r="K91" s="23">
        <f>(K77-K90)</f>
        <v/>
      </c>
      <c r="L91" s="23">
        <f>(L77-L90)</f>
        <v/>
      </c>
      <c r="M91" s="23">
        <f>(M77-M90)</f>
        <v/>
      </c>
      <c r="N91" s="23">
        <f>(N77-N90)</f>
        <v/>
      </c>
      <c r="O91" s="23">
        <f>(O77-O90)</f>
        <v/>
      </c>
      <c r="P91" s="23">
        <f>(P77-P90)</f>
        <v/>
      </c>
      <c r="Q91" s="23">
        <f>(Q77-Q90)</f>
        <v/>
      </c>
      <c r="R91" s="23">
        <f>(R77-R90)</f>
        <v/>
      </c>
      <c r="S91" s="23">
        <f>(S77-S90)</f>
        <v/>
      </c>
      <c r="T91" s="23">
        <f>(T77-T90)</f>
        <v/>
      </c>
      <c r="U91" s="23">
        <f>(U77-U90)</f>
        <v/>
      </c>
      <c r="V91" s="23">
        <f>(V77-V90)</f>
        <v/>
      </c>
      <c r="W91" s="23">
        <f>(W77-W90)</f>
        <v/>
      </c>
      <c r="X91" s="23">
        <f>(X77-X90)</f>
        <v/>
      </c>
      <c r="Y91" s="23">
        <f>(Y77-Y90)</f>
        <v/>
      </c>
      <c r="Z91" s="23">
        <f>(Z77-Z90)</f>
        <v/>
      </c>
      <c r="AA91" s="23">
        <f>(AA77-AA90)</f>
        <v/>
      </c>
      <c r="AB91" s="23">
        <f>(AB77-AB90)</f>
        <v/>
      </c>
      <c r="AC91" s="23">
        <f>(AC77-AC90)</f>
        <v/>
      </c>
      <c r="AD91" s="23">
        <f>(AD77-AD90)</f>
        <v/>
      </c>
      <c r="AE91" s="23">
        <f>(AE77-AE90)</f>
        <v/>
      </c>
      <c r="AF91" s="23">
        <f>(AF77-AF90)</f>
        <v/>
      </c>
      <c r="AG91" s="23">
        <f>(AG77-AG90)</f>
        <v/>
      </c>
      <c r="AH91" s="23">
        <f>(AH77-AH90)</f>
        <v/>
      </c>
      <c r="AI91" s="23">
        <f>(AI77-AI90)</f>
        <v/>
      </c>
      <c r="AJ91" s="23">
        <f>(AJ77-AJ90)</f>
        <v/>
      </c>
      <c r="AK91" s="23">
        <f>(AK77-AK90)</f>
        <v/>
      </c>
      <c r="AL91" s="23">
        <f>(AL77-AL90)</f>
        <v/>
      </c>
    </row>
    <row r="92">
      <c r="A92" s="6" t="inlineStr">
        <is>
          <t>Operating margin</t>
        </is>
      </c>
      <c r="B92" s="2" t="inlineStr">
        <is>
          <t>ebit_margin</t>
        </is>
      </c>
      <c r="C92" s="16">
        <f>IF(C67=0,0,C91/C67)</f>
        <v/>
      </c>
      <c r="D92" s="16">
        <f>IF(D67=0,0,D91/D67)</f>
        <v/>
      </c>
      <c r="E92" s="16">
        <f>IF(E67=0,0,E91/E67)</f>
        <v/>
      </c>
      <c r="F92" s="16">
        <f>IF(F67=0,0,F91/F67)</f>
        <v/>
      </c>
      <c r="G92" s="16">
        <f>IF(G67=0,0,G91/G67)</f>
        <v/>
      </c>
      <c r="H92" s="16">
        <f>IF(H67=0,0,H91/H67)</f>
        <v/>
      </c>
      <c r="I92" s="16">
        <f>IF(I67=0,0,I91/I67)</f>
        <v/>
      </c>
      <c r="J92" s="16">
        <f>IF(J67=0,0,J91/J67)</f>
        <v/>
      </c>
      <c r="K92" s="16">
        <f>IF(K67=0,0,K91/K67)</f>
        <v/>
      </c>
      <c r="L92" s="16">
        <f>IF(L67=0,0,L91/L67)</f>
        <v/>
      </c>
      <c r="M92" s="16">
        <f>IF(M67=0,0,M91/M67)</f>
        <v/>
      </c>
      <c r="N92" s="16">
        <f>IF(N67=0,0,N91/N67)</f>
        <v/>
      </c>
      <c r="O92" s="16">
        <f>IF(O67=0,0,O91/O67)</f>
        <v/>
      </c>
      <c r="P92" s="16">
        <f>IF(P67=0,0,P91/P67)</f>
        <v/>
      </c>
      <c r="Q92" s="16">
        <f>IF(Q67=0,0,Q91/Q67)</f>
        <v/>
      </c>
      <c r="R92" s="16">
        <f>IF(R67=0,0,R91/R67)</f>
        <v/>
      </c>
      <c r="S92" s="16">
        <f>IF(S67=0,0,S91/S67)</f>
        <v/>
      </c>
      <c r="T92" s="16">
        <f>IF(T67=0,0,T91/T67)</f>
        <v/>
      </c>
      <c r="U92" s="16">
        <f>IF(U67=0,0,U91/U67)</f>
        <v/>
      </c>
      <c r="V92" s="16">
        <f>IF(V67=0,0,V91/V67)</f>
        <v/>
      </c>
      <c r="W92" s="16">
        <f>IF(W67=0,0,W91/W67)</f>
        <v/>
      </c>
      <c r="X92" s="16">
        <f>IF(X67=0,0,X91/X67)</f>
        <v/>
      </c>
      <c r="Y92" s="16">
        <f>IF(Y67=0,0,Y91/Y67)</f>
        <v/>
      </c>
      <c r="Z92" s="16">
        <f>IF(Z67=0,0,Z91/Z67)</f>
        <v/>
      </c>
      <c r="AA92" s="16">
        <f>IF(AA67=0,0,AA91/AA67)</f>
        <v/>
      </c>
      <c r="AB92" s="16">
        <f>IF(AB67=0,0,AB91/AB67)</f>
        <v/>
      </c>
      <c r="AC92" s="16">
        <f>IF(AC67=0,0,AC91/AC67)</f>
        <v/>
      </c>
      <c r="AD92" s="16">
        <f>IF(AD67=0,0,AD91/AD67)</f>
        <v/>
      </c>
      <c r="AE92" s="16">
        <f>IF(AE67=0,0,AE91/AE67)</f>
        <v/>
      </c>
      <c r="AF92" s="16">
        <f>IF(AF67=0,0,AF91/AF67)</f>
        <v/>
      </c>
      <c r="AG92" s="16">
        <f>IF(AG67=0,0,AG91/AG67)</f>
        <v/>
      </c>
      <c r="AH92" s="16">
        <f>IF(AH67=0,0,AH91/AH67)</f>
        <v/>
      </c>
      <c r="AI92" s="16">
        <f>IF(AI67=0,0,AI91/AI67)</f>
        <v/>
      </c>
      <c r="AJ92" s="16">
        <f>IF(AJ67=0,0,AJ91/AJ67)</f>
        <v/>
      </c>
      <c r="AK92" s="16">
        <f>IF(AK67=0,0,AK91/AK67)</f>
        <v/>
      </c>
      <c r="AL92" s="16">
        <f>IF(AL67=0,0,AL91/AL67)</f>
        <v/>
      </c>
    </row>
    <row r="94">
      <c r="A94" s="4" t="inlineStr">
        <is>
          <t>CASH</t>
        </is>
      </c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</row>
    <row r="95">
      <c r="A95" s="6" t="inlineStr">
        <is>
          <t>In-app billings net of refunds &amp; store fee</t>
        </is>
      </c>
      <c r="B95" s="2" t="inlineStr">
        <is>
          <t>bill_net</t>
        </is>
      </c>
      <c r="C95" s="14">
        <f>(C30*Assumptions!$G$112)</f>
        <v/>
      </c>
      <c r="D95" s="14">
        <f>(D30*Assumptions!$G$112)</f>
        <v/>
      </c>
      <c r="E95" s="14">
        <f>(E30*Assumptions!$G$112)</f>
        <v/>
      </c>
      <c r="F95" s="14">
        <f>(F30*Assumptions!$G$112)</f>
        <v/>
      </c>
      <c r="G95" s="14">
        <f>(G30*Assumptions!$G$112)</f>
        <v/>
      </c>
      <c r="H95" s="14">
        <f>(H30*Assumptions!$G$112)</f>
        <v/>
      </c>
      <c r="I95" s="14">
        <f>(I30*Assumptions!$G$112)</f>
        <v/>
      </c>
      <c r="J95" s="14">
        <f>(J30*Assumptions!$G$112)</f>
        <v/>
      </c>
      <c r="K95" s="14">
        <f>(K30*Assumptions!$G$112)</f>
        <v/>
      </c>
      <c r="L95" s="14">
        <f>(L30*Assumptions!$G$112)</f>
        <v/>
      </c>
      <c r="M95" s="14">
        <f>(M30*Assumptions!$G$112)</f>
        <v/>
      </c>
      <c r="N95" s="14">
        <f>(N30*Assumptions!$G$112)</f>
        <v/>
      </c>
      <c r="O95" s="14">
        <f>(O30*Assumptions!$G$112)</f>
        <v/>
      </c>
      <c r="P95" s="14">
        <f>(P30*Assumptions!$G$112)</f>
        <v/>
      </c>
      <c r="Q95" s="14">
        <f>(Q30*Assumptions!$G$112)</f>
        <v/>
      </c>
      <c r="R95" s="14">
        <f>(R30*Assumptions!$G$112)</f>
        <v/>
      </c>
      <c r="S95" s="14">
        <f>(S30*Assumptions!$G$112)</f>
        <v/>
      </c>
      <c r="T95" s="14">
        <f>(T30*Assumptions!$G$112)</f>
        <v/>
      </c>
      <c r="U95" s="14">
        <f>(U30*Assumptions!$G$112)</f>
        <v/>
      </c>
      <c r="V95" s="14">
        <f>(V30*Assumptions!$G$112)</f>
        <v/>
      </c>
      <c r="W95" s="14">
        <f>(W30*Assumptions!$G$112)</f>
        <v/>
      </c>
      <c r="X95" s="14">
        <f>(X30*Assumptions!$G$112)</f>
        <v/>
      </c>
      <c r="Y95" s="14">
        <f>(Y30*Assumptions!$G$112)</f>
        <v/>
      </c>
      <c r="Z95" s="14">
        <f>(Z30*Assumptions!$G$112)</f>
        <v/>
      </c>
      <c r="AA95" s="14">
        <f>(AA30*Assumptions!$G$112)</f>
        <v/>
      </c>
      <c r="AB95" s="14">
        <f>(AB30*Assumptions!$G$112)</f>
        <v/>
      </c>
      <c r="AC95" s="14">
        <f>(AC30*Assumptions!$G$112)</f>
        <v/>
      </c>
      <c r="AD95" s="14">
        <f>(AD30*Assumptions!$G$112)</f>
        <v/>
      </c>
      <c r="AE95" s="14">
        <f>(AE30*Assumptions!$G$112)</f>
        <v/>
      </c>
      <c r="AF95" s="14">
        <f>(AF30*Assumptions!$G$112)</f>
        <v/>
      </c>
      <c r="AG95" s="14">
        <f>(AG30*Assumptions!$G$112)</f>
        <v/>
      </c>
      <c r="AH95" s="14">
        <f>(AH30*Assumptions!$G$112)</f>
        <v/>
      </c>
      <c r="AI95" s="14">
        <f>(AI30*Assumptions!$G$112)</f>
        <v/>
      </c>
      <c r="AJ95" s="14">
        <f>(AJ30*Assumptions!$G$112)</f>
        <v/>
      </c>
      <c r="AK95" s="14">
        <f>(AK30*Assumptions!$G$112)</f>
        <v/>
      </c>
      <c r="AL95" s="14">
        <f>(AL30*Assumptions!$G$112)</f>
        <v/>
      </c>
    </row>
    <row r="96">
      <c r="A96" s="6" t="inlineStr">
        <is>
          <t>Change in deferred revenue (annual plans paid upfront)</t>
        </is>
      </c>
      <c r="B96" s="2" t="inlineStr">
        <is>
          <t>deferred_chg</t>
        </is>
      </c>
      <c r="C96" s="14">
        <f>(C95-C60)</f>
        <v/>
      </c>
      <c r="D96" s="14">
        <f>(D95-D60)</f>
        <v/>
      </c>
      <c r="E96" s="14">
        <f>(E95-E60)</f>
        <v/>
      </c>
      <c r="F96" s="14">
        <f>(F95-F60)</f>
        <v/>
      </c>
      <c r="G96" s="14">
        <f>(G95-G60)</f>
        <v/>
      </c>
      <c r="H96" s="14">
        <f>(H95-H60)</f>
        <v/>
      </c>
      <c r="I96" s="14">
        <f>(I95-I60)</f>
        <v/>
      </c>
      <c r="J96" s="14">
        <f>(J95-J60)</f>
        <v/>
      </c>
      <c r="K96" s="14">
        <f>(K95-K60)</f>
        <v/>
      </c>
      <c r="L96" s="14">
        <f>(L95-L60)</f>
        <v/>
      </c>
      <c r="M96" s="14">
        <f>(M95-M60)</f>
        <v/>
      </c>
      <c r="N96" s="14">
        <f>(N95-N60)</f>
        <v/>
      </c>
      <c r="O96" s="14">
        <f>(O95-O60)</f>
        <v/>
      </c>
      <c r="P96" s="14">
        <f>(P95-P60)</f>
        <v/>
      </c>
      <c r="Q96" s="14">
        <f>(Q95-Q60)</f>
        <v/>
      </c>
      <c r="R96" s="14">
        <f>(R95-R60)</f>
        <v/>
      </c>
      <c r="S96" s="14">
        <f>(S95-S60)</f>
        <v/>
      </c>
      <c r="T96" s="14">
        <f>(T95-T60)</f>
        <v/>
      </c>
      <c r="U96" s="14">
        <f>(U95-U60)</f>
        <v/>
      </c>
      <c r="V96" s="14">
        <f>(V95-V60)</f>
        <v/>
      </c>
      <c r="W96" s="14">
        <f>(W95-W60)</f>
        <v/>
      </c>
      <c r="X96" s="14">
        <f>(X95-X60)</f>
        <v/>
      </c>
      <c r="Y96" s="14">
        <f>(Y95-Y60)</f>
        <v/>
      </c>
      <c r="Z96" s="14">
        <f>(Z95-Z60)</f>
        <v/>
      </c>
      <c r="AA96" s="14">
        <f>(AA95-AA60)</f>
        <v/>
      </c>
      <c r="AB96" s="14">
        <f>(AB95-AB60)</f>
        <v/>
      </c>
      <c r="AC96" s="14">
        <f>(AC95-AC60)</f>
        <v/>
      </c>
      <c r="AD96" s="14">
        <f>(AD95-AD60)</f>
        <v/>
      </c>
      <c r="AE96" s="14">
        <f>(AE95-AE60)</f>
        <v/>
      </c>
      <c r="AF96" s="14">
        <f>(AF95-AF60)</f>
        <v/>
      </c>
      <c r="AG96" s="14">
        <f>(AG95-AG60)</f>
        <v/>
      </c>
      <c r="AH96" s="14">
        <f>(AH95-AH60)</f>
        <v/>
      </c>
      <c r="AI96" s="14">
        <f>(AI95-AI60)</f>
        <v/>
      </c>
      <c r="AJ96" s="14">
        <f>(AJ95-AJ60)</f>
        <v/>
      </c>
      <c r="AK96" s="14">
        <f>(AK95-AK60)</f>
        <v/>
      </c>
      <c r="AL96" s="14">
        <f>(AL95-AL60)</f>
        <v/>
      </c>
    </row>
    <row r="97">
      <c r="A97" s="21" t="inlineStr">
        <is>
          <t>Operating cash flow</t>
        </is>
      </c>
      <c r="B97" s="2" t="inlineStr">
        <is>
          <t>cash_flow</t>
        </is>
      </c>
      <c r="C97" s="23">
        <f>(C91+C96)</f>
        <v/>
      </c>
      <c r="D97" s="23">
        <f>(D91+D96)</f>
        <v/>
      </c>
      <c r="E97" s="23">
        <f>(E91+E96)</f>
        <v/>
      </c>
      <c r="F97" s="23">
        <f>(F91+F96)</f>
        <v/>
      </c>
      <c r="G97" s="23">
        <f>(G91+G96)</f>
        <v/>
      </c>
      <c r="H97" s="23">
        <f>(H91+H96)</f>
        <v/>
      </c>
      <c r="I97" s="23">
        <f>(I91+I96)</f>
        <v/>
      </c>
      <c r="J97" s="23">
        <f>(J91+J96)</f>
        <v/>
      </c>
      <c r="K97" s="23">
        <f>(K91+K96)</f>
        <v/>
      </c>
      <c r="L97" s="23">
        <f>(L91+L96)</f>
        <v/>
      </c>
      <c r="M97" s="23">
        <f>(M91+M96)</f>
        <v/>
      </c>
      <c r="N97" s="23">
        <f>(N91+N96)</f>
        <v/>
      </c>
      <c r="O97" s="23">
        <f>(O91+O96)</f>
        <v/>
      </c>
      <c r="P97" s="23">
        <f>(P91+P96)</f>
        <v/>
      </c>
      <c r="Q97" s="23">
        <f>(Q91+Q96)</f>
        <v/>
      </c>
      <c r="R97" s="23">
        <f>(R91+R96)</f>
        <v/>
      </c>
      <c r="S97" s="23">
        <f>(S91+S96)</f>
        <v/>
      </c>
      <c r="T97" s="23">
        <f>(T91+T96)</f>
        <v/>
      </c>
      <c r="U97" s="23">
        <f>(U91+U96)</f>
        <v/>
      </c>
      <c r="V97" s="23">
        <f>(V91+V96)</f>
        <v/>
      </c>
      <c r="W97" s="23">
        <f>(W91+W96)</f>
        <v/>
      </c>
      <c r="X97" s="23">
        <f>(X91+X96)</f>
        <v/>
      </c>
      <c r="Y97" s="23">
        <f>(Y91+Y96)</f>
        <v/>
      </c>
      <c r="Z97" s="23">
        <f>(Z91+Z96)</f>
        <v/>
      </c>
      <c r="AA97" s="23">
        <f>(AA91+AA96)</f>
        <v/>
      </c>
      <c r="AB97" s="23">
        <f>(AB91+AB96)</f>
        <v/>
      </c>
      <c r="AC97" s="23">
        <f>(AC91+AC96)</f>
        <v/>
      </c>
      <c r="AD97" s="23">
        <f>(AD91+AD96)</f>
        <v/>
      </c>
      <c r="AE97" s="23">
        <f>(AE91+AE96)</f>
        <v/>
      </c>
      <c r="AF97" s="23">
        <f>(AF91+AF96)</f>
        <v/>
      </c>
      <c r="AG97" s="23">
        <f>(AG91+AG96)</f>
        <v/>
      </c>
      <c r="AH97" s="23">
        <f>(AH91+AH96)</f>
        <v/>
      </c>
      <c r="AI97" s="23">
        <f>(AI91+AI96)</f>
        <v/>
      </c>
      <c r="AJ97" s="23">
        <f>(AJ91+AJ96)</f>
        <v/>
      </c>
      <c r="AK97" s="23">
        <f>(AK91+AK96)</f>
        <v/>
      </c>
      <c r="AL97" s="23">
        <f>(AL91+AL96)</f>
        <v/>
      </c>
    </row>
    <row r="98">
      <c r="A98" s="21" t="inlineStr">
        <is>
          <t>Cumulative cash (from $0 at launch)</t>
        </is>
      </c>
      <c r="B98" s="2" t="inlineStr">
        <is>
          <t>cash_cum</t>
        </is>
      </c>
      <c r="C98" s="23">
        <f>(0+C97)</f>
        <v/>
      </c>
      <c r="D98" s="23">
        <f>(C98+D97)</f>
        <v/>
      </c>
      <c r="E98" s="23">
        <f>(D98+E97)</f>
        <v/>
      </c>
      <c r="F98" s="23">
        <f>(E98+F97)</f>
        <v/>
      </c>
      <c r="G98" s="23">
        <f>(F98+G97)</f>
        <v/>
      </c>
      <c r="H98" s="23">
        <f>(G98+H97)</f>
        <v/>
      </c>
      <c r="I98" s="23">
        <f>(H98+I97)</f>
        <v/>
      </c>
      <c r="J98" s="23">
        <f>(I98+J97)</f>
        <v/>
      </c>
      <c r="K98" s="23">
        <f>(J98+K97)</f>
        <v/>
      </c>
      <c r="L98" s="23">
        <f>(K98+L97)</f>
        <v/>
      </c>
      <c r="M98" s="23">
        <f>(L98+M97)</f>
        <v/>
      </c>
      <c r="N98" s="23">
        <f>(M98+N97)</f>
        <v/>
      </c>
      <c r="O98" s="23">
        <f>(N98+O97)</f>
        <v/>
      </c>
      <c r="P98" s="23">
        <f>(O98+P97)</f>
        <v/>
      </c>
      <c r="Q98" s="23">
        <f>(P98+Q97)</f>
        <v/>
      </c>
      <c r="R98" s="23">
        <f>(Q98+R97)</f>
        <v/>
      </c>
      <c r="S98" s="23">
        <f>(R98+S97)</f>
        <v/>
      </c>
      <c r="T98" s="23">
        <f>(S98+T97)</f>
        <v/>
      </c>
      <c r="U98" s="23">
        <f>(T98+U97)</f>
        <v/>
      </c>
      <c r="V98" s="23">
        <f>(U98+V97)</f>
        <v/>
      </c>
      <c r="W98" s="23">
        <f>(V98+W97)</f>
        <v/>
      </c>
      <c r="X98" s="23">
        <f>(W98+X97)</f>
        <v/>
      </c>
      <c r="Y98" s="23">
        <f>(X98+Y97)</f>
        <v/>
      </c>
      <c r="Z98" s="23">
        <f>(Y98+Z97)</f>
        <v/>
      </c>
      <c r="AA98" s="23">
        <f>(Z98+AA97)</f>
        <v/>
      </c>
      <c r="AB98" s="23">
        <f>(AA98+AB97)</f>
        <v/>
      </c>
      <c r="AC98" s="23">
        <f>(AB98+AC97)</f>
        <v/>
      </c>
      <c r="AD98" s="23">
        <f>(AC98+AD97)</f>
        <v/>
      </c>
      <c r="AE98" s="23">
        <f>(AD98+AE97)</f>
        <v/>
      </c>
      <c r="AF98" s="23">
        <f>(AE98+AF97)</f>
        <v/>
      </c>
      <c r="AG98" s="23">
        <f>(AF98+AG97)</f>
        <v/>
      </c>
      <c r="AH98" s="23">
        <f>(AG98+AH97)</f>
        <v/>
      </c>
      <c r="AI98" s="23">
        <f>(AH98+AI97)</f>
        <v/>
      </c>
      <c r="AJ98" s="23">
        <f>(AI98+AJ97)</f>
        <v/>
      </c>
      <c r="AK98" s="23">
        <f>(AJ98+AK97)</f>
        <v/>
      </c>
      <c r="AL98" s="23">
        <f>(AK98+AL97)</f>
        <v/>
      </c>
    </row>
    <row r="99">
      <c r="A99" s="6" t="inlineStr">
        <is>
          <t>Cumulative operating income</t>
        </is>
      </c>
      <c r="B99" s="2" t="inlineStr">
        <is>
          <t>ebit_cum</t>
        </is>
      </c>
      <c r="C99" s="14">
        <f>(0+C91)</f>
        <v/>
      </c>
      <c r="D99" s="14">
        <f>(C99+D91)</f>
        <v/>
      </c>
      <c r="E99" s="14">
        <f>(D99+E91)</f>
        <v/>
      </c>
      <c r="F99" s="14">
        <f>(E99+F91)</f>
        <v/>
      </c>
      <c r="G99" s="14">
        <f>(F99+G91)</f>
        <v/>
      </c>
      <c r="H99" s="14">
        <f>(G99+H91)</f>
        <v/>
      </c>
      <c r="I99" s="14">
        <f>(H99+I91)</f>
        <v/>
      </c>
      <c r="J99" s="14">
        <f>(I99+J91)</f>
        <v/>
      </c>
      <c r="K99" s="14">
        <f>(J99+K91)</f>
        <v/>
      </c>
      <c r="L99" s="14">
        <f>(K99+L91)</f>
        <v/>
      </c>
      <c r="M99" s="14">
        <f>(L99+M91)</f>
        <v/>
      </c>
      <c r="N99" s="14">
        <f>(M99+N91)</f>
        <v/>
      </c>
      <c r="O99" s="14">
        <f>(N99+O91)</f>
        <v/>
      </c>
      <c r="P99" s="14">
        <f>(O99+P91)</f>
        <v/>
      </c>
      <c r="Q99" s="14">
        <f>(P99+Q91)</f>
        <v/>
      </c>
      <c r="R99" s="14">
        <f>(Q99+R91)</f>
        <v/>
      </c>
      <c r="S99" s="14">
        <f>(R99+S91)</f>
        <v/>
      </c>
      <c r="T99" s="14">
        <f>(S99+T91)</f>
        <v/>
      </c>
      <c r="U99" s="14">
        <f>(T99+U91)</f>
        <v/>
      </c>
      <c r="V99" s="14">
        <f>(U99+V91)</f>
        <v/>
      </c>
      <c r="W99" s="14">
        <f>(V99+W91)</f>
        <v/>
      </c>
      <c r="X99" s="14">
        <f>(W99+X91)</f>
        <v/>
      </c>
      <c r="Y99" s="14">
        <f>(X99+Y91)</f>
        <v/>
      </c>
      <c r="Z99" s="14">
        <f>(Y99+Z91)</f>
        <v/>
      </c>
      <c r="AA99" s="14">
        <f>(Z99+AA91)</f>
        <v/>
      </c>
      <c r="AB99" s="14">
        <f>(AA99+AB91)</f>
        <v/>
      </c>
      <c r="AC99" s="14">
        <f>(AB99+AC91)</f>
        <v/>
      </c>
      <c r="AD99" s="14">
        <f>(AC99+AD91)</f>
        <v/>
      </c>
      <c r="AE99" s="14">
        <f>(AD99+AE91)</f>
        <v/>
      </c>
      <c r="AF99" s="14">
        <f>(AE99+AF91)</f>
        <v/>
      </c>
      <c r="AG99" s="14">
        <f>(AF99+AG91)</f>
        <v/>
      </c>
      <c r="AH99" s="14">
        <f>(AG99+AH91)</f>
        <v/>
      </c>
      <c r="AI99" s="14">
        <f>(AH99+AI91)</f>
        <v/>
      </c>
      <c r="AJ99" s="14">
        <f>(AI99+AJ91)</f>
        <v/>
      </c>
      <c r="AK99" s="14">
        <f>(AJ99+AK91)</f>
        <v/>
      </c>
      <c r="AL99" s="14">
        <f>(AK99+AL91)</f>
        <v/>
      </c>
    </row>
    <row r="101">
      <c r="A101" s="4" t="inlineStr">
        <is>
          <t>KPIs</t>
        </is>
      </c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</row>
    <row r="102">
      <c r="A102" s="6" t="inlineStr">
        <is>
          <t>ARPU: total revenue / MAU</t>
        </is>
      </c>
      <c r="B102" s="2" t="inlineStr">
        <is>
          <t>arpu</t>
        </is>
      </c>
      <c r="C102" s="15">
        <f>IF(C36=0,0,C67/C36)</f>
        <v/>
      </c>
      <c r="D102" s="15">
        <f>IF(D36=0,0,D67/D36)</f>
        <v/>
      </c>
      <c r="E102" s="15">
        <f>IF(E36=0,0,E67/E36)</f>
        <v/>
      </c>
      <c r="F102" s="15">
        <f>IF(F36=0,0,F67/F36)</f>
        <v/>
      </c>
      <c r="G102" s="15">
        <f>IF(G36=0,0,G67/G36)</f>
        <v/>
      </c>
      <c r="H102" s="15">
        <f>IF(H36=0,0,H67/H36)</f>
        <v/>
      </c>
      <c r="I102" s="15">
        <f>IF(I36=0,0,I67/I36)</f>
        <v/>
      </c>
      <c r="J102" s="15">
        <f>IF(J36=0,0,J67/J36)</f>
        <v/>
      </c>
      <c r="K102" s="15">
        <f>IF(K36=0,0,K67/K36)</f>
        <v/>
      </c>
      <c r="L102" s="15">
        <f>IF(L36=0,0,L67/L36)</f>
        <v/>
      </c>
      <c r="M102" s="15">
        <f>IF(M36=0,0,M67/M36)</f>
        <v/>
      </c>
      <c r="N102" s="15">
        <f>IF(N36=0,0,N67/N36)</f>
        <v/>
      </c>
      <c r="O102" s="15">
        <f>IF(O36=0,0,O67/O36)</f>
        <v/>
      </c>
      <c r="P102" s="15">
        <f>IF(P36=0,0,P67/P36)</f>
        <v/>
      </c>
      <c r="Q102" s="15">
        <f>IF(Q36=0,0,Q67/Q36)</f>
        <v/>
      </c>
      <c r="R102" s="15">
        <f>IF(R36=0,0,R67/R36)</f>
        <v/>
      </c>
      <c r="S102" s="15">
        <f>IF(S36=0,0,S67/S36)</f>
        <v/>
      </c>
      <c r="T102" s="15">
        <f>IF(T36=0,0,T67/T36)</f>
        <v/>
      </c>
      <c r="U102" s="15">
        <f>IF(U36=0,0,U67/U36)</f>
        <v/>
      </c>
      <c r="V102" s="15">
        <f>IF(V36=0,0,V67/V36)</f>
        <v/>
      </c>
      <c r="W102" s="15">
        <f>IF(W36=0,0,W67/W36)</f>
        <v/>
      </c>
      <c r="X102" s="15">
        <f>IF(X36=0,0,X67/X36)</f>
        <v/>
      </c>
      <c r="Y102" s="15">
        <f>IF(Y36=0,0,Y67/Y36)</f>
        <v/>
      </c>
      <c r="Z102" s="15">
        <f>IF(Z36=0,0,Z67/Z36)</f>
        <v/>
      </c>
      <c r="AA102" s="15">
        <f>IF(AA36=0,0,AA67/AA36)</f>
        <v/>
      </c>
      <c r="AB102" s="15">
        <f>IF(AB36=0,0,AB67/AB36)</f>
        <v/>
      </c>
      <c r="AC102" s="15">
        <f>IF(AC36=0,0,AC67/AC36)</f>
        <v/>
      </c>
      <c r="AD102" s="15">
        <f>IF(AD36=0,0,AD67/AD36)</f>
        <v/>
      </c>
      <c r="AE102" s="15">
        <f>IF(AE36=0,0,AE67/AE36)</f>
        <v/>
      </c>
      <c r="AF102" s="15">
        <f>IF(AF36=0,0,AF67/AF36)</f>
        <v/>
      </c>
      <c r="AG102" s="15">
        <f>IF(AG36=0,0,AG67/AG36)</f>
        <v/>
      </c>
      <c r="AH102" s="15">
        <f>IF(AH36=0,0,AH67/AH36)</f>
        <v/>
      </c>
      <c r="AI102" s="15">
        <f>IF(AI36=0,0,AI67/AI36)</f>
        <v/>
      </c>
      <c r="AJ102" s="15">
        <f>IF(AJ36=0,0,AJ67/AJ36)</f>
        <v/>
      </c>
      <c r="AK102" s="15">
        <f>IF(AK36=0,0,AK67/AK36)</f>
        <v/>
      </c>
      <c r="AL102" s="15">
        <f>IF(AL36=0,0,AL67/AL36)</f>
        <v/>
      </c>
    </row>
    <row r="103">
      <c r="A103" s="6" t="inlineStr">
        <is>
          <t>ARPPU: net subscription revenue / paid subscriber</t>
        </is>
      </c>
      <c r="B103" s="2" t="inlineStr">
        <is>
          <t>arppu</t>
        </is>
      </c>
      <c r="C103" s="15">
        <f>IF(C29=0,0,C60/C29)</f>
        <v/>
      </c>
      <c r="D103" s="15">
        <f>IF(D29=0,0,D60/D29)</f>
        <v/>
      </c>
      <c r="E103" s="15">
        <f>IF(E29=0,0,E60/E29)</f>
        <v/>
      </c>
      <c r="F103" s="15">
        <f>IF(F29=0,0,F60/F29)</f>
        <v/>
      </c>
      <c r="G103" s="15">
        <f>IF(G29=0,0,G60/G29)</f>
        <v/>
      </c>
      <c r="H103" s="15">
        <f>IF(H29=0,0,H60/H29)</f>
        <v/>
      </c>
      <c r="I103" s="15">
        <f>IF(I29=0,0,I60/I29)</f>
        <v/>
      </c>
      <c r="J103" s="15">
        <f>IF(J29=0,0,J60/J29)</f>
        <v/>
      </c>
      <c r="K103" s="15">
        <f>IF(K29=0,0,K60/K29)</f>
        <v/>
      </c>
      <c r="L103" s="15">
        <f>IF(L29=0,0,L60/L29)</f>
        <v/>
      </c>
      <c r="M103" s="15">
        <f>IF(M29=0,0,M60/M29)</f>
        <v/>
      </c>
      <c r="N103" s="15">
        <f>IF(N29=0,0,N60/N29)</f>
        <v/>
      </c>
      <c r="O103" s="15">
        <f>IF(O29=0,0,O60/O29)</f>
        <v/>
      </c>
      <c r="P103" s="15">
        <f>IF(P29=0,0,P60/P29)</f>
        <v/>
      </c>
      <c r="Q103" s="15">
        <f>IF(Q29=0,0,Q60/Q29)</f>
        <v/>
      </c>
      <c r="R103" s="15">
        <f>IF(R29=0,0,R60/R29)</f>
        <v/>
      </c>
      <c r="S103" s="15">
        <f>IF(S29=0,0,S60/S29)</f>
        <v/>
      </c>
      <c r="T103" s="15">
        <f>IF(T29=0,0,T60/T29)</f>
        <v/>
      </c>
      <c r="U103" s="15">
        <f>IF(U29=0,0,U60/U29)</f>
        <v/>
      </c>
      <c r="V103" s="15">
        <f>IF(V29=0,0,V60/V29)</f>
        <v/>
      </c>
      <c r="W103" s="15">
        <f>IF(W29=0,0,W60/W29)</f>
        <v/>
      </c>
      <c r="X103" s="15">
        <f>IF(X29=0,0,X60/X29)</f>
        <v/>
      </c>
      <c r="Y103" s="15">
        <f>IF(Y29=0,0,Y60/Y29)</f>
        <v/>
      </c>
      <c r="Z103" s="15">
        <f>IF(Z29=0,0,Z60/Z29)</f>
        <v/>
      </c>
      <c r="AA103" s="15">
        <f>IF(AA29=0,0,AA60/AA29)</f>
        <v/>
      </c>
      <c r="AB103" s="15">
        <f>IF(AB29=0,0,AB60/AB29)</f>
        <v/>
      </c>
      <c r="AC103" s="15">
        <f>IF(AC29=0,0,AC60/AC29)</f>
        <v/>
      </c>
      <c r="AD103" s="15">
        <f>IF(AD29=0,0,AD60/AD29)</f>
        <v/>
      </c>
      <c r="AE103" s="15">
        <f>IF(AE29=0,0,AE60/AE29)</f>
        <v/>
      </c>
      <c r="AF103" s="15">
        <f>IF(AF29=0,0,AF60/AF29)</f>
        <v/>
      </c>
      <c r="AG103" s="15">
        <f>IF(AG29=0,0,AG60/AG29)</f>
        <v/>
      </c>
      <c r="AH103" s="15">
        <f>IF(AH29=0,0,AH60/AH29)</f>
        <v/>
      </c>
      <c r="AI103" s="15">
        <f>IF(AI29=0,0,AI60/AI29)</f>
        <v/>
      </c>
      <c r="AJ103" s="15">
        <f>IF(AJ29=0,0,AJ60/AJ29)</f>
        <v/>
      </c>
      <c r="AK103" s="15">
        <f>IF(AK29=0,0,AK60/AK29)</f>
        <v/>
      </c>
      <c r="AL103" s="15">
        <f>IF(AL29=0,0,AL60/AL29)</f>
        <v/>
      </c>
    </row>
    <row r="104">
      <c r="A104" s="6" t="inlineStr">
        <is>
          <t>CAC: paid channels (ASA + creators) per payer they bring</t>
        </is>
      </c>
      <c r="B104" s="2" t="inlineStr">
        <is>
          <t>cac_paid</t>
        </is>
      </c>
      <c r="C104" s="14">
        <f>IF(((C11+C9)*Assumptions!$G$111)=0,0,(C10+C8)/((C11+C9)*Assumptions!$G$111))</f>
        <v/>
      </c>
      <c r="D104" s="14">
        <f>IF(((D11+D9)*Assumptions!$G$111)=0,0,(D10+D8)/((D11+D9)*Assumptions!$G$111))</f>
        <v/>
      </c>
      <c r="E104" s="14">
        <f>IF(((E11+E9)*Assumptions!$G$111)=0,0,(E10+E8)/((E11+E9)*Assumptions!$G$111))</f>
        <v/>
      </c>
      <c r="F104" s="14">
        <f>IF(((F11+F9)*Assumptions!$G$111)=0,0,(F10+F8)/((F11+F9)*Assumptions!$G$111))</f>
        <v/>
      </c>
      <c r="G104" s="14">
        <f>IF(((G11+G9)*Assumptions!$G$111)=0,0,(G10+G8)/((G11+G9)*Assumptions!$G$111))</f>
        <v/>
      </c>
      <c r="H104" s="14">
        <f>IF(((H11+H9)*Assumptions!$G$111)=0,0,(H10+H8)/((H11+H9)*Assumptions!$G$111))</f>
        <v/>
      </c>
      <c r="I104" s="14">
        <f>IF(((I11+I9)*Assumptions!$G$111)=0,0,(I10+I8)/((I11+I9)*Assumptions!$G$111))</f>
        <v/>
      </c>
      <c r="J104" s="14">
        <f>IF(((J11+J9)*Assumptions!$G$111)=0,0,(J10+J8)/((J11+J9)*Assumptions!$G$111))</f>
        <v/>
      </c>
      <c r="K104" s="14">
        <f>IF(((K11+K9)*Assumptions!$G$111)=0,0,(K10+K8)/((K11+K9)*Assumptions!$G$111))</f>
        <v/>
      </c>
      <c r="L104" s="14">
        <f>IF(((L11+L9)*Assumptions!$G$111)=0,0,(L10+L8)/((L11+L9)*Assumptions!$G$111))</f>
        <v/>
      </c>
      <c r="M104" s="14">
        <f>IF(((M11+M9)*Assumptions!$G$111)=0,0,(M10+M8)/((M11+M9)*Assumptions!$G$111))</f>
        <v/>
      </c>
      <c r="N104" s="14">
        <f>IF(((N11+N9)*Assumptions!$G$111)=0,0,(N10+N8)/((N11+N9)*Assumptions!$G$111))</f>
        <v/>
      </c>
      <c r="O104" s="14">
        <f>IF(((O11+O9)*Assumptions!$G$111)=0,0,(O10+O8)/((O11+O9)*Assumptions!$G$111))</f>
        <v/>
      </c>
      <c r="P104" s="14">
        <f>IF(((P11+P9)*Assumptions!$G$111)=0,0,(P10+P8)/((P11+P9)*Assumptions!$G$111))</f>
        <v/>
      </c>
      <c r="Q104" s="14">
        <f>IF(((Q11+Q9)*Assumptions!$G$111)=0,0,(Q10+Q8)/((Q11+Q9)*Assumptions!$G$111))</f>
        <v/>
      </c>
      <c r="R104" s="14">
        <f>IF(((R11+R9)*Assumptions!$G$111)=0,0,(R10+R8)/((R11+R9)*Assumptions!$G$111))</f>
        <v/>
      </c>
      <c r="S104" s="14">
        <f>IF(((S11+S9)*Assumptions!$G$111)=0,0,(S10+S8)/((S11+S9)*Assumptions!$G$111))</f>
        <v/>
      </c>
      <c r="T104" s="14">
        <f>IF(((T11+T9)*Assumptions!$G$111)=0,0,(T10+T8)/((T11+T9)*Assumptions!$G$111))</f>
        <v/>
      </c>
      <c r="U104" s="14">
        <f>IF(((U11+U9)*Assumptions!$G$111)=0,0,(U10+U8)/((U11+U9)*Assumptions!$G$111))</f>
        <v/>
      </c>
      <c r="V104" s="14">
        <f>IF(((V11+V9)*Assumptions!$G$111)=0,0,(V10+V8)/((V11+V9)*Assumptions!$G$111))</f>
        <v/>
      </c>
      <c r="W104" s="14">
        <f>IF(((W11+W9)*Assumptions!$G$111)=0,0,(W10+W8)/((W11+W9)*Assumptions!$G$111))</f>
        <v/>
      </c>
      <c r="X104" s="14">
        <f>IF(((X11+X9)*Assumptions!$G$111)=0,0,(X10+X8)/((X11+X9)*Assumptions!$G$111))</f>
        <v/>
      </c>
      <c r="Y104" s="14">
        <f>IF(((Y11+Y9)*Assumptions!$G$111)=0,0,(Y10+Y8)/((Y11+Y9)*Assumptions!$G$111))</f>
        <v/>
      </c>
      <c r="Z104" s="14">
        <f>IF(((Z11+Z9)*Assumptions!$G$111)=0,0,(Z10+Z8)/((Z11+Z9)*Assumptions!$G$111))</f>
        <v/>
      </c>
      <c r="AA104" s="14">
        <f>IF(((AA11+AA9)*Assumptions!$G$111)=0,0,(AA10+AA8)/((AA11+AA9)*Assumptions!$G$111))</f>
        <v/>
      </c>
      <c r="AB104" s="14">
        <f>IF(((AB11+AB9)*Assumptions!$G$111)=0,0,(AB10+AB8)/((AB11+AB9)*Assumptions!$G$111))</f>
        <v/>
      </c>
      <c r="AC104" s="14">
        <f>IF(((AC11+AC9)*Assumptions!$G$111)=0,0,(AC10+AC8)/((AC11+AC9)*Assumptions!$G$111))</f>
        <v/>
      </c>
      <c r="AD104" s="14">
        <f>IF(((AD11+AD9)*Assumptions!$G$111)=0,0,(AD10+AD8)/((AD11+AD9)*Assumptions!$G$111))</f>
        <v/>
      </c>
      <c r="AE104" s="14">
        <f>IF(((AE11+AE9)*Assumptions!$G$111)=0,0,(AE10+AE8)/((AE11+AE9)*Assumptions!$G$111))</f>
        <v/>
      </c>
      <c r="AF104" s="14">
        <f>IF(((AF11+AF9)*Assumptions!$G$111)=0,0,(AF10+AF8)/((AF11+AF9)*Assumptions!$G$111))</f>
        <v/>
      </c>
      <c r="AG104" s="14">
        <f>IF(((AG11+AG9)*Assumptions!$G$111)=0,0,(AG10+AG8)/((AG11+AG9)*Assumptions!$G$111))</f>
        <v/>
      </c>
      <c r="AH104" s="14">
        <f>IF(((AH11+AH9)*Assumptions!$G$111)=0,0,(AH10+AH8)/((AH11+AH9)*Assumptions!$G$111))</f>
        <v/>
      </c>
      <c r="AI104" s="14">
        <f>IF(((AI11+AI9)*Assumptions!$G$111)=0,0,(AI10+AI8)/((AI11+AI9)*Assumptions!$G$111))</f>
        <v/>
      </c>
      <c r="AJ104" s="14">
        <f>IF(((AJ11+AJ9)*Assumptions!$G$111)=0,0,(AJ10+AJ8)/((AJ11+AJ9)*Assumptions!$G$111))</f>
        <v/>
      </c>
      <c r="AK104" s="14">
        <f>IF(((AK11+AK9)*Assumptions!$G$111)=0,0,(AK10+AK8)/((AK11+AK9)*Assumptions!$G$111))</f>
        <v/>
      </c>
      <c r="AL104" s="14">
        <f>IF(((AL11+AL9)*Assumptions!$G$111)=0,0,(AL10+AL8)/((AL11+AL9)*Assumptions!$G$111))</f>
        <v/>
      </c>
    </row>
    <row r="105">
      <c r="A105" s="6" t="inlineStr">
        <is>
          <t>EBIT &gt;= 0 this month (1 = yes)</t>
        </is>
      </c>
      <c r="B105" s="2" t="inlineStr">
        <is>
          <t>flag_be</t>
        </is>
      </c>
      <c r="C105" s="8">
        <f>IF((C91&gt;=0),1,0)</f>
        <v/>
      </c>
      <c r="D105" s="8">
        <f>IF((D91&gt;=0),1,0)</f>
        <v/>
      </c>
      <c r="E105" s="8">
        <f>IF((E91&gt;=0),1,0)</f>
        <v/>
      </c>
      <c r="F105" s="8">
        <f>IF((F91&gt;=0),1,0)</f>
        <v/>
      </c>
      <c r="G105" s="8">
        <f>IF((G91&gt;=0),1,0)</f>
        <v/>
      </c>
      <c r="H105" s="8">
        <f>IF((H91&gt;=0),1,0)</f>
        <v/>
      </c>
      <c r="I105" s="8">
        <f>IF((I91&gt;=0),1,0)</f>
        <v/>
      </c>
      <c r="J105" s="8">
        <f>IF((J91&gt;=0),1,0)</f>
        <v/>
      </c>
      <c r="K105" s="8">
        <f>IF((K91&gt;=0),1,0)</f>
        <v/>
      </c>
      <c r="L105" s="8">
        <f>IF((L91&gt;=0),1,0)</f>
        <v/>
      </c>
      <c r="M105" s="8">
        <f>IF((M91&gt;=0),1,0)</f>
        <v/>
      </c>
      <c r="N105" s="8">
        <f>IF((N91&gt;=0),1,0)</f>
        <v/>
      </c>
      <c r="O105" s="8">
        <f>IF((O91&gt;=0),1,0)</f>
        <v/>
      </c>
      <c r="P105" s="8">
        <f>IF((P91&gt;=0),1,0)</f>
        <v/>
      </c>
      <c r="Q105" s="8">
        <f>IF((Q91&gt;=0),1,0)</f>
        <v/>
      </c>
      <c r="R105" s="8">
        <f>IF((R91&gt;=0),1,0)</f>
        <v/>
      </c>
      <c r="S105" s="8">
        <f>IF((S91&gt;=0),1,0)</f>
        <v/>
      </c>
      <c r="T105" s="8">
        <f>IF((T91&gt;=0),1,0)</f>
        <v/>
      </c>
      <c r="U105" s="8">
        <f>IF((U91&gt;=0),1,0)</f>
        <v/>
      </c>
      <c r="V105" s="8">
        <f>IF((V91&gt;=0),1,0)</f>
        <v/>
      </c>
      <c r="W105" s="8">
        <f>IF((W91&gt;=0),1,0)</f>
        <v/>
      </c>
      <c r="X105" s="8">
        <f>IF((X91&gt;=0),1,0)</f>
        <v/>
      </c>
      <c r="Y105" s="8">
        <f>IF((Y91&gt;=0),1,0)</f>
        <v/>
      </c>
      <c r="Z105" s="8">
        <f>IF((Z91&gt;=0),1,0)</f>
        <v/>
      </c>
      <c r="AA105" s="8">
        <f>IF((AA91&gt;=0),1,0)</f>
        <v/>
      </c>
      <c r="AB105" s="8">
        <f>IF((AB91&gt;=0),1,0)</f>
        <v/>
      </c>
      <c r="AC105" s="8">
        <f>IF((AC91&gt;=0),1,0)</f>
        <v/>
      </c>
      <c r="AD105" s="8">
        <f>IF((AD91&gt;=0),1,0)</f>
        <v/>
      </c>
      <c r="AE105" s="8">
        <f>IF((AE91&gt;=0),1,0)</f>
        <v/>
      </c>
      <c r="AF105" s="8">
        <f>IF((AF91&gt;=0),1,0)</f>
        <v/>
      </c>
      <c r="AG105" s="8">
        <f>IF((AG91&gt;=0),1,0)</f>
        <v/>
      </c>
      <c r="AH105" s="8">
        <f>IF((AH91&gt;=0),1,0)</f>
        <v/>
      </c>
      <c r="AI105" s="8">
        <f>IF((AI91&gt;=0),1,0)</f>
        <v/>
      </c>
      <c r="AJ105" s="8">
        <f>IF((AJ91&gt;=0),1,0)</f>
        <v/>
      </c>
      <c r="AK105" s="8">
        <f>IF((AK91&gt;=0),1,0)</f>
        <v/>
      </c>
      <c r="AL105" s="8">
        <f>IF((AL91&gt;=0),1,0)</f>
        <v/>
      </c>
    </row>
    <row r="106">
      <c r="A106" s="6" t="inlineStr">
        <is>
          <t>EBIT &gt;= 0 this month and every month after</t>
        </is>
      </c>
      <c r="B106" s="2" t="inlineStr">
        <is>
          <t>flag_be_sus</t>
        </is>
      </c>
      <c r="C106" s="8">
        <f>IF(AND((C91&gt;=0),(D106=1)),1,0)</f>
        <v/>
      </c>
      <c r="D106" s="8">
        <f>IF(AND((D91&gt;=0),(E106=1)),1,0)</f>
        <v/>
      </c>
      <c r="E106" s="8">
        <f>IF(AND((E91&gt;=0),(F106=1)),1,0)</f>
        <v/>
      </c>
      <c r="F106" s="8">
        <f>IF(AND((F91&gt;=0),(G106=1)),1,0)</f>
        <v/>
      </c>
      <c r="G106" s="8">
        <f>IF(AND((G91&gt;=0),(H106=1)),1,0)</f>
        <v/>
      </c>
      <c r="H106" s="8">
        <f>IF(AND((H91&gt;=0),(I106=1)),1,0)</f>
        <v/>
      </c>
      <c r="I106" s="8">
        <f>IF(AND((I91&gt;=0),(J106=1)),1,0)</f>
        <v/>
      </c>
      <c r="J106" s="8">
        <f>IF(AND((J91&gt;=0),(K106=1)),1,0)</f>
        <v/>
      </c>
      <c r="K106" s="8">
        <f>IF(AND((K91&gt;=0),(L106=1)),1,0)</f>
        <v/>
      </c>
      <c r="L106" s="8">
        <f>IF(AND((L91&gt;=0),(M106=1)),1,0)</f>
        <v/>
      </c>
      <c r="M106" s="8">
        <f>IF(AND((M91&gt;=0),(N106=1)),1,0)</f>
        <v/>
      </c>
      <c r="N106" s="8">
        <f>IF(AND((N91&gt;=0),(O106=1)),1,0)</f>
        <v/>
      </c>
      <c r="O106" s="8">
        <f>IF(AND((O91&gt;=0),(P106=1)),1,0)</f>
        <v/>
      </c>
      <c r="P106" s="8">
        <f>IF(AND((P91&gt;=0),(Q106=1)),1,0)</f>
        <v/>
      </c>
      <c r="Q106" s="8">
        <f>IF(AND((Q91&gt;=0),(R106=1)),1,0)</f>
        <v/>
      </c>
      <c r="R106" s="8">
        <f>IF(AND((R91&gt;=0),(S106=1)),1,0)</f>
        <v/>
      </c>
      <c r="S106" s="8">
        <f>IF(AND((S91&gt;=0),(T106=1)),1,0)</f>
        <v/>
      </c>
      <c r="T106" s="8">
        <f>IF(AND((T91&gt;=0),(U106=1)),1,0)</f>
        <v/>
      </c>
      <c r="U106" s="8">
        <f>IF(AND((U91&gt;=0),(V106=1)),1,0)</f>
        <v/>
      </c>
      <c r="V106" s="8">
        <f>IF(AND((V91&gt;=0),(W106=1)),1,0)</f>
        <v/>
      </c>
      <c r="W106" s="8">
        <f>IF(AND((W91&gt;=0),(X106=1)),1,0)</f>
        <v/>
      </c>
      <c r="X106" s="8">
        <f>IF(AND((X91&gt;=0),(Y106=1)),1,0)</f>
        <v/>
      </c>
      <c r="Y106" s="8">
        <f>IF(AND((Y91&gt;=0),(Z106=1)),1,0)</f>
        <v/>
      </c>
      <c r="Z106" s="8">
        <f>IF(AND((Z91&gt;=0),(AA106=1)),1,0)</f>
        <v/>
      </c>
      <c r="AA106" s="8">
        <f>IF(AND((AA91&gt;=0),(AB106=1)),1,0)</f>
        <v/>
      </c>
      <c r="AB106" s="8">
        <f>IF(AND((AB91&gt;=0),(AC106=1)),1,0)</f>
        <v/>
      </c>
      <c r="AC106" s="8">
        <f>IF(AND((AC91&gt;=0),(AD106=1)),1,0)</f>
        <v/>
      </c>
      <c r="AD106" s="8">
        <f>IF(AND((AD91&gt;=0),(AE106=1)),1,0)</f>
        <v/>
      </c>
      <c r="AE106" s="8">
        <f>IF(AND((AE91&gt;=0),(AF106=1)),1,0)</f>
        <v/>
      </c>
      <c r="AF106" s="8">
        <f>IF(AND((AF91&gt;=0),(AG106=1)),1,0)</f>
        <v/>
      </c>
      <c r="AG106" s="8">
        <f>IF(AND((AG91&gt;=0),(AH106=1)),1,0)</f>
        <v/>
      </c>
      <c r="AH106" s="8">
        <f>IF(AND((AH91&gt;=0),(AI106=1)),1,0)</f>
        <v/>
      </c>
      <c r="AI106" s="8">
        <f>IF(AND((AI91&gt;=0),(AJ106=1)),1,0)</f>
        <v/>
      </c>
      <c r="AJ106" s="8">
        <f>IF(AND((AJ91&gt;=0),(AK106=1)),1,0)</f>
        <v/>
      </c>
      <c r="AK106" s="8">
        <f>IF(AND((AK91&gt;=0),(AL106=1)),1,0)</f>
        <v/>
      </c>
      <c r="AL106" s="8">
        <f>IF((AL91&gt;=0),1,0)</f>
        <v/>
      </c>
    </row>
    <row r="107">
      <c r="A107" s="6" t="inlineStr">
        <is>
          <t>Cumulative cash &gt;= 0 this month and every month after</t>
        </is>
      </c>
      <c r="B107" s="2" t="inlineStr">
        <is>
          <t>flag_cash_sus</t>
        </is>
      </c>
      <c r="C107" s="8">
        <f>IF(AND((C98&gt;=0),(D107=1)),1,0)</f>
        <v/>
      </c>
      <c r="D107" s="8">
        <f>IF(AND((D98&gt;=0),(E107=1)),1,0)</f>
        <v/>
      </c>
      <c r="E107" s="8">
        <f>IF(AND((E98&gt;=0),(F107=1)),1,0)</f>
        <v/>
      </c>
      <c r="F107" s="8">
        <f>IF(AND((F98&gt;=0),(G107=1)),1,0)</f>
        <v/>
      </c>
      <c r="G107" s="8">
        <f>IF(AND((G98&gt;=0),(H107=1)),1,0)</f>
        <v/>
      </c>
      <c r="H107" s="8">
        <f>IF(AND((H98&gt;=0),(I107=1)),1,0)</f>
        <v/>
      </c>
      <c r="I107" s="8">
        <f>IF(AND((I98&gt;=0),(J107=1)),1,0)</f>
        <v/>
      </c>
      <c r="J107" s="8">
        <f>IF(AND((J98&gt;=0),(K107=1)),1,0)</f>
        <v/>
      </c>
      <c r="K107" s="8">
        <f>IF(AND((K98&gt;=0),(L107=1)),1,0)</f>
        <v/>
      </c>
      <c r="L107" s="8">
        <f>IF(AND((L98&gt;=0),(M107=1)),1,0)</f>
        <v/>
      </c>
      <c r="M107" s="8">
        <f>IF(AND((M98&gt;=0),(N107=1)),1,0)</f>
        <v/>
      </c>
      <c r="N107" s="8">
        <f>IF(AND((N98&gt;=0),(O107=1)),1,0)</f>
        <v/>
      </c>
      <c r="O107" s="8">
        <f>IF(AND((O98&gt;=0),(P107=1)),1,0)</f>
        <v/>
      </c>
      <c r="P107" s="8">
        <f>IF(AND((P98&gt;=0),(Q107=1)),1,0)</f>
        <v/>
      </c>
      <c r="Q107" s="8">
        <f>IF(AND((Q98&gt;=0),(R107=1)),1,0)</f>
        <v/>
      </c>
      <c r="R107" s="8">
        <f>IF(AND((R98&gt;=0),(S107=1)),1,0)</f>
        <v/>
      </c>
      <c r="S107" s="8">
        <f>IF(AND((S98&gt;=0),(T107=1)),1,0)</f>
        <v/>
      </c>
      <c r="T107" s="8">
        <f>IF(AND((T98&gt;=0),(U107=1)),1,0)</f>
        <v/>
      </c>
      <c r="U107" s="8">
        <f>IF(AND((U98&gt;=0),(V107=1)),1,0)</f>
        <v/>
      </c>
      <c r="V107" s="8">
        <f>IF(AND((V98&gt;=0),(W107=1)),1,0)</f>
        <v/>
      </c>
      <c r="W107" s="8">
        <f>IF(AND((W98&gt;=0),(X107=1)),1,0)</f>
        <v/>
      </c>
      <c r="X107" s="8">
        <f>IF(AND((X98&gt;=0),(Y107=1)),1,0)</f>
        <v/>
      </c>
      <c r="Y107" s="8">
        <f>IF(AND((Y98&gt;=0),(Z107=1)),1,0)</f>
        <v/>
      </c>
      <c r="Z107" s="8">
        <f>IF(AND((Z98&gt;=0),(AA107=1)),1,0)</f>
        <v/>
      </c>
      <c r="AA107" s="8">
        <f>IF(AND((AA98&gt;=0),(AB107=1)),1,0)</f>
        <v/>
      </c>
      <c r="AB107" s="8">
        <f>IF(AND((AB98&gt;=0),(AC107=1)),1,0)</f>
        <v/>
      </c>
      <c r="AC107" s="8">
        <f>IF(AND((AC98&gt;=0),(AD107=1)),1,0)</f>
        <v/>
      </c>
      <c r="AD107" s="8">
        <f>IF(AND((AD98&gt;=0),(AE107=1)),1,0)</f>
        <v/>
      </c>
      <c r="AE107" s="8">
        <f>IF(AND((AE98&gt;=0),(AF107=1)),1,0)</f>
        <v/>
      </c>
      <c r="AF107" s="8">
        <f>IF(AND((AF98&gt;=0),(AG107=1)),1,0)</f>
        <v/>
      </c>
      <c r="AG107" s="8">
        <f>IF(AND((AG98&gt;=0),(AH107=1)),1,0)</f>
        <v/>
      </c>
      <c r="AH107" s="8">
        <f>IF(AND((AH98&gt;=0),(AI107=1)),1,0)</f>
        <v/>
      </c>
      <c r="AI107" s="8">
        <f>IF(AND((AI98&gt;=0),(AJ107=1)),1,0)</f>
        <v/>
      </c>
      <c r="AJ107" s="8">
        <f>IF(AND((AJ98&gt;=0),(AK107=1)),1,0)</f>
        <v/>
      </c>
      <c r="AK107" s="8">
        <f>IF(AND((AK98&gt;=0),(AL107=1)),1,0)</f>
        <v/>
      </c>
      <c r="AL107" s="8">
        <f>IF((AL98&gt;=0),1,0)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Tenbagger: annual income statement by scenario (USD). FY1 = months 1-12. Live formulas.</t>
        </is>
      </c>
    </row>
    <row r="3">
      <c r="A3" s="3" t="inlineStr">
        <is>
          <t>BASE CASE</t>
        </is>
      </c>
      <c r="B3" s="3" t="inlineStr">
        <is>
          <t>FY1</t>
        </is>
      </c>
      <c r="C3" s="3" t="inlineStr">
        <is>
          <t>FY2</t>
        </is>
      </c>
      <c r="D3" s="3" t="inlineStr">
        <is>
          <t>FY3</t>
        </is>
      </c>
      <c r="E3" s="3" t="inlineStr">
        <is>
          <t>3-year total</t>
        </is>
      </c>
    </row>
    <row r="4">
      <c r="A4" s="4" t="inlineStr">
        <is>
          <t>REVENUE</t>
        </is>
      </c>
      <c r="B4" s="5" t="n"/>
      <c r="C4" s="5" t="n"/>
      <c r="D4" s="5" t="n"/>
      <c r="E4" s="5" t="n"/>
    </row>
    <row r="5">
      <c r="A5" s="6" t="inlineStr">
        <is>
          <t>Gross in-app sales</t>
        </is>
      </c>
      <c r="B5" s="14">
        <f>SUM(Monthly_Base!$C$57:$N$57)</f>
        <v/>
      </c>
      <c r="C5" s="14">
        <f>SUM(Monthly_Base!$O$57:$Z$57)</f>
        <v/>
      </c>
      <c r="D5" s="14">
        <f>SUM(Monthly_Base!$AA$57:$AL$57)</f>
        <v/>
      </c>
      <c r="E5" s="14">
        <f>SUM(Monthly_Base!$C$57:$AL$57)</f>
        <v/>
      </c>
    </row>
    <row r="6">
      <c r="A6" s="6" t="inlineStr">
        <is>
          <t>Less: refunds</t>
        </is>
      </c>
      <c r="B6" s="14">
        <f>SUM(Monthly_Base!$C$58:$N$58)</f>
        <v/>
      </c>
      <c r="C6" s="14">
        <f>SUM(Monthly_Base!$O$58:$Z$58)</f>
        <v/>
      </c>
      <c r="D6" s="14">
        <f>SUM(Monthly_Base!$AA$58:$AL$58)</f>
        <v/>
      </c>
      <c r="E6" s="14">
        <f>SUM(Monthly_Base!$C$58:$AL$58)</f>
        <v/>
      </c>
    </row>
    <row r="7">
      <c r="A7" s="6" t="inlineStr">
        <is>
          <t>Less: app store commission</t>
        </is>
      </c>
      <c r="B7" s="14">
        <f>SUM(Monthly_Base!$C$59:$N$59)</f>
        <v/>
      </c>
      <c r="C7" s="14">
        <f>SUM(Monthly_Base!$O$59:$Z$59)</f>
        <v/>
      </c>
      <c r="D7" s="14">
        <f>SUM(Monthly_Base!$AA$59:$AL$59)</f>
        <v/>
      </c>
      <c r="E7" s="14">
        <f>SUM(Monthly_Base!$C$59:$AL$59)</f>
        <v/>
      </c>
    </row>
    <row r="8">
      <c r="A8" s="24" t="inlineStr">
        <is>
          <t>Subscriptions &amp; in-app, net</t>
        </is>
      </c>
      <c r="B8" s="23">
        <f>SUM(Monthly_Base!$C$60:$N$60)</f>
        <v/>
      </c>
      <c r="C8" s="23">
        <f>SUM(Monthly_Base!$O$60:$Z$60)</f>
        <v/>
      </c>
      <c r="D8" s="23">
        <f>SUM(Monthly_Base!$AA$60:$AL$60)</f>
        <v/>
      </c>
      <c r="E8" s="23">
        <f>SUM(Monthly_Base!$C$60:$AL$60)</f>
        <v/>
      </c>
    </row>
    <row r="9">
      <c r="A9" s="6" t="inlineStr">
        <is>
          <t>Advertising</t>
        </is>
      </c>
      <c r="B9" s="14">
        <f>SUM(Monthly_Base!$C$64:$N$64)</f>
        <v/>
      </c>
      <c r="C9" s="14">
        <f>SUM(Monthly_Base!$O$64:$Z$64)</f>
        <v/>
      </c>
      <c r="D9" s="14">
        <f>SUM(Monthly_Base!$AA$64:$AL$64)</f>
        <v/>
      </c>
      <c r="E9" s="14">
        <f>SUM(Monthly_Base!$C$64:$AL$64)</f>
        <v/>
      </c>
    </row>
    <row r="10">
      <c r="A10" s="6" t="inlineStr">
        <is>
          <t>Affiliate</t>
        </is>
      </c>
      <c r="B10" s="14">
        <f>SUM(Monthly_Base!$C$65:$N$65)</f>
        <v/>
      </c>
      <c r="C10" s="14">
        <f>SUM(Monthly_Base!$O$65:$Z$65)</f>
        <v/>
      </c>
      <c r="D10" s="14">
        <f>SUM(Monthly_Base!$AA$65:$AL$65)</f>
        <v/>
      </c>
      <c r="E10" s="14">
        <f>SUM(Monthly_Base!$C$65:$AL$65)</f>
        <v/>
      </c>
    </row>
    <row r="11">
      <c r="A11" s="6" t="inlineStr">
        <is>
          <t>B2B / Edu licences</t>
        </is>
      </c>
      <c r="B11" s="14">
        <f>SUM(Monthly_Base!$C$66:$N$66)</f>
        <v/>
      </c>
      <c r="C11" s="14">
        <f>SUM(Monthly_Base!$O$66:$Z$66)</f>
        <v/>
      </c>
      <c r="D11" s="14">
        <f>SUM(Monthly_Base!$AA$66:$AL$66)</f>
        <v/>
      </c>
      <c r="E11" s="14">
        <f>SUM(Monthly_Base!$C$66:$AL$66)</f>
        <v/>
      </c>
    </row>
    <row r="12">
      <c r="A12" s="24" t="inlineStr">
        <is>
          <t>TOTAL REVENUE</t>
        </is>
      </c>
      <c r="B12" s="23">
        <f>SUM(Monthly_Base!$C$67:$N$67)</f>
        <v/>
      </c>
      <c r="C12" s="23">
        <f>SUM(Monthly_Base!$O$67:$Z$67)</f>
        <v/>
      </c>
      <c r="D12" s="23">
        <f>SUM(Monthly_Base!$AA$67:$AL$67)</f>
        <v/>
      </c>
      <c r="E12" s="23">
        <f>SUM(Monthly_Base!$C$67:$AL$67)</f>
        <v/>
      </c>
    </row>
    <row r="13">
      <c r="A13" s="4" t="inlineStr">
        <is>
          <t>COST OF REVENUE</t>
        </is>
      </c>
      <c r="B13" s="5" t="n"/>
      <c r="C13" s="5" t="n"/>
      <c r="D13" s="5" t="n"/>
      <c r="E13" s="5" t="n"/>
    </row>
    <row r="14">
      <c r="A14" s="6" t="inlineStr">
        <is>
          <t>Data licensing</t>
        </is>
      </c>
      <c r="B14" s="14">
        <f>SUM(Monthly_Base!$C$70:$N$70)</f>
        <v/>
      </c>
      <c r="C14" s="14">
        <f>SUM(Monthly_Base!$O$70:$Z$70)</f>
        <v/>
      </c>
      <c r="D14" s="14">
        <f>SUM(Monthly_Base!$AA$70:$AL$70)</f>
        <v/>
      </c>
      <c r="E14" s="14">
        <f>SUM(Monthly_Base!$C$70:$AL$70)</f>
        <v/>
      </c>
    </row>
    <row r="15">
      <c r="A15" s="6" t="inlineStr">
        <is>
          <t>Plaid / aggregation</t>
        </is>
      </c>
      <c r="B15" s="14">
        <f>SUM(Monthly_Base!$C$71:$N$71)</f>
        <v/>
      </c>
      <c r="C15" s="14">
        <f>SUM(Monthly_Base!$O$71:$Z$71)</f>
        <v/>
      </c>
      <c r="D15" s="14">
        <f>SUM(Monthly_Base!$AA$71:$AL$71)</f>
        <v/>
      </c>
      <c r="E15" s="14">
        <f>SUM(Monthly_Base!$C$71:$AL$71)</f>
        <v/>
      </c>
    </row>
    <row r="16">
      <c r="A16" s="6" t="inlineStr">
        <is>
          <t>Hosting</t>
        </is>
      </c>
      <c r="B16" s="14">
        <f>SUM(Monthly_Base!$C$72:$N$72)</f>
        <v/>
      </c>
      <c r="C16" s="14">
        <f>SUM(Monthly_Base!$O$72:$Z$72)</f>
        <v/>
      </c>
      <c r="D16" s="14">
        <f>SUM(Monthly_Base!$AA$72:$AL$72)</f>
        <v/>
      </c>
      <c r="E16" s="14">
        <f>SUM(Monthly_Base!$C$72:$AL$72)</f>
        <v/>
      </c>
    </row>
    <row r="17">
      <c r="A17" s="6" t="inlineStr">
        <is>
          <t>LLM tutor</t>
        </is>
      </c>
      <c r="B17" s="14">
        <f>SUM(Monthly_Base!$C$73:$N$73)</f>
        <v/>
      </c>
      <c r="C17" s="14">
        <f>SUM(Monthly_Base!$O$73:$Z$73)</f>
        <v/>
      </c>
      <c r="D17" s="14">
        <f>SUM(Monthly_Base!$AA$73:$AL$73)</f>
        <v/>
      </c>
      <c r="E17" s="14">
        <f>SUM(Monthly_Base!$C$73:$AL$73)</f>
        <v/>
      </c>
    </row>
    <row r="18">
      <c r="A18" s="6" t="inlineStr">
        <is>
          <t>RevenueCat</t>
        </is>
      </c>
      <c r="B18" s="14">
        <f>SUM(Monthly_Base!$C$74:$N$74)</f>
        <v/>
      </c>
      <c r="C18" s="14">
        <f>SUM(Monthly_Base!$O$74:$Z$74)</f>
        <v/>
      </c>
      <c r="D18" s="14">
        <f>SUM(Monthly_Base!$AA$74:$AL$74)</f>
        <v/>
      </c>
      <c r="E18" s="14">
        <f>SUM(Monthly_Base!$C$74:$AL$74)</f>
        <v/>
      </c>
    </row>
    <row r="19">
      <c r="A19" s="6" t="inlineStr">
        <is>
          <t>B2B processing</t>
        </is>
      </c>
      <c r="B19" s="14">
        <f>SUM(Monthly_Base!$C$75:$N$75)</f>
        <v/>
      </c>
      <c r="C19" s="14">
        <f>SUM(Monthly_Base!$O$75:$Z$75)</f>
        <v/>
      </c>
      <c r="D19" s="14">
        <f>SUM(Monthly_Base!$AA$75:$AL$75)</f>
        <v/>
      </c>
      <c r="E19" s="14">
        <f>SUM(Monthly_Base!$C$75:$AL$75)</f>
        <v/>
      </c>
    </row>
    <row r="20">
      <c r="A20" s="24" t="inlineStr">
        <is>
          <t>Total COGS</t>
        </is>
      </c>
      <c r="B20" s="23">
        <f>SUM(Monthly_Base!$C$76:$N$76)</f>
        <v/>
      </c>
      <c r="C20" s="23">
        <f>SUM(Monthly_Base!$O$76:$Z$76)</f>
        <v/>
      </c>
      <c r="D20" s="23">
        <f>SUM(Monthly_Base!$AA$76:$AL$76)</f>
        <v/>
      </c>
      <c r="E20" s="23">
        <f>SUM(Monthly_Base!$C$76:$AL$76)</f>
        <v/>
      </c>
    </row>
    <row r="21">
      <c r="A21" s="24" t="inlineStr">
        <is>
          <t>GROSS PROFIT</t>
        </is>
      </c>
      <c r="B21" s="23">
        <f>SUM(Monthly_Base!$C$77:$N$77)</f>
        <v/>
      </c>
      <c r="C21" s="23">
        <f>SUM(Monthly_Base!$O$77:$Z$77)</f>
        <v/>
      </c>
      <c r="D21" s="23">
        <f>SUM(Monthly_Base!$AA$77:$AL$77)</f>
        <v/>
      </c>
      <c r="E21" s="23">
        <f>SUM(Monthly_Base!$C$77:$AL$77)</f>
        <v/>
      </c>
    </row>
    <row r="22">
      <c r="A22" s="6" t="inlineStr">
        <is>
          <t>Gross margin</t>
        </is>
      </c>
      <c r="B22" s="16">
        <f>IF(SUM(Monthly_Base!$C$67:$N$67)=0,0,SUM(Monthly_Base!$C$77:$N$77)/SUM(Monthly_Base!$C$67:$N$67))</f>
        <v/>
      </c>
      <c r="C22" s="16">
        <f>IF(SUM(Monthly_Base!$O$67:$Z$67)=0,0,SUM(Monthly_Base!$O$77:$Z$77)/SUM(Monthly_Base!$O$67:$Z$67))</f>
        <v/>
      </c>
      <c r="D22" s="16">
        <f>IF(SUM(Monthly_Base!$AA$67:$AL$67)=0,0,SUM(Monthly_Base!$AA$77:$AL$77)/SUM(Monthly_Base!$AA$67:$AL$67))</f>
        <v/>
      </c>
      <c r="E22" s="16">
        <f>IF(SUM(Monthly_Base!$C$67:$AL$67)=0,0,SUM(Monthly_Base!$C$77:$AL$77)/SUM(Monthly_Base!$C$67:$AL$67))</f>
        <v/>
      </c>
    </row>
    <row r="23">
      <c r="A23" s="4" t="inlineStr">
        <is>
          <t>OPERATING EXPENSES</t>
        </is>
      </c>
      <c r="B23" s="5" t="n"/>
      <c r="C23" s="5" t="n"/>
      <c r="D23" s="5" t="n"/>
      <c r="E23" s="5" t="n"/>
    </row>
    <row r="24">
      <c r="A24" s="6" t="inlineStr">
        <is>
          <t>Founder salary</t>
        </is>
      </c>
      <c r="B24" s="14">
        <f>SUM(Monthly_Base!$C$81:$N$81)</f>
        <v/>
      </c>
      <c r="C24" s="14">
        <f>SUM(Monthly_Base!$O$81:$Z$81)</f>
        <v/>
      </c>
      <c r="D24" s="14">
        <f>SUM(Monthly_Base!$AA$81:$AL$81)</f>
        <v/>
      </c>
      <c r="E24" s="14">
        <f>SUM(Monthly_Base!$C$81:$AL$81)</f>
        <v/>
      </c>
    </row>
    <row r="25">
      <c r="A25" s="6" t="inlineStr">
        <is>
          <t>Contractors</t>
        </is>
      </c>
      <c r="B25" s="14">
        <f>SUM(Monthly_Base!$C$82:$N$82)</f>
        <v/>
      </c>
      <c r="C25" s="14">
        <f>SUM(Monthly_Base!$O$82:$Z$82)</f>
        <v/>
      </c>
      <c r="D25" s="14">
        <f>SUM(Monthly_Base!$AA$82:$AL$82)</f>
        <v/>
      </c>
      <c r="E25" s="14">
        <f>SUM(Monthly_Base!$C$82:$AL$82)</f>
        <v/>
      </c>
    </row>
    <row r="26">
      <c r="A26" s="6" t="inlineStr">
        <is>
          <t>Marketing: Apple Search Ads</t>
        </is>
      </c>
      <c r="B26" s="14">
        <f>SUM(Monthly_Base!$C$83:$N$83)</f>
        <v/>
      </c>
      <c r="C26" s="14">
        <f>SUM(Monthly_Base!$O$83:$Z$83)</f>
        <v/>
      </c>
      <c r="D26" s="14">
        <f>SUM(Monthly_Base!$AA$83:$AL$83)</f>
        <v/>
      </c>
      <c r="E26" s="14">
        <f>SUM(Monthly_Base!$C$83:$AL$83)</f>
        <v/>
      </c>
    </row>
    <row r="27">
      <c r="A27" s="6" t="inlineStr">
        <is>
          <t>Marketing: creators</t>
        </is>
      </c>
      <c r="B27" s="14">
        <f>SUM(Monthly_Base!$C$84:$N$84)</f>
        <v/>
      </c>
      <c r="C27" s="14">
        <f>SUM(Monthly_Base!$O$84:$Z$84)</f>
        <v/>
      </c>
      <c r="D27" s="14">
        <f>SUM(Monthly_Base!$AA$84:$AL$84)</f>
        <v/>
      </c>
      <c r="E27" s="14">
        <f>SUM(Monthly_Base!$C$84:$AL$84)</f>
        <v/>
      </c>
    </row>
    <row r="28">
      <c r="A28" s="6" t="inlineStr">
        <is>
          <t>Marketing: other</t>
        </is>
      </c>
      <c r="B28" s="14">
        <f>SUM(Monthly_Base!$C$85:$N$85)</f>
        <v/>
      </c>
      <c r="C28" s="14">
        <f>SUM(Monthly_Base!$O$85:$Z$85)</f>
        <v/>
      </c>
      <c r="D28" s="14">
        <f>SUM(Monthly_Base!$AA$85:$AL$85)</f>
        <v/>
      </c>
      <c r="E28" s="14">
        <f>SUM(Monthly_Base!$C$85:$AL$85)</f>
        <v/>
      </c>
    </row>
    <row r="29">
      <c r="A29" s="6" t="inlineStr">
        <is>
          <t>Legal &amp; compliance</t>
        </is>
      </c>
      <c r="B29" s="14">
        <f>SUM(Monthly_Base!$C$86:$N$86)</f>
        <v/>
      </c>
      <c r="C29" s="14">
        <f>SUM(Monthly_Base!$O$86:$Z$86)</f>
        <v/>
      </c>
      <c r="D29" s="14">
        <f>SUM(Monthly_Base!$AA$86:$AL$86)</f>
        <v/>
      </c>
      <c r="E29" s="14">
        <f>SUM(Monthly_Base!$C$86:$AL$86)</f>
        <v/>
      </c>
    </row>
    <row r="30">
      <c r="A30" s="6" t="inlineStr">
        <is>
          <t>Software / tools</t>
        </is>
      </c>
      <c r="B30" s="14">
        <f>SUM(Monthly_Base!$C$87:$N$87)</f>
        <v/>
      </c>
      <c r="C30" s="14">
        <f>SUM(Monthly_Base!$O$87:$Z$87)</f>
        <v/>
      </c>
      <c r="D30" s="14">
        <f>SUM(Monthly_Base!$AA$87:$AL$87)</f>
        <v/>
      </c>
      <c r="E30" s="14">
        <f>SUM(Monthly_Base!$C$87:$AL$87)</f>
        <v/>
      </c>
    </row>
    <row r="31">
      <c r="A31" s="6" t="inlineStr">
        <is>
          <t>Apple / Google developer fees</t>
        </is>
      </c>
      <c r="B31" s="14">
        <f>SUM(Monthly_Base!$C$88:$N$88)</f>
        <v/>
      </c>
      <c r="C31" s="14">
        <f>SUM(Monthly_Base!$O$88:$Z$88)</f>
        <v/>
      </c>
      <c r="D31" s="14">
        <f>SUM(Monthly_Base!$AA$88:$AL$88)</f>
        <v/>
      </c>
      <c r="E31" s="14">
        <f>SUM(Monthly_Base!$C$88:$AL$88)</f>
        <v/>
      </c>
    </row>
    <row r="32">
      <c r="A32" s="6" t="inlineStr">
        <is>
          <t>Insurance</t>
        </is>
      </c>
      <c r="B32" s="14">
        <f>SUM(Monthly_Base!$C$89:$N$89)</f>
        <v/>
      </c>
      <c r="C32" s="14">
        <f>SUM(Monthly_Base!$O$89:$Z$89)</f>
        <v/>
      </c>
      <c r="D32" s="14">
        <f>SUM(Monthly_Base!$AA$89:$AL$89)</f>
        <v/>
      </c>
      <c r="E32" s="14">
        <f>SUM(Monthly_Base!$C$89:$AL$89)</f>
        <v/>
      </c>
    </row>
    <row r="33">
      <c r="A33" s="24" t="inlineStr">
        <is>
          <t>Total operating expenses</t>
        </is>
      </c>
      <c r="B33" s="23">
        <f>SUM(Monthly_Base!$C$90:$N$90)</f>
        <v/>
      </c>
      <c r="C33" s="23">
        <f>SUM(Monthly_Base!$O$90:$Z$90)</f>
        <v/>
      </c>
      <c r="D33" s="23">
        <f>SUM(Monthly_Base!$AA$90:$AL$90)</f>
        <v/>
      </c>
      <c r="E33" s="23">
        <f>SUM(Monthly_Base!$C$90:$AL$90)</f>
        <v/>
      </c>
    </row>
    <row r="34">
      <c r="A34" s="24" t="inlineStr">
        <is>
          <t>OPERATING INCOME (EBIT)</t>
        </is>
      </c>
      <c r="B34" s="23">
        <f>SUM(Monthly_Base!$C$91:$N$91)</f>
        <v/>
      </c>
      <c r="C34" s="23">
        <f>SUM(Monthly_Base!$O$91:$Z$91)</f>
        <v/>
      </c>
      <c r="D34" s="23">
        <f>SUM(Monthly_Base!$AA$91:$AL$91)</f>
        <v/>
      </c>
      <c r="E34" s="23">
        <f>SUM(Monthly_Base!$C$91:$AL$91)</f>
        <v/>
      </c>
    </row>
    <row r="35">
      <c r="A35" s="6" t="inlineStr">
        <is>
          <t>Operating margin</t>
        </is>
      </c>
      <c r="B35" s="16">
        <f>IF(SUM(Monthly_Base!$C$67:$N$67)=0,0,SUM(Monthly_Base!$C$91:$N$91)/SUM(Monthly_Base!$C$67:$N$67))</f>
        <v/>
      </c>
      <c r="C35" s="16">
        <f>IF(SUM(Monthly_Base!$O$67:$Z$67)=0,0,SUM(Monthly_Base!$O$91:$Z$91)/SUM(Monthly_Base!$O$67:$Z$67))</f>
        <v/>
      </c>
      <c r="D35" s="16">
        <f>IF(SUM(Monthly_Base!$AA$67:$AL$67)=0,0,SUM(Monthly_Base!$AA$91:$AL$91)/SUM(Monthly_Base!$AA$67:$AL$67))</f>
        <v/>
      </c>
      <c r="E35" s="16">
        <f>IF(SUM(Monthly_Base!$C$67:$AL$67)=0,0,SUM(Monthly_Base!$C$91:$AL$91)/SUM(Monthly_Base!$C$67:$AL$67))</f>
        <v/>
      </c>
    </row>
    <row r="36">
      <c r="A36" s="4" t="inlineStr">
        <is>
          <t>MEMO</t>
        </is>
      </c>
      <c r="B36" s="5" t="n"/>
      <c r="C36" s="5" t="n"/>
      <c r="D36" s="5" t="n"/>
      <c r="E36" s="5" t="n"/>
    </row>
    <row r="37">
      <c r="A37" s="6" t="inlineStr">
        <is>
          <t>Ads as share of revenue</t>
        </is>
      </c>
      <c r="B37" s="16">
        <f>IF(SUM(Monthly_Base!$C$67:$N$67)=0,0,SUM(Monthly_Base!$C$64:$N$64)/SUM(Monthly_Base!$C$67:$N$67))</f>
        <v/>
      </c>
      <c r="C37" s="16">
        <f>IF(SUM(Monthly_Base!$O$67:$Z$67)=0,0,SUM(Monthly_Base!$O$64:$Z$64)/SUM(Monthly_Base!$O$67:$Z$67))</f>
        <v/>
      </c>
      <c r="D37" s="16">
        <f>IF(SUM(Monthly_Base!$AA$67:$AL$67)=0,0,SUM(Monthly_Base!$AA$64:$AL$64)/SUM(Monthly_Base!$AA$67:$AL$67))</f>
        <v/>
      </c>
      <c r="E37" s="16">
        <f>IF(SUM(Monthly_Base!$C$67:$AL$67)=0,0,SUM(Monthly_Base!$C$64:$AL$64)/SUM(Monthly_Base!$C$67:$AL$67))</f>
        <v/>
      </c>
    </row>
    <row r="38">
      <c r="A38" s="6" t="inlineStr">
        <is>
          <t>EBIT if ads were switched off (no other change)</t>
        </is>
      </c>
      <c r="B38" s="14">
        <f>(SUM(Monthly_Base!$C$91:$N$91)-SUM(Monthly_Base!$C$64:$N$64))</f>
        <v/>
      </c>
      <c r="C38" s="14">
        <f>(SUM(Monthly_Base!$O$91:$Z$91)-SUM(Monthly_Base!$O$64:$Z$64))</f>
        <v/>
      </c>
      <c r="D38" s="14">
        <f>(SUM(Monthly_Base!$AA$91:$AL$91)-SUM(Monthly_Base!$AA$64:$AL$64))</f>
        <v/>
      </c>
      <c r="E38" s="14">
        <f>(SUM(Monthly_Base!$C$91:$AL$91)-SUM(Monthly_Base!$C$64:$AL$64))</f>
        <v/>
      </c>
    </row>
    <row r="39">
      <c r="A39" s="6" t="inlineStr">
        <is>
          <t>Operating cash flow</t>
        </is>
      </c>
      <c r="B39" s="14">
        <f>SUM(Monthly_Base!$C$97:$N$97)</f>
        <v/>
      </c>
      <c r="C39" s="14">
        <f>SUM(Monthly_Base!$O$97:$Z$97)</f>
        <v/>
      </c>
      <c r="D39" s="14">
        <f>SUM(Monthly_Base!$AA$97:$AL$97)</f>
        <v/>
      </c>
      <c r="E39" s="14">
        <f>SUM(Monthly_Base!$C$97:$AL$97)</f>
        <v/>
      </c>
    </row>
    <row r="40">
      <c r="A40" s="6" t="inlineStr">
        <is>
          <t>Cumulative cash, end of period</t>
        </is>
      </c>
      <c r="B40" s="14">
        <f>Monthly_Base!N98</f>
        <v/>
      </c>
      <c r="C40" s="14">
        <f>Monthly_Base!Z98</f>
        <v/>
      </c>
      <c r="D40" s="14">
        <f>Monthly_Base!AL98</f>
        <v/>
      </c>
      <c r="E40" s="14">
        <f>Monthly_Base!AL98</f>
        <v/>
      </c>
    </row>
    <row r="41">
      <c r="A41" s="6" t="inlineStr">
        <is>
          <t>Installs</t>
        </is>
      </c>
      <c r="B41" s="17">
        <f>SUM(Monthly_Base!$C$12:$N$12)</f>
        <v/>
      </c>
      <c r="C41" s="17">
        <f>SUM(Monthly_Base!$O$12:$Z$12)</f>
        <v/>
      </c>
      <c r="D41" s="17">
        <f>SUM(Monthly_Base!$AA$12:$AL$12)</f>
        <v/>
      </c>
      <c r="E41" s="17">
        <f>SUM(Monthly_Base!$C$12:$AL$12)</f>
        <v/>
      </c>
    </row>
    <row r="42">
      <c r="A42" s="6" t="inlineStr">
        <is>
          <t>New paid subscribers</t>
        </is>
      </c>
      <c r="B42" s="17">
        <f>SUM(Monthly_Base!$C$17:$N$17)</f>
        <v/>
      </c>
      <c r="C42" s="17">
        <f>SUM(Monthly_Base!$O$17:$Z$17)</f>
        <v/>
      </c>
      <c r="D42" s="17">
        <f>SUM(Monthly_Base!$AA$17:$AL$17)</f>
        <v/>
      </c>
      <c r="E42" s="17">
        <f>SUM(Monthly_Base!$C$17:$AL$17)</f>
        <v/>
      </c>
    </row>
    <row r="43">
      <c r="A43" s="6" t="inlineStr">
        <is>
          <t>MAU, end of period</t>
        </is>
      </c>
      <c r="B43" s="17">
        <f>Monthly_Base!N36</f>
        <v/>
      </c>
      <c r="C43" s="17">
        <f>Monthly_Base!Z36</f>
        <v/>
      </c>
      <c r="D43" s="17">
        <f>Monthly_Base!AL36</f>
        <v/>
      </c>
      <c r="E43" s="17">
        <f>Monthly_Base!AL36</f>
        <v/>
      </c>
    </row>
    <row r="44">
      <c r="A44" s="6" t="inlineStr">
        <is>
          <t>Paid subscribers, end of period</t>
        </is>
      </c>
      <c r="B44" s="17">
        <f>Monthly_Base!N29</f>
        <v/>
      </c>
      <c r="C44" s="17">
        <f>Monthly_Base!Z29</f>
        <v/>
      </c>
      <c r="D44" s="17">
        <f>Monthly_Base!AL29</f>
        <v/>
      </c>
      <c r="E44" s="17">
        <f>Monthly_Base!AL29</f>
        <v/>
      </c>
    </row>
    <row r="46">
      <c r="A46" s="3" t="inlineStr">
        <is>
          <t>BEAR CASE</t>
        </is>
      </c>
      <c r="B46" s="3" t="inlineStr">
        <is>
          <t>FY1</t>
        </is>
      </c>
      <c r="C46" s="3" t="inlineStr">
        <is>
          <t>FY2</t>
        </is>
      </c>
      <c r="D46" s="3" t="inlineStr">
        <is>
          <t>FY3</t>
        </is>
      </c>
      <c r="E46" s="3" t="inlineStr">
        <is>
          <t>3-year total</t>
        </is>
      </c>
    </row>
    <row r="47">
      <c r="A47" s="4" t="inlineStr">
        <is>
          <t>REVENUE</t>
        </is>
      </c>
      <c r="B47" s="5" t="n"/>
      <c r="C47" s="5" t="n"/>
      <c r="D47" s="5" t="n"/>
      <c r="E47" s="5" t="n"/>
    </row>
    <row r="48">
      <c r="A48" s="6" t="inlineStr">
        <is>
          <t>Gross in-app sales</t>
        </is>
      </c>
      <c r="B48" s="14">
        <f>SUM(Monthly_Bear!$C$57:$N$57)</f>
        <v/>
      </c>
      <c r="C48" s="14">
        <f>SUM(Monthly_Bear!$O$57:$Z$57)</f>
        <v/>
      </c>
      <c r="D48" s="14">
        <f>SUM(Monthly_Bear!$AA$57:$AL$57)</f>
        <v/>
      </c>
      <c r="E48" s="14">
        <f>SUM(Monthly_Bear!$C$57:$AL$57)</f>
        <v/>
      </c>
    </row>
    <row r="49">
      <c r="A49" s="6" t="inlineStr">
        <is>
          <t>Less: refunds</t>
        </is>
      </c>
      <c r="B49" s="14">
        <f>SUM(Monthly_Bear!$C$58:$N$58)</f>
        <v/>
      </c>
      <c r="C49" s="14">
        <f>SUM(Monthly_Bear!$O$58:$Z$58)</f>
        <v/>
      </c>
      <c r="D49" s="14">
        <f>SUM(Monthly_Bear!$AA$58:$AL$58)</f>
        <v/>
      </c>
      <c r="E49" s="14">
        <f>SUM(Monthly_Bear!$C$58:$AL$58)</f>
        <v/>
      </c>
    </row>
    <row r="50">
      <c r="A50" s="6" t="inlineStr">
        <is>
          <t>Less: app store commission</t>
        </is>
      </c>
      <c r="B50" s="14">
        <f>SUM(Monthly_Bear!$C$59:$N$59)</f>
        <v/>
      </c>
      <c r="C50" s="14">
        <f>SUM(Monthly_Bear!$O$59:$Z$59)</f>
        <v/>
      </c>
      <c r="D50" s="14">
        <f>SUM(Monthly_Bear!$AA$59:$AL$59)</f>
        <v/>
      </c>
      <c r="E50" s="14">
        <f>SUM(Monthly_Bear!$C$59:$AL$59)</f>
        <v/>
      </c>
    </row>
    <row r="51">
      <c r="A51" s="24" t="inlineStr">
        <is>
          <t>Subscriptions &amp; in-app, net</t>
        </is>
      </c>
      <c r="B51" s="23">
        <f>SUM(Monthly_Bear!$C$60:$N$60)</f>
        <v/>
      </c>
      <c r="C51" s="23">
        <f>SUM(Monthly_Bear!$O$60:$Z$60)</f>
        <v/>
      </c>
      <c r="D51" s="23">
        <f>SUM(Monthly_Bear!$AA$60:$AL$60)</f>
        <v/>
      </c>
      <c r="E51" s="23">
        <f>SUM(Monthly_Bear!$C$60:$AL$60)</f>
        <v/>
      </c>
    </row>
    <row r="52">
      <c r="A52" s="6" t="inlineStr">
        <is>
          <t>Advertising</t>
        </is>
      </c>
      <c r="B52" s="14">
        <f>SUM(Monthly_Bear!$C$64:$N$64)</f>
        <v/>
      </c>
      <c r="C52" s="14">
        <f>SUM(Monthly_Bear!$O$64:$Z$64)</f>
        <v/>
      </c>
      <c r="D52" s="14">
        <f>SUM(Monthly_Bear!$AA$64:$AL$64)</f>
        <v/>
      </c>
      <c r="E52" s="14">
        <f>SUM(Monthly_Bear!$C$64:$AL$64)</f>
        <v/>
      </c>
    </row>
    <row r="53">
      <c r="A53" s="6" t="inlineStr">
        <is>
          <t>Affiliate</t>
        </is>
      </c>
      <c r="B53" s="14">
        <f>SUM(Monthly_Bear!$C$65:$N$65)</f>
        <v/>
      </c>
      <c r="C53" s="14">
        <f>SUM(Monthly_Bear!$O$65:$Z$65)</f>
        <v/>
      </c>
      <c r="D53" s="14">
        <f>SUM(Monthly_Bear!$AA$65:$AL$65)</f>
        <v/>
      </c>
      <c r="E53" s="14">
        <f>SUM(Monthly_Bear!$C$65:$AL$65)</f>
        <v/>
      </c>
    </row>
    <row r="54">
      <c r="A54" s="6" t="inlineStr">
        <is>
          <t>B2B / Edu licences</t>
        </is>
      </c>
      <c r="B54" s="14">
        <f>SUM(Monthly_Bear!$C$66:$N$66)</f>
        <v/>
      </c>
      <c r="C54" s="14">
        <f>SUM(Monthly_Bear!$O$66:$Z$66)</f>
        <v/>
      </c>
      <c r="D54" s="14">
        <f>SUM(Monthly_Bear!$AA$66:$AL$66)</f>
        <v/>
      </c>
      <c r="E54" s="14">
        <f>SUM(Monthly_Bear!$C$66:$AL$66)</f>
        <v/>
      </c>
    </row>
    <row r="55">
      <c r="A55" s="24" t="inlineStr">
        <is>
          <t>TOTAL REVENUE</t>
        </is>
      </c>
      <c r="B55" s="23">
        <f>SUM(Monthly_Bear!$C$67:$N$67)</f>
        <v/>
      </c>
      <c r="C55" s="23">
        <f>SUM(Monthly_Bear!$O$67:$Z$67)</f>
        <v/>
      </c>
      <c r="D55" s="23">
        <f>SUM(Monthly_Bear!$AA$67:$AL$67)</f>
        <v/>
      </c>
      <c r="E55" s="23">
        <f>SUM(Monthly_Bear!$C$67:$AL$67)</f>
        <v/>
      </c>
    </row>
    <row r="56">
      <c r="A56" s="4" t="inlineStr">
        <is>
          <t>COST OF REVENUE</t>
        </is>
      </c>
      <c r="B56" s="5" t="n"/>
      <c r="C56" s="5" t="n"/>
      <c r="D56" s="5" t="n"/>
      <c r="E56" s="5" t="n"/>
    </row>
    <row r="57">
      <c r="A57" s="6" t="inlineStr">
        <is>
          <t>Data licensing</t>
        </is>
      </c>
      <c r="B57" s="14">
        <f>SUM(Monthly_Bear!$C$70:$N$70)</f>
        <v/>
      </c>
      <c r="C57" s="14">
        <f>SUM(Monthly_Bear!$O$70:$Z$70)</f>
        <v/>
      </c>
      <c r="D57" s="14">
        <f>SUM(Monthly_Bear!$AA$70:$AL$70)</f>
        <v/>
      </c>
      <c r="E57" s="14">
        <f>SUM(Monthly_Bear!$C$70:$AL$70)</f>
        <v/>
      </c>
    </row>
    <row r="58">
      <c r="A58" s="6" t="inlineStr">
        <is>
          <t>Plaid / aggregation</t>
        </is>
      </c>
      <c r="B58" s="14">
        <f>SUM(Monthly_Bear!$C$71:$N$71)</f>
        <v/>
      </c>
      <c r="C58" s="14">
        <f>SUM(Monthly_Bear!$O$71:$Z$71)</f>
        <v/>
      </c>
      <c r="D58" s="14">
        <f>SUM(Monthly_Bear!$AA$71:$AL$71)</f>
        <v/>
      </c>
      <c r="E58" s="14">
        <f>SUM(Monthly_Bear!$C$71:$AL$71)</f>
        <v/>
      </c>
    </row>
    <row r="59">
      <c r="A59" s="6" t="inlineStr">
        <is>
          <t>Hosting</t>
        </is>
      </c>
      <c r="B59" s="14">
        <f>SUM(Monthly_Bear!$C$72:$N$72)</f>
        <v/>
      </c>
      <c r="C59" s="14">
        <f>SUM(Monthly_Bear!$O$72:$Z$72)</f>
        <v/>
      </c>
      <c r="D59" s="14">
        <f>SUM(Monthly_Bear!$AA$72:$AL$72)</f>
        <v/>
      </c>
      <c r="E59" s="14">
        <f>SUM(Monthly_Bear!$C$72:$AL$72)</f>
        <v/>
      </c>
    </row>
    <row r="60">
      <c r="A60" s="6" t="inlineStr">
        <is>
          <t>LLM tutor</t>
        </is>
      </c>
      <c r="B60" s="14">
        <f>SUM(Monthly_Bear!$C$73:$N$73)</f>
        <v/>
      </c>
      <c r="C60" s="14">
        <f>SUM(Monthly_Bear!$O$73:$Z$73)</f>
        <v/>
      </c>
      <c r="D60" s="14">
        <f>SUM(Monthly_Bear!$AA$73:$AL$73)</f>
        <v/>
      </c>
      <c r="E60" s="14">
        <f>SUM(Monthly_Bear!$C$73:$AL$73)</f>
        <v/>
      </c>
    </row>
    <row r="61">
      <c r="A61" s="6" t="inlineStr">
        <is>
          <t>RevenueCat</t>
        </is>
      </c>
      <c r="B61" s="14">
        <f>SUM(Monthly_Bear!$C$74:$N$74)</f>
        <v/>
      </c>
      <c r="C61" s="14">
        <f>SUM(Monthly_Bear!$O$74:$Z$74)</f>
        <v/>
      </c>
      <c r="D61" s="14">
        <f>SUM(Monthly_Bear!$AA$74:$AL$74)</f>
        <v/>
      </c>
      <c r="E61" s="14">
        <f>SUM(Monthly_Bear!$C$74:$AL$74)</f>
        <v/>
      </c>
    </row>
    <row r="62">
      <c r="A62" s="6" t="inlineStr">
        <is>
          <t>B2B processing</t>
        </is>
      </c>
      <c r="B62" s="14">
        <f>SUM(Monthly_Bear!$C$75:$N$75)</f>
        <v/>
      </c>
      <c r="C62" s="14">
        <f>SUM(Monthly_Bear!$O$75:$Z$75)</f>
        <v/>
      </c>
      <c r="D62" s="14">
        <f>SUM(Monthly_Bear!$AA$75:$AL$75)</f>
        <v/>
      </c>
      <c r="E62" s="14">
        <f>SUM(Monthly_Bear!$C$75:$AL$75)</f>
        <v/>
      </c>
    </row>
    <row r="63">
      <c r="A63" s="24" t="inlineStr">
        <is>
          <t>Total COGS</t>
        </is>
      </c>
      <c r="B63" s="23">
        <f>SUM(Monthly_Bear!$C$76:$N$76)</f>
        <v/>
      </c>
      <c r="C63" s="23">
        <f>SUM(Monthly_Bear!$O$76:$Z$76)</f>
        <v/>
      </c>
      <c r="D63" s="23">
        <f>SUM(Monthly_Bear!$AA$76:$AL$76)</f>
        <v/>
      </c>
      <c r="E63" s="23">
        <f>SUM(Monthly_Bear!$C$76:$AL$76)</f>
        <v/>
      </c>
    </row>
    <row r="64">
      <c r="A64" s="24" t="inlineStr">
        <is>
          <t>GROSS PROFIT</t>
        </is>
      </c>
      <c r="B64" s="23">
        <f>SUM(Monthly_Bear!$C$77:$N$77)</f>
        <v/>
      </c>
      <c r="C64" s="23">
        <f>SUM(Monthly_Bear!$O$77:$Z$77)</f>
        <v/>
      </c>
      <c r="D64" s="23">
        <f>SUM(Monthly_Bear!$AA$77:$AL$77)</f>
        <v/>
      </c>
      <c r="E64" s="23">
        <f>SUM(Monthly_Bear!$C$77:$AL$77)</f>
        <v/>
      </c>
    </row>
    <row r="65">
      <c r="A65" s="6" t="inlineStr">
        <is>
          <t>Gross margin</t>
        </is>
      </c>
      <c r="B65" s="16">
        <f>IF(SUM(Monthly_Bear!$C$67:$N$67)=0,0,SUM(Monthly_Bear!$C$77:$N$77)/SUM(Monthly_Bear!$C$67:$N$67))</f>
        <v/>
      </c>
      <c r="C65" s="16">
        <f>IF(SUM(Monthly_Bear!$O$67:$Z$67)=0,0,SUM(Monthly_Bear!$O$77:$Z$77)/SUM(Monthly_Bear!$O$67:$Z$67))</f>
        <v/>
      </c>
      <c r="D65" s="16">
        <f>IF(SUM(Monthly_Bear!$AA$67:$AL$67)=0,0,SUM(Monthly_Bear!$AA$77:$AL$77)/SUM(Monthly_Bear!$AA$67:$AL$67))</f>
        <v/>
      </c>
      <c r="E65" s="16">
        <f>IF(SUM(Monthly_Bear!$C$67:$AL$67)=0,0,SUM(Monthly_Bear!$C$77:$AL$77)/SUM(Monthly_Bear!$C$67:$AL$67))</f>
        <v/>
      </c>
    </row>
    <row r="66">
      <c r="A66" s="4" t="inlineStr">
        <is>
          <t>OPERATING EXPENSES</t>
        </is>
      </c>
      <c r="B66" s="5" t="n"/>
      <c r="C66" s="5" t="n"/>
      <c r="D66" s="5" t="n"/>
      <c r="E66" s="5" t="n"/>
    </row>
    <row r="67">
      <c r="A67" s="6" t="inlineStr">
        <is>
          <t>Founder salary</t>
        </is>
      </c>
      <c r="B67" s="14">
        <f>SUM(Monthly_Bear!$C$81:$N$81)</f>
        <v/>
      </c>
      <c r="C67" s="14">
        <f>SUM(Monthly_Bear!$O$81:$Z$81)</f>
        <v/>
      </c>
      <c r="D67" s="14">
        <f>SUM(Monthly_Bear!$AA$81:$AL$81)</f>
        <v/>
      </c>
      <c r="E67" s="14">
        <f>SUM(Monthly_Bear!$C$81:$AL$81)</f>
        <v/>
      </c>
    </row>
    <row r="68">
      <c r="A68" s="6" t="inlineStr">
        <is>
          <t>Contractors</t>
        </is>
      </c>
      <c r="B68" s="14">
        <f>SUM(Monthly_Bear!$C$82:$N$82)</f>
        <v/>
      </c>
      <c r="C68" s="14">
        <f>SUM(Monthly_Bear!$O$82:$Z$82)</f>
        <v/>
      </c>
      <c r="D68" s="14">
        <f>SUM(Monthly_Bear!$AA$82:$AL$82)</f>
        <v/>
      </c>
      <c r="E68" s="14">
        <f>SUM(Monthly_Bear!$C$82:$AL$82)</f>
        <v/>
      </c>
    </row>
    <row r="69">
      <c r="A69" s="6" t="inlineStr">
        <is>
          <t>Marketing: Apple Search Ads</t>
        </is>
      </c>
      <c r="B69" s="14">
        <f>SUM(Monthly_Bear!$C$83:$N$83)</f>
        <v/>
      </c>
      <c r="C69" s="14">
        <f>SUM(Monthly_Bear!$O$83:$Z$83)</f>
        <v/>
      </c>
      <c r="D69" s="14">
        <f>SUM(Monthly_Bear!$AA$83:$AL$83)</f>
        <v/>
      </c>
      <c r="E69" s="14">
        <f>SUM(Monthly_Bear!$C$83:$AL$83)</f>
        <v/>
      </c>
    </row>
    <row r="70">
      <c r="A70" s="6" t="inlineStr">
        <is>
          <t>Marketing: creators</t>
        </is>
      </c>
      <c r="B70" s="14">
        <f>SUM(Monthly_Bear!$C$84:$N$84)</f>
        <v/>
      </c>
      <c r="C70" s="14">
        <f>SUM(Monthly_Bear!$O$84:$Z$84)</f>
        <v/>
      </c>
      <c r="D70" s="14">
        <f>SUM(Monthly_Bear!$AA$84:$AL$84)</f>
        <v/>
      </c>
      <c r="E70" s="14">
        <f>SUM(Monthly_Bear!$C$84:$AL$84)</f>
        <v/>
      </c>
    </row>
    <row r="71">
      <c r="A71" s="6" t="inlineStr">
        <is>
          <t>Marketing: other</t>
        </is>
      </c>
      <c r="B71" s="14">
        <f>SUM(Monthly_Bear!$C$85:$N$85)</f>
        <v/>
      </c>
      <c r="C71" s="14">
        <f>SUM(Monthly_Bear!$O$85:$Z$85)</f>
        <v/>
      </c>
      <c r="D71" s="14">
        <f>SUM(Monthly_Bear!$AA$85:$AL$85)</f>
        <v/>
      </c>
      <c r="E71" s="14">
        <f>SUM(Monthly_Bear!$C$85:$AL$85)</f>
        <v/>
      </c>
    </row>
    <row r="72">
      <c r="A72" s="6" t="inlineStr">
        <is>
          <t>Legal &amp; compliance</t>
        </is>
      </c>
      <c r="B72" s="14">
        <f>SUM(Monthly_Bear!$C$86:$N$86)</f>
        <v/>
      </c>
      <c r="C72" s="14">
        <f>SUM(Monthly_Bear!$O$86:$Z$86)</f>
        <v/>
      </c>
      <c r="D72" s="14">
        <f>SUM(Monthly_Bear!$AA$86:$AL$86)</f>
        <v/>
      </c>
      <c r="E72" s="14">
        <f>SUM(Monthly_Bear!$C$86:$AL$86)</f>
        <v/>
      </c>
    </row>
    <row r="73">
      <c r="A73" s="6" t="inlineStr">
        <is>
          <t>Software / tools</t>
        </is>
      </c>
      <c r="B73" s="14">
        <f>SUM(Monthly_Bear!$C$87:$N$87)</f>
        <v/>
      </c>
      <c r="C73" s="14">
        <f>SUM(Monthly_Bear!$O$87:$Z$87)</f>
        <v/>
      </c>
      <c r="D73" s="14">
        <f>SUM(Monthly_Bear!$AA$87:$AL$87)</f>
        <v/>
      </c>
      <c r="E73" s="14">
        <f>SUM(Monthly_Bear!$C$87:$AL$87)</f>
        <v/>
      </c>
    </row>
    <row r="74">
      <c r="A74" s="6" t="inlineStr">
        <is>
          <t>Apple / Google developer fees</t>
        </is>
      </c>
      <c r="B74" s="14">
        <f>SUM(Monthly_Bear!$C$88:$N$88)</f>
        <v/>
      </c>
      <c r="C74" s="14">
        <f>SUM(Monthly_Bear!$O$88:$Z$88)</f>
        <v/>
      </c>
      <c r="D74" s="14">
        <f>SUM(Monthly_Bear!$AA$88:$AL$88)</f>
        <v/>
      </c>
      <c r="E74" s="14">
        <f>SUM(Monthly_Bear!$C$88:$AL$88)</f>
        <v/>
      </c>
    </row>
    <row r="75">
      <c r="A75" s="6" t="inlineStr">
        <is>
          <t>Insurance</t>
        </is>
      </c>
      <c r="B75" s="14">
        <f>SUM(Monthly_Bear!$C$89:$N$89)</f>
        <v/>
      </c>
      <c r="C75" s="14">
        <f>SUM(Monthly_Bear!$O$89:$Z$89)</f>
        <v/>
      </c>
      <c r="D75" s="14">
        <f>SUM(Monthly_Bear!$AA$89:$AL$89)</f>
        <v/>
      </c>
      <c r="E75" s="14">
        <f>SUM(Monthly_Bear!$C$89:$AL$89)</f>
        <v/>
      </c>
    </row>
    <row r="76">
      <c r="A76" s="24" t="inlineStr">
        <is>
          <t>Total operating expenses</t>
        </is>
      </c>
      <c r="B76" s="23">
        <f>SUM(Monthly_Bear!$C$90:$N$90)</f>
        <v/>
      </c>
      <c r="C76" s="23">
        <f>SUM(Monthly_Bear!$O$90:$Z$90)</f>
        <v/>
      </c>
      <c r="D76" s="23">
        <f>SUM(Monthly_Bear!$AA$90:$AL$90)</f>
        <v/>
      </c>
      <c r="E76" s="23">
        <f>SUM(Monthly_Bear!$C$90:$AL$90)</f>
        <v/>
      </c>
    </row>
    <row r="77">
      <c r="A77" s="24" t="inlineStr">
        <is>
          <t>OPERATING INCOME (EBIT)</t>
        </is>
      </c>
      <c r="B77" s="23">
        <f>SUM(Monthly_Bear!$C$91:$N$91)</f>
        <v/>
      </c>
      <c r="C77" s="23">
        <f>SUM(Monthly_Bear!$O$91:$Z$91)</f>
        <v/>
      </c>
      <c r="D77" s="23">
        <f>SUM(Monthly_Bear!$AA$91:$AL$91)</f>
        <v/>
      </c>
      <c r="E77" s="23">
        <f>SUM(Monthly_Bear!$C$91:$AL$91)</f>
        <v/>
      </c>
    </row>
    <row r="78">
      <c r="A78" s="6" t="inlineStr">
        <is>
          <t>Operating margin</t>
        </is>
      </c>
      <c r="B78" s="16">
        <f>IF(SUM(Monthly_Bear!$C$67:$N$67)=0,0,SUM(Monthly_Bear!$C$91:$N$91)/SUM(Monthly_Bear!$C$67:$N$67))</f>
        <v/>
      </c>
      <c r="C78" s="16">
        <f>IF(SUM(Monthly_Bear!$O$67:$Z$67)=0,0,SUM(Monthly_Bear!$O$91:$Z$91)/SUM(Monthly_Bear!$O$67:$Z$67))</f>
        <v/>
      </c>
      <c r="D78" s="16">
        <f>IF(SUM(Monthly_Bear!$AA$67:$AL$67)=0,0,SUM(Monthly_Bear!$AA$91:$AL$91)/SUM(Monthly_Bear!$AA$67:$AL$67))</f>
        <v/>
      </c>
      <c r="E78" s="16">
        <f>IF(SUM(Monthly_Bear!$C$67:$AL$67)=0,0,SUM(Monthly_Bear!$C$91:$AL$91)/SUM(Monthly_Bear!$C$67:$AL$67))</f>
        <v/>
      </c>
    </row>
    <row r="79">
      <c r="A79" s="4" t="inlineStr">
        <is>
          <t>MEMO</t>
        </is>
      </c>
      <c r="B79" s="5" t="n"/>
      <c r="C79" s="5" t="n"/>
      <c r="D79" s="5" t="n"/>
      <c r="E79" s="5" t="n"/>
    </row>
    <row r="80">
      <c r="A80" s="6" t="inlineStr">
        <is>
          <t>Ads as share of revenue</t>
        </is>
      </c>
      <c r="B80" s="16">
        <f>IF(SUM(Monthly_Bear!$C$67:$N$67)=0,0,SUM(Monthly_Bear!$C$64:$N$64)/SUM(Monthly_Bear!$C$67:$N$67))</f>
        <v/>
      </c>
      <c r="C80" s="16">
        <f>IF(SUM(Monthly_Bear!$O$67:$Z$67)=0,0,SUM(Monthly_Bear!$O$64:$Z$64)/SUM(Monthly_Bear!$O$67:$Z$67))</f>
        <v/>
      </c>
      <c r="D80" s="16">
        <f>IF(SUM(Monthly_Bear!$AA$67:$AL$67)=0,0,SUM(Monthly_Bear!$AA$64:$AL$64)/SUM(Monthly_Bear!$AA$67:$AL$67))</f>
        <v/>
      </c>
      <c r="E80" s="16">
        <f>IF(SUM(Monthly_Bear!$C$67:$AL$67)=0,0,SUM(Monthly_Bear!$C$64:$AL$64)/SUM(Monthly_Bear!$C$67:$AL$67))</f>
        <v/>
      </c>
    </row>
    <row r="81">
      <c r="A81" s="6" t="inlineStr">
        <is>
          <t>EBIT if ads were switched off (no other change)</t>
        </is>
      </c>
      <c r="B81" s="14">
        <f>(SUM(Monthly_Bear!$C$91:$N$91)-SUM(Monthly_Bear!$C$64:$N$64))</f>
        <v/>
      </c>
      <c r="C81" s="14">
        <f>(SUM(Monthly_Bear!$O$91:$Z$91)-SUM(Monthly_Bear!$O$64:$Z$64))</f>
        <v/>
      </c>
      <c r="D81" s="14">
        <f>(SUM(Monthly_Bear!$AA$91:$AL$91)-SUM(Monthly_Bear!$AA$64:$AL$64))</f>
        <v/>
      </c>
      <c r="E81" s="14">
        <f>(SUM(Monthly_Bear!$C$91:$AL$91)-SUM(Monthly_Bear!$C$64:$AL$64))</f>
        <v/>
      </c>
    </row>
    <row r="82">
      <c r="A82" s="6" t="inlineStr">
        <is>
          <t>Operating cash flow</t>
        </is>
      </c>
      <c r="B82" s="14">
        <f>SUM(Monthly_Bear!$C$97:$N$97)</f>
        <v/>
      </c>
      <c r="C82" s="14">
        <f>SUM(Monthly_Bear!$O$97:$Z$97)</f>
        <v/>
      </c>
      <c r="D82" s="14">
        <f>SUM(Monthly_Bear!$AA$97:$AL$97)</f>
        <v/>
      </c>
      <c r="E82" s="14">
        <f>SUM(Monthly_Bear!$C$97:$AL$97)</f>
        <v/>
      </c>
    </row>
    <row r="83">
      <c r="A83" s="6" t="inlineStr">
        <is>
          <t>Cumulative cash, end of period</t>
        </is>
      </c>
      <c r="B83" s="14">
        <f>Monthly_Bear!N98</f>
        <v/>
      </c>
      <c r="C83" s="14">
        <f>Monthly_Bear!Z98</f>
        <v/>
      </c>
      <c r="D83" s="14">
        <f>Monthly_Bear!AL98</f>
        <v/>
      </c>
      <c r="E83" s="14">
        <f>Monthly_Bear!AL98</f>
        <v/>
      </c>
    </row>
    <row r="84">
      <c r="A84" s="6" t="inlineStr">
        <is>
          <t>Installs</t>
        </is>
      </c>
      <c r="B84" s="17">
        <f>SUM(Monthly_Bear!$C$12:$N$12)</f>
        <v/>
      </c>
      <c r="C84" s="17">
        <f>SUM(Monthly_Bear!$O$12:$Z$12)</f>
        <v/>
      </c>
      <c r="D84" s="17">
        <f>SUM(Monthly_Bear!$AA$12:$AL$12)</f>
        <v/>
      </c>
      <c r="E84" s="17">
        <f>SUM(Monthly_Bear!$C$12:$AL$12)</f>
        <v/>
      </c>
    </row>
    <row r="85">
      <c r="A85" s="6" t="inlineStr">
        <is>
          <t>New paid subscribers</t>
        </is>
      </c>
      <c r="B85" s="17">
        <f>SUM(Monthly_Bear!$C$17:$N$17)</f>
        <v/>
      </c>
      <c r="C85" s="17">
        <f>SUM(Monthly_Bear!$O$17:$Z$17)</f>
        <v/>
      </c>
      <c r="D85" s="17">
        <f>SUM(Monthly_Bear!$AA$17:$AL$17)</f>
        <v/>
      </c>
      <c r="E85" s="17">
        <f>SUM(Monthly_Bear!$C$17:$AL$17)</f>
        <v/>
      </c>
    </row>
    <row r="86">
      <c r="A86" s="6" t="inlineStr">
        <is>
          <t>MAU, end of period</t>
        </is>
      </c>
      <c r="B86" s="17">
        <f>Monthly_Bear!N36</f>
        <v/>
      </c>
      <c r="C86" s="17">
        <f>Monthly_Bear!Z36</f>
        <v/>
      </c>
      <c r="D86" s="17">
        <f>Monthly_Bear!AL36</f>
        <v/>
      </c>
      <c r="E86" s="17">
        <f>Monthly_Bear!AL36</f>
        <v/>
      </c>
    </row>
    <row r="87">
      <c r="A87" s="6" t="inlineStr">
        <is>
          <t>Paid subscribers, end of period</t>
        </is>
      </c>
      <c r="B87" s="17">
        <f>Monthly_Bear!N29</f>
        <v/>
      </c>
      <c r="C87" s="17">
        <f>Monthly_Bear!Z29</f>
        <v/>
      </c>
      <c r="D87" s="17">
        <f>Monthly_Bear!AL29</f>
        <v/>
      </c>
      <c r="E87" s="17">
        <f>Monthly_Bear!AL29</f>
        <v/>
      </c>
    </row>
    <row r="89">
      <c r="A89" s="3" t="inlineStr">
        <is>
          <t>BULL CASE</t>
        </is>
      </c>
      <c r="B89" s="3" t="inlineStr">
        <is>
          <t>FY1</t>
        </is>
      </c>
      <c r="C89" s="3" t="inlineStr">
        <is>
          <t>FY2</t>
        </is>
      </c>
      <c r="D89" s="3" t="inlineStr">
        <is>
          <t>FY3</t>
        </is>
      </c>
      <c r="E89" s="3" t="inlineStr">
        <is>
          <t>3-year total</t>
        </is>
      </c>
    </row>
    <row r="90">
      <c r="A90" s="4" t="inlineStr">
        <is>
          <t>REVENUE</t>
        </is>
      </c>
      <c r="B90" s="5" t="n"/>
      <c r="C90" s="5" t="n"/>
      <c r="D90" s="5" t="n"/>
      <c r="E90" s="5" t="n"/>
    </row>
    <row r="91">
      <c r="A91" s="6" t="inlineStr">
        <is>
          <t>Gross in-app sales</t>
        </is>
      </c>
      <c r="B91" s="14">
        <f>SUM(Monthly_Bull!$C$57:$N$57)</f>
        <v/>
      </c>
      <c r="C91" s="14">
        <f>SUM(Monthly_Bull!$O$57:$Z$57)</f>
        <v/>
      </c>
      <c r="D91" s="14">
        <f>SUM(Monthly_Bull!$AA$57:$AL$57)</f>
        <v/>
      </c>
      <c r="E91" s="14">
        <f>SUM(Monthly_Bull!$C$57:$AL$57)</f>
        <v/>
      </c>
    </row>
    <row r="92">
      <c r="A92" s="6" t="inlineStr">
        <is>
          <t>Less: refunds</t>
        </is>
      </c>
      <c r="B92" s="14">
        <f>SUM(Monthly_Bull!$C$58:$N$58)</f>
        <v/>
      </c>
      <c r="C92" s="14">
        <f>SUM(Monthly_Bull!$O$58:$Z$58)</f>
        <v/>
      </c>
      <c r="D92" s="14">
        <f>SUM(Monthly_Bull!$AA$58:$AL$58)</f>
        <v/>
      </c>
      <c r="E92" s="14">
        <f>SUM(Monthly_Bull!$C$58:$AL$58)</f>
        <v/>
      </c>
    </row>
    <row r="93">
      <c r="A93" s="6" t="inlineStr">
        <is>
          <t>Less: app store commission</t>
        </is>
      </c>
      <c r="B93" s="14">
        <f>SUM(Monthly_Bull!$C$59:$N$59)</f>
        <v/>
      </c>
      <c r="C93" s="14">
        <f>SUM(Monthly_Bull!$O$59:$Z$59)</f>
        <v/>
      </c>
      <c r="D93" s="14">
        <f>SUM(Monthly_Bull!$AA$59:$AL$59)</f>
        <v/>
      </c>
      <c r="E93" s="14">
        <f>SUM(Monthly_Bull!$C$59:$AL$59)</f>
        <v/>
      </c>
    </row>
    <row r="94">
      <c r="A94" s="24" t="inlineStr">
        <is>
          <t>Subscriptions &amp; in-app, net</t>
        </is>
      </c>
      <c r="B94" s="23">
        <f>SUM(Monthly_Bull!$C$60:$N$60)</f>
        <v/>
      </c>
      <c r="C94" s="23">
        <f>SUM(Monthly_Bull!$O$60:$Z$60)</f>
        <v/>
      </c>
      <c r="D94" s="23">
        <f>SUM(Monthly_Bull!$AA$60:$AL$60)</f>
        <v/>
      </c>
      <c r="E94" s="23">
        <f>SUM(Monthly_Bull!$C$60:$AL$60)</f>
        <v/>
      </c>
    </row>
    <row r="95">
      <c r="A95" s="6" t="inlineStr">
        <is>
          <t>Advertising</t>
        </is>
      </c>
      <c r="B95" s="14">
        <f>SUM(Monthly_Bull!$C$64:$N$64)</f>
        <v/>
      </c>
      <c r="C95" s="14">
        <f>SUM(Monthly_Bull!$O$64:$Z$64)</f>
        <v/>
      </c>
      <c r="D95" s="14">
        <f>SUM(Monthly_Bull!$AA$64:$AL$64)</f>
        <v/>
      </c>
      <c r="E95" s="14">
        <f>SUM(Monthly_Bull!$C$64:$AL$64)</f>
        <v/>
      </c>
    </row>
    <row r="96">
      <c r="A96" s="6" t="inlineStr">
        <is>
          <t>Affiliate</t>
        </is>
      </c>
      <c r="B96" s="14">
        <f>SUM(Monthly_Bull!$C$65:$N$65)</f>
        <v/>
      </c>
      <c r="C96" s="14">
        <f>SUM(Monthly_Bull!$O$65:$Z$65)</f>
        <v/>
      </c>
      <c r="D96" s="14">
        <f>SUM(Monthly_Bull!$AA$65:$AL$65)</f>
        <v/>
      </c>
      <c r="E96" s="14">
        <f>SUM(Monthly_Bull!$C$65:$AL$65)</f>
        <v/>
      </c>
    </row>
    <row r="97">
      <c r="A97" s="6" t="inlineStr">
        <is>
          <t>B2B / Edu licences</t>
        </is>
      </c>
      <c r="B97" s="14">
        <f>SUM(Monthly_Bull!$C$66:$N$66)</f>
        <v/>
      </c>
      <c r="C97" s="14">
        <f>SUM(Monthly_Bull!$O$66:$Z$66)</f>
        <v/>
      </c>
      <c r="D97" s="14">
        <f>SUM(Monthly_Bull!$AA$66:$AL$66)</f>
        <v/>
      </c>
      <c r="E97" s="14">
        <f>SUM(Monthly_Bull!$C$66:$AL$66)</f>
        <v/>
      </c>
    </row>
    <row r="98">
      <c r="A98" s="24" t="inlineStr">
        <is>
          <t>TOTAL REVENUE</t>
        </is>
      </c>
      <c r="B98" s="23">
        <f>SUM(Monthly_Bull!$C$67:$N$67)</f>
        <v/>
      </c>
      <c r="C98" s="23">
        <f>SUM(Monthly_Bull!$O$67:$Z$67)</f>
        <v/>
      </c>
      <c r="D98" s="23">
        <f>SUM(Monthly_Bull!$AA$67:$AL$67)</f>
        <v/>
      </c>
      <c r="E98" s="23">
        <f>SUM(Monthly_Bull!$C$67:$AL$67)</f>
        <v/>
      </c>
    </row>
    <row r="99">
      <c r="A99" s="4" t="inlineStr">
        <is>
          <t>COST OF REVENUE</t>
        </is>
      </c>
      <c r="B99" s="5" t="n"/>
      <c r="C99" s="5" t="n"/>
      <c r="D99" s="5" t="n"/>
      <c r="E99" s="5" t="n"/>
    </row>
    <row r="100">
      <c r="A100" s="6" t="inlineStr">
        <is>
          <t>Data licensing</t>
        </is>
      </c>
      <c r="B100" s="14">
        <f>SUM(Monthly_Bull!$C$70:$N$70)</f>
        <v/>
      </c>
      <c r="C100" s="14">
        <f>SUM(Monthly_Bull!$O$70:$Z$70)</f>
        <v/>
      </c>
      <c r="D100" s="14">
        <f>SUM(Monthly_Bull!$AA$70:$AL$70)</f>
        <v/>
      </c>
      <c r="E100" s="14">
        <f>SUM(Monthly_Bull!$C$70:$AL$70)</f>
        <v/>
      </c>
    </row>
    <row r="101">
      <c r="A101" s="6" t="inlineStr">
        <is>
          <t>Plaid / aggregation</t>
        </is>
      </c>
      <c r="B101" s="14">
        <f>SUM(Monthly_Bull!$C$71:$N$71)</f>
        <v/>
      </c>
      <c r="C101" s="14">
        <f>SUM(Monthly_Bull!$O$71:$Z$71)</f>
        <v/>
      </c>
      <c r="D101" s="14">
        <f>SUM(Monthly_Bull!$AA$71:$AL$71)</f>
        <v/>
      </c>
      <c r="E101" s="14">
        <f>SUM(Monthly_Bull!$C$71:$AL$71)</f>
        <v/>
      </c>
    </row>
    <row r="102">
      <c r="A102" s="6" t="inlineStr">
        <is>
          <t>Hosting</t>
        </is>
      </c>
      <c r="B102" s="14">
        <f>SUM(Monthly_Bull!$C$72:$N$72)</f>
        <v/>
      </c>
      <c r="C102" s="14">
        <f>SUM(Monthly_Bull!$O$72:$Z$72)</f>
        <v/>
      </c>
      <c r="D102" s="14">
        <f>SUM(Monthly_Bull!$AA$72:$AL$72)</f>
        <v/>
      </c>
      <c r="E102" s="14">
        <f>SUM(Monthly_Bull!$C$72:$AL$72)</f>
        <v/>
      </c>
    </row>
    <row r="103">
      <c r="A103" s="6" t="inlineStr">
        <is>
          <t>LLM tutor</t>
        </is>
      </c>
      <c r="B103" s="14">
        <f>SUM(Monthly_Bull!$C$73:$N$73)</f>
        <v/>
      </c>
      <c r="C103" s="14">
        <f>SUM(Monthly_Bull!$O$73:$Z$73)</f>
        <v/>
      </c>
      <c r="D103" s="14">
        <f>SUM(Monthly_Bull!$AA$73:$AL$73)</f>
        <v/>
      </c>
      <c r="E103" s="14">
        <f>SUM(Monthly_Bull!$C$73:$AL$73)</f>
        <v/>
      </c>
    </row>
    <row r="104">
      <c r="A104" s="6" t="inlineStr">
        <is>
          <t>RevenueCat</t>
        </is>
      </c>
      <c r="B104" s="14">
        <f>SUM(Monthly_Bull!$C$74:$N$74)</f>
        <v/>
      </c>
      <c r="C104" s="14">
        <f>SUM(Monthly_Bull!$O$74:$Z$74)</f>
        <v/>
      </c>
      <c r="D104" s="14">
        <f>SUM(Monthly_Bull!$AA$74:$AL$74)</f>
        <v/>
      </c>
      <c r="E104" s="14">
        <f>SUM(Monthly_Bull!$C$74:$AL$74)</f>
        <v/>
      </c>
    </row>
    <row r="105">
      <c r="A105" s="6" t="inlineStr">
        <is>
          <t>B2B processing</t>
        </is>
      </c>
      <c r="B105" s="14">
        <f>SUM(Monthly_Bull!$C$75:$N$75)</f>
        <v/>
      </c>
      <c r="C105" s="14">
        <f>SUM(Monthly_Bull!$O$75:$Z$75)</f>
        <v/>
      </c>
      <c r="D105" s="14">
        <f>SUM(Monthly_Bull!$AA$75:$AL$75)</f>
        <v/>
      </c>
      <c r="E105" s="14">
        <f>SUM(Monthly_Bull!$C$75:$AL$75)</f>
        <v/>
      </c>
    </row>
    <row r="106">
      <c r="A106" s="24" t="inlineStr">
        <is>
          <t>Total COGS</t>
        </is>
      </c>
      <c r="B106" s="23">
        <f>SUM(Monthly_Bull!$C$76:$N$76)</f>
        <v/>
      </c>
      <c r="C106" s="23">
        <f>SUM(Monthly_Bull!$O$76:$Z$76)</f>
        <v/>
      </c>
      <c r="D106" s="23">
        <f>SUM(Monthly_Bull!$AA$76:$AL$76)</f>
        <v/>
      </c>
      <c r="E106" s="23">
        <f>SUM(Monthly_Bull!$C$76:$AL$76)</f>
        <v/>
      </c>
    </row>
    <row r="107">
      <c r="A107" s="24" t="inlineStr">
        <is>
          <t>GROSS PROFIT</t>
        </is>
      </c>
      <c r="B107" s="23">
        <f>SUM(Monthly_Bull!$C$77:$N$77)</f>
        <v/>
      </c>
      <c r="C107" s="23">
        <f>SUM(Monthly_Bull!$O$77:$Z$77)</f>
        <v/>
      </c>
      <c r="D107" s="23">
        <f>SUM(Monthly_Bull!$AA$77:$AL$77)</f>
        <v/>
      </c>
      <c r="E107" s="23">
        <f>SUM(Monthly_Bull!$C$77:$AL$77)</f>
        <v/>
      </c>
    </row>
    <row r="108">
      <c r="A108" s="6" t="inlineStr">
        <is>
          <t>Gross margin</t>
        </is>
      </c>
      <c r="B108" s="16">
        <f>IF(SUM(Monthly_Bull!$C$67:$N$67)=0,0,SUM(Monthly_Bull!$C$77:$N$77)/SUM(Monthly_Bull!$C$67:$N$67))</f>
        <v/>
      </c>
      <c r="C108" s="16">
        <f>IF(SUM(Monthly_Bull!$O$67:$Z$67)=0,0,SUM(Monthly_Bull!$O$77:$Z$77)/SUM(Monthly_Bull!$O$67:$Z$67))</f>
        <v/>
      </c>
      <c r="D108" s="16">
        <f>IF(SUM(Monthly_Bull!$AA$67:$AL$67)=0,0,SUM(Monthly_Bull!$AA$77:$AL$77)/SUM(Monthly_Bull!$AA$67:$AL$67))</f>
        <v/>
      </c>
      <c r="E108" s="16">
        <f>IF(SUM(Monthly_Bull!$C$67:$AL$67)=0,0,SUM(Monthly_Bull!$C$77:$AL$77)/SUM(Monthly_Bull!$C$67:$AL$67))</f>
        <v/>
      </c>
    </row>
    <row r="109">
      <c r="A109" s="4" t="inlineStr">
        <is>
          <t>OPERATING EXPENSES</t>
        </is>
      </c>
      <c r="B109" s="5" t="n"/>
      <c r="C109" s="5" t="n"/>
      <c r="D109" s="5" t="n"/>
      <c r="E109" s="5" t="n"/>
    </row>
    <row r="110">
      <c r="A110" s="6" t="inlineStr">
        <is>
          <t>Founder salary</t>
        </is>
      </c>
      <c r="B110" s="14">
        <f>SUM(Monthly_Bull!$C$81:$N$81)</f>
        <v/>
      </c>
      <c r="C110" s="14">
        <f>SUM(Monthly_Bull!$O$81:$Z$81)</f>
        <v/>
      </c>
      <c r="D110" s="14">
        <f>SUM(Monthly_Bull!$AA$81:$AL$81)</f>
        <v/>
      </c>
      <c r="E110" s="14">
        <f>SUM(Monthly_Bull!$C$81:$AL$81)</f>
        <v/>
      </c>
    </row>
    <row r="111">
      <c r="A111" s="6" t="inlineStr">
        <is>
          <t>Contractors</t>
        </is>
      </c>
      <c r="B111" s="14">
        <f>SUM(Monthly_Bull!$C$82:$N$82)</f>
        <v/>
      </c>
      <c r="C111" s="14">
        <f>SUM(Monthly_Bull!$O$82:$Z$82)</f>
        <v/>
      </c>
      <c r="D111" s="14">
        <f>SUM(Monthly_Bull!$AA$82:$AL$82)</f>
        <v/>
      </c>
      <c r="E111" s="14">
        <f>SUM(Monthly_Bull!$C$82:$AL$82)</f>
        <v/>
      </c>
    </row>
    <row r="112">
      <c r="A112" s="6" t="inlineStr">
        <is>
          <t>Marketing: Apple Search Ads</t>
        </is>
      </c>
      <c r="B112" s="14">
        <f>SUM(Monthly_Bull!$C$83:$N$83)</f>
        <v/>
      </c>
      <c r="C112" s="14">
        <f>SUM(Monthly_Bull!$O$83:$Z$83)</f>
        <v/>
      </c>
      <c r="D112" s="14">
        <f>SUM(Monthly_Bull!$AA$83:$AL$83)</f>
        <v/>
      </c>
      <c r="E112" s="14">
        <f>SUM(Monthly_Bull!$C$83:$AL$83)</f>
        <v/>
      </c>
    </row>
    <row r="113">
      <c r="A113" s="6" t="inlineStr">
        <is>
          <t>Marketing: creators</t>
        </is>
      </c>
      <c r="B113" s="14">
        <f>SUM(Monthly_Bull!$C$84:$N$84)</f>
        <v/>
      </c>
      <c r="C113" s="14">
        <f>SUM(Monthly_Bull!$O$84:$Z$84)</f>
        <v/>
      </c>
      <c r="D113" s="14">
        <f>SUM(Monthly_Bull!$AA$84:$AL$84)</f>
        <v/>
      </c>
      <c r="E113" s="14">
        <f>SUM(Monthly_Bull!$C$84:$AL$84)</f>
        <v/>
      </c>
    </row>
    <row r="114">
      <c r="A114" s="6" t="inlineStr">
        <is>
          <t>Marketing: other</t>
        </is>
      </c>
      <c r="B114" s="14">
        <f>SUM(Monthly_Bull!$C$85:$N$85)</f>
        <v/>
      </c>
      <c r="C114" s="14">
        <f>SUM(Monthly_Bull!$O$85:$Z$85)</f>
        <v/>
      </c>
      <c r="D114" s="14">
        <f>SUM(Monthly_Bull!$AA$85:$AL$85)</f>
        <v/>
      </c>
      <c r="E114" s="14">
        <f>SUM(Monthly_Bull!$C$85:$AL$85)</f>
        <v/>
      </c>
    </row>
    <row r="115">
      <c r="A115" s="6" t="inlineStr">
        <is>
          <t>Legal &amp; compliance</t>
        </is>
      </c>
      <c r="B115" s="14">
        <f>SUM(Monthly_Bull!$C$86:$N$86)</f>
        <v/>
      </c>
      <c r="C115" s="14">
        <f>SUM(Monthly_Bull!$O$86:$Z$86)</f>
        <v/>
      </c>
      <c r="D115" s="14">
        <f>SUM(Monthly_Bull!$AA$86:$AL$86)</f>
        <v/>
      </c>
      <c r="E115" s="14">
        <f>SUM(Monthly_Bull!$C$86:$AL$86)</f>
        <v/>
      </c>
    </row>
    <row r="116">
      <c r="A116" s="6" t="inlineStr">
        <is>
          <t>Software / tools</t>
        </is>
      </c>
      <c r="B116" s="14">
        <f>SUM(Monthly_Bull!$C$87:$N$87)</f>
        <v/>
      </c>
      <c r="C116" s="14">
        <f>SUM(Monthly_Bull!$O$87:$Z$87)</f>
        <v/>
      </c>
      <c r="D116" s="14">
        <f>SUM(Monthly_Bull!$AA$87:$AL$87)</f>
        <v/>
      </c>
      <c r="E116" s="14">
        <f>SUM(Monthly_Bull!$C$87:$AL$87)</f>
        <v/>
      </c>
    </row>
    <row r="117">
      <c r="A117" s="6" t="inlineStr">
        <is>
          <t>Apple / Google developer fees</t>
        </is>
      </c>
      <c r="B117" s="14">
        <f>SUM(Monthly_Bull!$C$88:$N$88)</f>
        <v/>
      </c>
      <c r="C117" s="14">
        <f>SUM(Monthly_Bull!$O$88:$Z$88)</f>
        <v/>
      </c>
      <c r="D117" s="14">
        <f>SUM(Monthly_Bull!$AA$88:$AL$88)</f>
        <v/>
      </c>
      <c r="E117" s="14">
        <f>SUM(Monthly_Bull!$C$88:$AL$88)</f>
        <v/>
      </c>
    </row>
    <row r="118">
      <c r="A118" s="6" t="inlineStr">
        <is>
          <t>Insurance</t>
        </is>
      </c>
      <c r="B118" s="14">
        <f>SUM(Monthly_Bull!$C$89:$N$89)</f>
        <v/>
      </c>
      <c r="C118" s="14">
        <f>SUM(Monthly_Bull!$O$89:$Z$89)</f>
        <v/>
      </c>
      <c r="D118" s="14">
        <f>SUM(Monthly_Bull!$AA$89:$AL$89)</f>
        <v/>
      </c>
      <c r="E118" s="14">
        <f>SUM(Monthly_Bull!$C$89:$AL$89)</f>
        <v/>
      </c>
    </row>
    <row r="119">
      <c r="A119" s="24" t="inlineStr">
        <is>
          <t>Total operating expenses</t>
        </is>
      </c>
      <c r="B119" s="23">
        <f>SUM(Monthly_Bull!$C$90:$N$90)</f>
        <v/>
      </c>
      <c r="C119" s="23">
        <f>SUM(Monthly_Bull!$O$90:$Z$90)</f>
        <v/>
      </c>
      <c r="D119" s="23">
        <f>SUM(Monthly_Bull!$AA$90:$AL$90)</f>
        <v/>
      </c>
      <c r="E119" s="23">
        <f>SUM(Monthly_Bull!$C$90:$AL$90)</f>
        <v/>
      </c>
    </row>
    <row r="120">
      <c r="A120" s="24" t="inlineStr">
        <is>
          <t>OPERATING INCOME (EBIT)</t>
        </is>
      </c>
      <c r="B120" s="23">
        <f>SUM(Monthly_Bull!$C$91:$N$91)</f>
        <v/>
      </c>
      <c r="C120" s="23">
        <f>SUM(Monthly_Bull!$O$91:$Z$91)</f>
        <v/>
      </c>
      <c r="D120" s="23">
        <f>SUM(Monthly_Bull!$AA$91:$AL$91)</f>
        <v/>
      </c>
      <c r="E120" s="23">
        <f>SUM(Monthly_Bull!$C$91:$AL$91)</f>
        <v/>
      </c>
    </row>
    <row r="121">
      <c r="A121" s="6" t="inlineStr">
        <is>
          <t>Operating margin</t>
        </is>
      </c>
      <c r="B121" s="16">
        <f>IF(SUM(Monthly_Bull!$C$67:$N$67)=0,0,SUM(Monthly_Bull!$C$91:$N$91)/SUM(Monthly_Bull!$C$67:$N$67))</f>
        <v/>
      </c>
      <c r="C121" s="16">
        <f>IF(SUM(Monthly_Bull!$O$67:$Z$67)=0,0,SUM(Monthly_Bull!$O$91:$Z$91)/SUM(Monthly_Bull!$O$67:$Z$67))</f>
        <v/>
      </c>
      <c r="D121" s="16">
        <f>IF(SUM(Monthly_Bull!$AA$67:$AL$67)=0,0,SUM(Monthly_Bull!$AA$91:$AL$91)/SUM(Monthly_Bull!$AA$67:$AL$67))</f>
        <v/>
      </c>
      <c r="E121" s="16">
        <f>IF(SUM(Monthly_Bull!$C$67:$AL$67)=0,0,SUM(Monthly_Bull!$C$91:$AL$91)/SUM(Monthly_Bull!$C$67:$AL$67))</f>
        <v/>
      </c>
    </row>
    <row r="122">
      <c r="A122" s="4" t="inlineStr">
        <is>
          <t>MEMO</t>
        </is>
      </c>
      <c r="B122" s="5" t="n"/>
      <c r="C122" s="5" t="n"/>
      <c r="D122" s="5" t="n"/>
      <c r="E122" s="5" t="n"/>
    </row>
    <row r="123">
      <c r="A123" s="6" t="inlineStr">
        <is>
          <t>Ads as share of revenue</t>
        </is>
      </c>
      <c r="B123" s="16">
        <f>IF(SUM(Monthly_Bull!$C$67:$N$67)=0,0,SUM(Monthly_Bull!$C$64:$N$64)/SUM(Monthly_Bull!$C$67:$N$67))</f>
        <v/>
      </c>
      <c r="C123" s="16">
        <f>IF(SUM(Monthly_Bull!$O$67:$Z$67)=0,0,SUM(Monthly_Bull!$O$64:$Z$64)/SUM(Monthly_Bull!$O$67:$Z$67))</f>
        <v/>
      </c>
      <c r="D123" s="16">
        <f>IF(SUM(Monthly_Bull!$AA$67:$AL$67)=0,0,SUM(Monthly_Bull!$AA$64:$AL$64)/SUM(Monthly_Bull!$AA$67:$AL$67))</f>
        <v/>
      </c>
      <c r="E123" s="16">
        <f>IF(SUM(Monthly_Bull!$C$67:$AL$67)=0,0,SUM(Monthly_Bull!$C$64:$AL$64)/SUM(Monthly_Bull!$C$67:$AL$67))</f>
        <v/>
      </c>
    </row>
    <row r="124">
      <c r="A124" s="6" t="inlineStr">
        <is>
          <t>EBIT if ads were switched off (no other change)</t>
        </is>
      </c>
      <c r="B124" s="14">
        <f>(SUM(Monthly_Bull!$C$91:$N$91)-SUM(Monthly_Bull!$C$64:$N$64))</f>
        <v/>
      </c>
      <c r="C124" s="14">
        <f>(SUM(Monthly_Bull!$O$91:$Z$91)-SUM(Monthly_Bull!$O$64:$Z$64))</f>
        <v/>
      </c>
      <c r="D124" s="14">
        <f>(SUM(Monthly_Bull!$AA$91:$AL$91)-SUM(Monthly_Bull!$AA$64:$AL$64))</f>
        <v/>
      </c>
      <c r="E124" s="14">
        <f>(SUM(Monthly_Bull!$C$91:$AL$91)-SUM(Monthly_Bull!$C$64:$AL$64))</f>
        <v/>
      </c>
    </row>
    <row r="125">
      <c r="A125" s="6" t="inlineStr">
        <is>
          <t>Operating cash flow</t>
        </is>
      </c>
      <c r="B125" s="14">
        <f>SUM(Monthly_Bull!$C$97:$N$97)</f>
        <v/>
      </c>
      <c r="C125" s="14">
        <f>SUM(Monthly_Bull!$O$97:$Z$97)</f>
        <v/>
      </c>
      <c r="D125" s="14">
        <f>SUM(Monthly_Bull!$AA$97:$AL$97)</f>
        <v/>
      </c>
      <c r="E125" s="14">
        <f>SUM(Monthly_Bull!$C$97:$AL$97)</f>
        <v/>
      </c>
    </row>
    <row r="126">
      <c r="A126" s="6" t="inlineStr">
        <is>
          <t>Cumulative cash, end of period</t>
        </is>
      </c>
      <c r="B126" s="14">
        <f>Monthly_Bull!N98</f>
        <v/>
      </c>
      <c r="C126" s="14">
        <f>Monthly_Bull!Z98</f>
        <v/>
      </c>
      <c r="D126" s="14">
        <f>Monthly_Bull!AL98</f>
        <v/>
      </c>
      <c r="E126" s="14">
        <f>Monthly_Bull!AL98</f>
        <v/>
      </c>
    </row>
    <row r="127">
      <c r="A127" s="6" t="inlineStr">
        <is>
          <t>Installs</t>
        </is>
      </c>
      <c r="B127" s="17">
        <f>SUM(Monthly_Bull!$C$12:$N$12)</f>
        <v/>
      </c>
      <c r="C127" s="17">
        <f>SUM(Monthly_Bull!$O$12:$Z$12)</f>
        <v/>
      </c>
      <c r="D127" s="17">
        <f>SUM(Monthly_Bull!$AA$12:$AL$12)</f>
        <v/>
      </c>
      <c r="E127" s="17">
        <f>SUM(Monthly_Bull!$C$12:$AL$12)</f>
        <v/>
      </c>
    </row>
    <row r="128">
      <c r="A128" s="6" t="inlineStr">
        <is>
          <t>New paid subscribers</t>
        </is>
      </c>
      <c r="B128" s="17">
        <f>SUM(Monthly_Bull!$C$17:$N$17)</f>
        <v/>
      </c>
      <c r="C128" s="17">
        <f>SUM(Monthly_Bull!$O$17:$Z$17)</f>
        <v/>
      </c>
      <c r="D128" s="17">
        <f>SUM(Monthly_Bull!$AA$17:$AL$17)</f>
        <v/>
      </c>
      <c r="E128" s="17">
        <f>SUM(Monthly_Bull!$C$17:$AL$17)</f>
        <v/>
      </c>
    </row>
    <row r="129">
      <c r="A129" s="6" t="inlineStr">
        <is>
          <t>MAU, end of period</t>
        </is>
      </c>
      <c r="B129" s="17">
        <f>Monthly_Bull!N36</f>
        <v/>
      </c>
      <c r="C129" s="17">
        <f>Monthly_Bull!Z36</f>
        <v/>
      </c>
      <c r="D129" s="17">
        <f>Monthly_Bull!AL36</f>
        <v/>
      </c>
      <c r="E129" s="17">
        <f>Monthly_Bull!AL36</f>
        <v/>
      </c>
    </row>
    <row r="130">
      <c r="A130" s="6" t="inlineStr">
        <is>
          <t>Paid subscribers, end of period</t>
        </is>
      </c>
      <c r="B130" s="17">
        <f>Monthly_Bull!N29</f>
        <v/>
      </c>
      <c r="C130" s="17">
        <f>Monthly_Bull!Z29</f>
        <v/>
      </c>
      <c r="D130" s="17">
        <f>Monthly_Bull!AL29</f>
        <v/>
      </c>
      <c r="E130" s="17">
        <f>Monthly_Bull!AL29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Tenbagger: KPIs and unit economics (live formulas)</t>
        </is>
      </c>
    </row>
    <row r="3">
      <c r="A3" s="3" t="inlineStr">
        <is>
          <t>Metric</t>
        </is>
      </c>
      <c r="B3" s="3" t="inlineStr">
        <is>
          <t>Base</t>
        </is>
      </c>
      <c r="C3" s="3" t="inlineStr">
        <is>
          <t>Bear</t>
        </is>
      </c>
      <c r="D3" s="3" t="inlineStr">
        <is>
          <t>Bull</t>
        </is>
      </c>
    </row>
    <row r="4">
      <c r="A4" s="4" t="inlineStr">
        <is>
          <t>SCALE</t>
        </is>
      </c>
      <c r="B4" s="5" t="n"/>
      <c r="C4" s="5" t="n"/>
      <c r="D4" s="5" t="n"/>
    </row>
    <row r="5">
      <c r="A5" s="6" t="inlineStr">
        <is>
          <t>Installs, 36 months</t>
        </is>
      </c>
      <c r="B5" s="25">
        <f>SUM(Monthly_Base!$C$12:$AL$12)</f>
        <v/>
      </c>
      <c r="C5" s="25">
        <f>SUM(Monthly_Bear!$C$12:$AL$12)</f>
        <v/>
      </c>
      <c r="D5" s="25">
        <f>SUM(Monthly_Bull!$C$12:$AL$12)</f>
        <v/>
      </c>
    </row>
    <row r="6">
      <c r="A6" s="6" t="inlineStr">
        <is>
          <t>MAU, month 12</t>
        </is>
      </c>
      <c r="B6" s="25">
        <f>Monthly_Base!N36</f>
        <v/>
      </c>
      <c r="C6" s="25">
        <f>Monthly_Bear!N36</f>
        <v/>
      </c>
      <c r="D6" s="25">
        <f>Monthly_Bull!N36</f>
        <v/>
      </c>
    </row>
    <row r="7">
      <c r="A7" s="6" t="inlineStr">
        <is>
          <t>MAU, month 24</t>
        </is>
      </c>
      <c r="B7" s="25">
        <f>Monthly_Base!Z36</f>
        <v/>
      </c>
      <c r="C7" s="25">
        <f>Monthly_Bear!Z36</f>
        <v/>
      </c>
      <c r="D7" s="25">
        <f>Monthly_Bull!Z36</f>
        <v/>
      </c>
    </row>
    <row r="8">
      <c r="A8" s="6" t="inlineStr">
        <is>
          <t>MAU, month 36</t>
        </is>
      </c>
      <c r="B8" s="25">
        <f>Monthly_Base!AL36</f>
        <v/>
      </c>
      <c r="C8" s="25">
        <f>Monthly_Bear!AL36</f>
        <v/>
      </c>
      <c r="D8" s="25">
        <f>Monthly_Bull!AL36</f>
        <v/>
      </c>
    </row>
    <row r="9">
      <c r="A9" s="6" t="inlineStr">
        <is>
          <t>Paid subscribers, month 12</t>
        </is>
      </c>
      <c r="B9" s="25">
        <f>Monthly_Base!N29</f>
        <v/>
      </c>
      <c r="C9" s="25">
        <f>Monthly_Bear!N29</f>
        <v/>
      </c>
      <c r="D9" s="25">
        <f>Monthly_Bull!N29</f>
        <v/>
      </c>
    </row>
    <row r="10">
      <c r="A10" s="6" t="inlineStr">
        <is>
          <t>Paid subscribers, month 24</t>
        </is>
      </c>
      <c r="B10" s="25">
        <f>Monthly_Base!Z29</f>
        <v/>
      </c>
      <c r="C10" s="25">
        <f>Monthly_Bear!Z29</f>
        <v/>
      </c>
      <c r="D10" s="25">
        <f>Monthly_Bull!Z29</f>
        <v/>
      </c>
    </row>
    <row r="11">
      <c r="A11" s="6" t="inlineStr">
        <is>
          <t>Paid subscribers, month 36</t>
        </is>
      </c>
      <c r="B11" s="25">
        <f>Monthly_Base!AL29</f>
        <v/>
      </c>
      <c r="C11" s="25">
        <f>Monthly_Bear!AL29</f>
        <v/>
      </c>
      <c r="D11" s="25">
        <f>Monthly_Bull!AL29</f>
        <v/>
      </c>
    </row>
    <row r="12">
      <c r="A12" s="6" t="inlineStr">
        <is>
          <t>Paid subscribers / MAU, month 36 (Duolingo FY25: 9.2%)</t>
        </is>
      </c>
      <c r="B12" s="26">
        <f>Monthly_Base!AL37</f>
        <v/>
      </c>
      <c r="C12" s="26">
        <f>Monthly_Bear!AL37</f>
        <v/>
      </c>
      <c r="D12" s="26">
        <f>Monthly_Bull!AL37</f>
        <v/>
      </c>
    </row>
    <row r="13">
      <c r="A13" s="6" t="inlineStr">
        <is>
          <t>Net subscription ARR run-rate, month 36</t>
        </is>
      </c>
      <c r="B13" s="27">
        <f>(Monthly_Base!AL60*12)</f>
        <v/>
      </c>
      <c r="C13" s="27">
        <f>(Monthly_Bear!AL60*12)</f>
        <v/>
      </c>
      <c r="D13" s="27">
        <f>(Monthly_Bull!AL60*12)</f>
        <v/>
      </c>
    </row>
    <row r="14">
      <c r="A14" s="6" t="inlineStr">
        <is>
          <t>Total revenue run-rate (x12), month 36</t>
        </is>
      </c>
      <c r="B14" s="27">
        <f>(Monthly_Base!AL67*12)</f>
        <v/>
      </c>
      <c r="C14" s="27">
        <f>(Monthly_Bear!AL67*12)</f>
        <v/>
      </c>
      <c r="D14" s="27">
        <f>(Monthly_Bull!AL67*12)</f>
        <v/>
      </c>
    </row>
    <row r="15">
      <c r="A15" s="4" t="inlineStr">
        <is>
          <t>MONETISATION</t>
        </is>
      </c>
      <c r="B15" s="5" t="n"/>
      <c r="C15" s="5" t="n"/>
      <c r="D15" s="5" t="n"/>
    </row>
    <row r="16">
      <c r="A16" s="6" t="inlineStr">
        <is>
          <t>Install-to-paid conversion</t>
        </is>
      </c>
      <c r="B16" s="26">
        <f>Assumptions!$E$111</f>
        <v/>
      </c>
      <c r="C16" s="26">
        <f>Assumptions!$F$111</f>
        <v/>
      </c>
      <c r="D16" s="26">
        <f>Assumptions!$G$111</f>
        <v/>
      </c>
    </row>
    <row r="17">
      <c r="A17" s="6" t="inlineStr">
        <is>
          <t>ARPU per MAU per month, FY3</t>
        </is>
      </c>
      <c r="B17" s="28">
        <f>IF(SUM(Monthly_Base!$AA$36:$AL$36)=0,0,SUM(Monthly_Base!$AA$67:$AL$67)/SUM(Monthly_Base!$AA$36:$AL$36))</f>
        <v/>
      </c>
      <c r="C17" s="28">
        <f>IF(SUM(Monthly_Bear!$AA$36:$AL$36)=0,0,SUM(Monthly_Bear!$AA$67:$AL$67)/SUM(Monthly_Bear!$AA$36:$AL$36))</f>
        <v/>
      </c>
      <c r="D17" s="28">
        <f>IF(SUM(Monthly_Bull!$AA$36:$AL$36)=0,0,SUM(Monthly_Bull!$AA$67:$AL$67)/SUM(Monthly_Bull!$AA$36:$AL$36))</f>
        <v/>
      </c>
    </row>
    <row r="18">
      <c r="A18" s="6" t="inlineStr">
        <is>
          <t>ARPPU (net subs revenue per payer per month), FY3</t>
        </is>
      </c>
      <c r="B18" s="28">
        <f>IF(SUM(Monthly_Base!$AA$29:$AL$29)=0,0,SUM(Monthly_Base!$AA$60:$AL$60)/SUM(Monthly_Base!$AA$29:$AL$29))</f>
        <v/>
      </c>
      <c r="C18" s="28">
        <f>IF(SUM(Monthly_Bear!$AA$29:$AL$29)=0,0,SUM(Monthly_Bear!$AA$60:$AL$60)/SUM(Monthly_Bear!$AA$29:$AL$29))</f>
        <v/>
      </c>
      <c r="D18" s="28">
        <f>IF(SUM(Monthly_Bull!$AA$29:$AL$29)=0,0,SUM(Monthly_Bull!$AA$60:$AL$60)/SUM(Monthly_Bull!$AA$29:$AL$29))</f>
        <v/>
      </c>
    </row>
    <row r="19">
      <c r="A19" s="6" t="inlineStr">
        <is>
          <t>Ad revenue per ad-seeing free MAU per month</t>
        </is>
      </c>
      <c r="B19" s="28">
        <f>Assumptions!$E$113</f>
        <v/>
      </c>
      <c r="C19" s="28">
        <f>Assumptions!$F$113</f>
        <v/>
      </c>
      <c r="D19" s="28">
        <f>Assumptions!$G$113</f>
        <v/>
      </c>
    </row>
    <row r="20">
      <c r="A20" s="4" t="inlineStr">
        <is>
          <t>UNIT ECONOMICS (steady-state plan mix)</t>
        </is>
      </c>
      <c r="B20" s="5" t="n"/>
      <c r="C20" s="5" t="n"/>
      <c r="D20" s="5" t="n"/>
    </row>
    <row r="21">
      <c r="A21" s="6" t="inlineStr">
        <is>
          <t>Contribution per payer per month (net ARPPU - LLM - Plaid)</t>
        </is>
      </c>
      <c r="B21" s="28">
        <f>(((((Assumptions!$E$31*Assumptions!$E$35)+((Assumptions!$E$32*Assumptions!$E$36)/12))+((Assumptions!$E$109*Assumptions!$E$37)/12))*Assumptions!$E$112)-Assumptions!$E$114)</f>
        <v/>
      </c>
      <c r="C21" s="28">
        <f>(((((Assumptions!$F$31*Assumptions!$F$35)+((Assumptions!$F$32*Assumptions!$F$36)/12))+((Assumptions!$F$109*Assumptions!$F$37)/12))*Assumptions!$F$112)-Assumptions!$F$114)</f>
        <v/>
      </c>
      <c r="D21" s="28">
        <f>(((((Assumptions!$G$31*Assumptions!$G$35)+((Assumptions!$G$32*Assumptions!$G$36)/12))+((Assumptions!$G$109*Assumptions!$G$37)/12))*Assumptions!$G$112)-Assumptions!$G$114)</f>
        <v/>
      </c>
    </row>
    <row r="22">
      <c r="A22" s="6" t="inlineStr">
        <is>
          <t>LTV per payer (net of store fee, refunds, variable cost)</t>
        </is>
      </c>
      <c r="B22" s="27">
        <f>((((Assumptions!$E$31*((Assumptions!$E$35*Assumptions!$E$112)-Assumptions!$E$114))/Assumptions!$E$110)+((Assumptions!$E$32*((Assumptions!$E$36*Assumptions!$E$112)-(12*Assumptions!$E$114)))/(1-Assumptions!$E$43)))+((Assumptions!$E$109*((Assumptions!$E$37*Assumptions!$E$112)-(12*Assumptions!$E$114)))/(1-Assumptions!$E$44)))</f>
        <v/>
      </c>
      <c r="C22" s="27">
        <f>((((Assumptions!$F$31*((Assumptions!$F$35*Assumptions!$F$112)-Assumptions!$F$114))/Assumptions!$F$110)+((Assumptions!$F$32*((Assumptions!$F$36*Assumptions!$F$112)-(12*Assumptions!$F$114)))/(1-Assumptions!$F$43)))+((Assumptions!$F$109*((Assumptions!$F$37*Assumptions!$F$112)-(12*Assumptions!$F$114)))/(1-Assumptions!$F$44)))</f>
        <v/>
      </c>
      <c r="D22" s="27">
        <f>((((Assumptions!$G$31*((Assumptions!$G$35*Assumptions!$G$112)-Assumptions!$G$114))/Assumptions!$G$110)+((Assumptions!$G$32*((Assumptions!$G$36*Assumptions!$G$112)-(12*Assumptions!$G$114)))/(1-Assumptions!$G$43)))+((Assumptions!$G$109*((Assumptions!$G$37*Assumptions!$G$112)-(12*Assumptions!$G$114)))/(1-Assumptions!$G$44)))</f>
        <v/>
      </c>
    </row>
    <row r="23">
      <c r="A23" s="6" t="inlineStr">
        <is>
          <t>CAC per payer: Apple Search Ads (CPI / install-to-paid)</t>
        </is>
      </c>
      <c r="B23" s="27">
        <f>IF(Assumptions!$E$111=0,0,Assumptions!$E$23/Assumptions!$E$111)</f>
        <v/>
      </c>
      <c r="C23" s="27">
        <f>IF(Assumptions!$F$111=0,0,Assumptions!$F$23/Assumptions!$F$111)</f>
        <v/>
      </c>
      <c r="D23" s="27">
        <f>IF(Assumptions!$G$111=0,0,Assumptions!$G$23/Assumptions!$G$111)</f>
        <v/>
      </c>
    </row>
    <row r="24">
      <c r="A24" s="6" t="inlineStr">
        <is>
          <t>CAC per payer: creators</t>
        </is>
      </c>
      <c r="B24" s="27">
        <f>IF(Assumptions!$E$111=0,0,Assumptions!$E$19/Assumptions!$E$111)</f>
        <v/>
      </c>
      <c r="C24" s="27">
        <f>IF(Assumptions!$F$111=0,0,Assumptions!$F$19/Assumptions!$F$111)</f>
        <v/>
      </c>
      <c r="D24" s="27">
        <f>IF(Assumptions!$G$111=0,0,Assumptions!$G$19/Assumptions!$G$111)</f>
        <v/>
      </c>
    </row>
    <row r="25">
      <c r="A25" s="6" t="inlineStr">
        <is>
          <t>CAC per payer: organic / SEO and referral (no media spend)</t>
        </is>
      </c>
      <c r="B25" s="27">
        <f>(0*Assumptions!$E$111)</f>
        <v/>
      </c>
      <c r="C25" s="27">
        <f>(0*Assumptions!$F$111)</f>
        <v/>
      </c>
      <c r="D25" s="27">
        <f>(0*Assumptions!$G$111)</f>
        <v/>
      </c>
    </row>
    <row r="26">
      <c r="A26" s="6" t="inlineStr">
        <is>
          <t>CAC blended: paid media / all new payers, FY3</t>
        </is>
      </c>
      <c r="B26" s="27">
        <f>IF(SUM(Monthly_Base!$AA$17:$AL$17)=0,0,(SUM(Monthly_Base!$AA$10:$AL$10)+SUM(Monthly_Base!$AA$8:$AL$8))/SUM(Monthly_Base!$AA$17:$AL$17))</f>
        <v/>
      </c>
      <c r="C26" s="27">
        <f>IF(SUM(Monthly_Bear!$AA$17:$AL$17)=0,0,(SUM(Monthly_Bear!$AA$10:$AL$10)+SUM(Monthly_Bear!$AA$8:$AL$8))/SUM(Monthly_Bear!$AA$17:$AL$17))</f>
        <v/>
      </c>
      <c r="D26" s="27">
        <f>IF(SUM(Monthly_Bull!$AA$17:$AL$17)=0,0,(SUM(Monthly_Bull!$AA$10:$AL$10)+SUM(Monthly_Bull!$AA$8:$AL$8))/SUM(Monthly_Bull!$AA$17:$AL$17))</f>
        <v/>
      </c>
    </row>
    <row r="27">
      <c r="A27" s="6" t="inlineStr">
        <is>
          <t>LTV / CAC: Apple Search Ads</t>
        </is>
      </c>
      <c r="B27" s="29">
        <f>IF(IF(Assumptions!$E$111=0,0,Assumptions!$E$23/Assumptions!$E$111)=0,0,((((Assumptions!$E$31*((Assumptions!$E$35*Assumptions!$E$112)-Assumptions!$E$114))/Assumptions!$E$110)+((Assumptions!$E$32*((Assumptions!$E$36*Assumptions!$E$112)-(12*Assumptions!$E$114)))/(1-Assumptions!$E$43)))+((Assumptions!$E$109*((Assumptions!$E$37*Assumptions!$E$112)-(12*Assumptions!$E$114)))/(1-Assumptions!$E$44)))/IF(Assumptions!$E$111=0,0,Assumptions!$E$23/Assumptions!$E$111))</f>
        <v/>
      </c>
      <c r="C27" s="29">
        <f>IF(IF(Assumptions!$F$111=0,0,Assumptions!$F$23/Assumptions!$F$111)=0,0,((((Assumptions!$F$31*((Assumptions!$F$35*Assumptions!$F$112)-Assumptions!$F$114))/Assumptions!$F$110)+((Assumptions!$F$32*((Assumptions!$F$36*Assumptions!$F$112)-(12*Assumptions!$F$114)))/(1-Assumptions!$F$43)))+((Assumptions!$F$109*((Assumptions!$F$37*Assumptions!$F$112)-(12*Assumptions!$F$114)))/(1-Assumptions!$F$44)))/IF(Assumptions!$F$111=0,0,Assumptions!$F$23/Assumptions!$F$111))</f>
        <v/>
      </c>
      <c r="D27" s="29">
        <f>IF(IF(Assumptions!$G$111=0,0,Assumptions!$G$23/Assumptions!$G$111)=0,0,((((Assumptions!$G$31*((Assumptions!$G$35*Assumptions!$G$112)-Assumptions!$G$114))/Assumptions!$G$110)+((Assumptions!$G$32*((Assumptions!$G$36*Assumptions!$G$112)-(12*Assumptions!$G$114)))/(1-Assumptions!$G$43)))+((Assumptions!$G$109*((Assumptions!$G$37*Assumptions!$G$112)-(12*Assumptions!$G$114)))/(1-Assumptions!$G$44)))/IF(Assumptions!$G$111=0,0,Assumptions!$G$23/Assumptions!$G$111))</f>
        <v/>
      </c>
    </row>
    <row r="28">
      <c r="A28" s="6" t="inlineStr">
        <is>
          <t>LTV / CAC: creators</t>
        </is>
      </c>
      <c r="B28" s="29">
        <f>IF(IF(Assumptions!$E$111=0,0,Assumptions!$E$19/Assumptions!$E$111)=0,0,((((Assumptions!$E$31*((Assumptions!$E$35*Assumptions!$E$112)-Assumptions!$E$114))/Assumptions!$E$110)+((Assumptions!$E$32*((Assumptions!$E$36*Assumptions!$E$112)-(12*Assumptions!$E$114)))/(1-Assumptions!$E$43)))+((Assumptions!$E$109*((Assumptions!$E$37*Assumptions!$E$112)-(12*Assumptions!$E$114)))/(1-Assumptions!$E$44)))/IF(Assumptions!$E$111=0,0,Assumptions!$E$19/Assumptions!$E$111))</f>
        <v/>
      </c>
      <c r="C28" s="29">
        <f>IF(IF(Assumptions!$F$111=0,0,Assumptions!$F$19/Assumptions!$F$111)=0,0,((((Assumptions!$F$31*((Assumptions!$F$35*Assumptions!$F$112)-Assumptions!$F$114))/Assumptions!$F$110)+((Assumptions!$F$32*((Assumptions!$F$36*Assumptions!$F$112)-(12*Assumptions!$F$114)))/(1-Assumptions!$F$43)))+((Assumptions!$F$109*((Assumptions!$F$37*Assumptions!$F$112)-(12*Assumptions!$F$114)))/(1-Assumptions!$F$44)))/IF(Assumptions!$F$111=0,0,Assumptions!$F$19/Assumptions!$F$111))</f>
        <v/>
      </c>
      <c r="D28" s="29">
        <f>IF(IF(Assumptions!$G$111=0,0,Assumptions!$G$19/Assumptions!$G$111)=0,0,((((Assumptions!$G$31*((Assumptions!$G$35*Assumptions!$G$112)-Assumptions!$G$114))/Assumptions!$G$110)+((Assumptions!$G$32*((Assumptions!$G$36*Assumptions!$G$112)-(12*Assumptions!$G$114)))/(1-Assumptions!$G$43)))+((Assumptions!$G$109*((Assumptions!$G$37*Assumptions!$G$112)-(12*Assumptions!$G$114)))/(1-Assumptions!$G$44)))/IF(Assumptions!$G$111=0,0,Assumptions!$G$19/Assumptions!$G$111))</f>
        <v/>
      </c>
    </row>
    <row r="29">
      <c r="A29" s="6" t="inlineStr">
        <is>
          <t>LTV / CAC: blended, FY3</t>
        </is>
      </c>
      <c r="B29" s="29">
        <f>IF(IF(SUM(Monthly_Base!$AA$17:$AL$17)=0,0,(SUM(Monthly_Base!$AA$10:$AL$10)+SUM(Monthly_Base!$AA$8:$AL$8))/SUM(Monthly_Base!$AA$17:$AL$17))=0,0,((((Assumptions!$E$31*((Assumptions!$E$35*Assumptions!$E$112)-Assumptions!$E$114))/Assumptions!$E$110)+((Assumptions!$E$32*((Assumptions!$E$36*Assumptions!$E$112)-(12*Assumptions!$E$114)))/(1-Assumptions!$E$43)))+((Assumptions!$E$109*((Assumptions!$E$37*Assumptions!$E$112)-(12*Assumptions!$E$114)))/(1-Assumptions!$E$44)))/IF(SUM(Monthly_Base!$AA$17:$AL$17)=0,0,(SUM(Monthly_Base!$AA$10:$AL$10)+SUM(Monthly_Base!$AA$8:$AL$8))/SUM(Monthly_Base!$AA$17:$AL$17)))</f>
        <v/>
      </c>
      <c r="C29" s="29">
        <f>IF(IF(SUM(Monthly_Bear!$AA$17:$AL$17)=0,0,(SUM(Monthly_Bear!$AA$10:$AL$10)+SUM(Monthly_Bear!$AA$8:$AL$8))/SUM(Monthly_Bear!$AA$17:$AL$17))=0,0,((((Assumptions!$F$31*((Assumptions!$F$35*Assumptions!$F$112)-Assumptions!$F$114))/Assumptions!$F$110)+((Assumptions!$F$32*((Assumptions!$F$36*Assumptions!$F$112)-(12*Assumptions!$F$114)))/(1-Assumptions!$F$43)))+((Assumptions!$F$109*((Assumptions!$F$37*Assumptions!$F$112)-(12*Assumptions!$F$114)))/(1-Assumptions!$F$44)))/IF(SUM(Monthly_Bear!$AA$17:$AL$17)=0,0,(SUM(Monthly_Bear!$AA$10:$AL$10)+SUM(Monthly_Bear!$AA$8:$AL$8))/SUM(Monthly_Bear!$AA$17:$AL$17)))</f>
        <v/>
      </c>
      <c r="D29" s="29">
        <f>IF(IF(SUM(Monthly_Bull!$AA$17:$AL$17)=0,0,(SUM(Monthly_Bull!$AA$10:$AL$10)+SUM(Monthly_Bull!$AA$8:$AL$8))/SUM(Monthly_Bull!$AA$17:$AL$17))=0,0,((((Assumptions!$G$31*((Assumptions!$G$35*Assumptions!$G$112)-Assumptions!$G$114))/Assumptions!$G$110)+((Assumptions!$G$32*((Assumptions!$G$36*Assumptions!$G$112)-(12*Assumptions!$G$114)))/(1-Assumptions!$G$43)))+((Assumptions!$G$109*((Assumptions!$G$37*Assumptions!$G$112)-(12*Assumptions!$G$114)))/(1-Assumptions!$G$44)))/IF(SUM(Monthly_Bull!$AA$17:$AL$17)=0,0,(SUM(Monthly_Bull!$AA$10:$AL$10)+SUM(Monthly_Bull!$AA$8:$AL$8))/SUM(Monthly_Bull!$AA$17:$AL$17)))</f>
        <v/>
      </c>
    </row>
    <row r="30">
      <c r="A30" s="6" t="inlineStr">
        <is>
          <t>Payback months: Apple Search Ads</t>
        </is>
      </c>
      <c r="B30" s="30">
        <f>IF((((((Assumptions!$E$31*Assumptions!$E$35)+((Assumptions!$E$32*Assumptions!$E$36)/12))+((Assumptions!$E$109*Assumptions!$E$37)/12))*Assumptions!$E$112)-Assumptions!$E$114)=0,0,IF(Assumptions!$E$111=0,0,Assumptions!$E$23/Assumptions!$E$111)/(((((Assumptions!$E$31*Assumptions!$E$35)+((Assumptions!$E$32*Assumptions!$E$36)/12))+((Assumptions!$E$109*Assumptions!$E$37)/12))*Assumptions!$E$112)-Assumptions!$E$114))</f>
        <v/>
      </c>
      <c r="C30" s="30">
        <f>IF((((((Assumptions!$F$31*Assumptions!$F$35)+((Assumptions!$F$32*Assumptions!$F$36)/12))+((Assumptions!$F$109*Assumptions!$F$37)/12))*Assumptions!$F$112)-Assumptions!$F$114)=0,0,IF(Assumptions!$F$111=0,0,Assumptions!$F$23/Assumptions!$F$111)/(((((Assumptions!$F$31*Assumptions!$F$35)+((Assumptions!$F$32*Assumptions!$F$36)/12))+((Assumptions!$F$109*Assumptions!$F$37)/12))*Assumptions!$F$112)-Assumptions!$F$114))</f>
        <v/>
      </c>
      <c r="D30" s="30">
        <f>IF((((((Assumptions!$G$31*Assumptions!$G$35)+((Assumptions!$G$32*Assumptions!$G$36)/12))+((Assumptions!$G$109*Assumptions!$G$37)/12))*Assumptions!$G$112)-Assumptions!$G$114)=0,0,IF(Assumptions!$G$111=0,0,Assumptions!$G$23/Assumptions!$G$111)/(((((Assumptions!$G$31*Assumptions!$G$35)+((Assumptions!$G$32*Assumptions!$G$36)/12))+((Assumptions!$G$109*Assumptions!$G$37)/12))*Assumptions!$G$112)-Assumptions!$G$114))</f>
        <v/>
      </c>
    </row>
    <row r="31">
      <c r="A31" s="6" t="inlineStr">
        <is>
          <t>Payback months: creators</t>
        </is>
      </c>
      <c r="B31" s="30">
        <f>IF((((((Assumptions!$E$31*Assumptions!$E$35)+((Assumptions!$E$32*Assumptions!$E$36)/12))+((Assumptions!$E$109*Assumptions!$E$37)/12))*Assumptions!$E$112)-Assumptions!$E$114)=0,0,IF(Assumptions!$E$111=0,0,Assumptions!$E$19/Assumptions!$E$111)/(((((Assumptions!$E$31*Assumptions!$E$35)+((Assumptions!$E$32*Assumptions!$E$36)/12))+((Assumptions!$E$109*Assumptions!$E$37)/12))*Assumptions!$E$112)-Assumptions!$E$114))</f>
        <v/>
      </c>
      <c r="C31" s="30">
        <f>IF((((((Assumptions!$F$31*Assumptions!$F$35)+((Assumptions!$F$32*Assumptions!$F$36)/12))+((Assumptions!$F$109*Assumptions!$F$37)/12))*Assumptions!$F$112)-Assumptions!$F$114)=0,0,IF(Assumptions!$F$111=0,0,Assumptions!$F$19/Assumptions!$F$111)/(((((Assumptions!$F$31*Assumptions!$F$35)+((Assumptions!$F$32*Assumptions!$F$36)/12))+((Assumptions!$F$109*Assumptions!$F$37)/12))*Assumptions!$F$112)-Assumptions!$F$114))</f>
        <v/>
      </c>
      <c r="D31" s="30">
        <f>IF((((((Assumptions!$G$31*Assumptions!$G$35)+((Assumptions!$G$32*Assumptions!$G$36)/12))+((Assumptions!$G$109*Assumptions!$G$37)/12))*Assumptions!$G$112)-Assumptions!$G$114)=0,0,IF(Assumptions!$G$111=0,0,Assumptions!$G$19/Assumptions!$G$111)/(((((Assumptions!$G$31*Assumptions!$G$35)+((Assumptions!$G$32*Assumptions!$G$36)/12))+((Assumptions!$G$109*Assumptions!$G$37)/12))*Assumptions!$G$112)-Assumptions!$G$114))</f>
        <v/>
      </c>
    </row>
    <row r="32">
      <c r="A32" s="6" t="inlineStr">
        <is>
          <t>Break-even CPI (LTV x install-to-paid)</t>
        </is>
      </c>
      <c r="B32" s="28">
        <f>(((((Assumptions!$E$31*((Assumptions!$E$35*Assumptions!$E$112)-Assumptions!$E$114))/Assumptions!$E$110)+((Assumptions!$E$32*((Assumptions!$E$36*Assumptions!$E$112)-(12*Assumptions!$E$114)))/(1-Assumptions!$E$43)))+((Assumptions!$E$109*((Assumptions!$E$37*Assumptions!$E$112)-(12*Assumptions!$E$114)))/(1-Assumptions!$E$44)))*Assumptions!$E$111)</f>
        <v/>
      </c>
      <c r="C32" s="28">
        <f>(((((Assumptions!$F$31*((Assumptions!$F$35*Assumptions!$F$112)-Assumptions!$F$114))/Assumptions!$F$110)+((Assumptions!$F$32*((Assumptions!$F$36*Assumptions!$F$112)-(12*Assumptions!$F$114)))/(1-Assumptions!$F$43)))+((Assumptions!$F$109*((Assumptions!$F$37*Assumptions!$F$112)-(12*Assumptions!$F$114)))/(1-Assumptions!$F$44)))*Assumptions!$F$111)</f>
        <v/>
      </c>
      <c r="D32" s="28">
        <f>(((((Assumptions!$G$31*((Assumptions!$G$35*Assumptions!$G$112)-Assumptions!$G$114))/Assumptions!$G$110)+((Assumptions!$G$32*((Assumptions!$G$36*Assumptions!$G$112)-(12*Assumptions!$G$114)))/(1-Assumptions!$G$43)))+((Assumptions!$G$109*((Assumptions!$G$37*Assumptions!$G$112)-(12*Assumptions!$G$114)))/(1-Assumptions!$G$44)))*Assumptions!$G$111)</f>
        <v/>
      </c>
    </row>
    <row r="33">
      <c r="A33" s="4" t="inlineStr">
        <is>
          <t>PROFITABILITY AND CASH</t>
        </is>
      </c>
      <c r="B33" s="5" t="n"/>
      <c r="C33" s="5" t="n"/>
      <c r="D33" s="5" t="n"/>
    </row>
    <row r="34">
      <c r="A34" s="6" t="inlineStr">
        <is>
          <t>First month with EBIT &gt;= 0</t>
        </is>
      </c>
      <c r="B34" s="31">
        <f>IFERROR(INDEX(Monthly_Base!$C$2:$AL$2,MATCH(1,Monthly_Base!$C$105:$AL$105,0)),"Never")</f>
        <v/>
      </c>
      <c r="C34" s="31">
        <f>IFERROR(INDEX(Monthly_Bear!$C$2:$AL$2,MATCH(1,Monthly_Bear!$C$105:$AL$105,0)),"Never")</f>
        <v/>
      </c>
      <c r="D34" s="31">
        <f>IFERROR(INDEX(Monthly_Bull!$C$2:$AL$2,MATCH(1,Monthly_Bull!$C$105:$AL$105,0)),"Never")</f>
        <v/>
      </c>
    </row>
    <row r="35">
      <c r="A35" s="6" t="inlineStr">
        <is>
          <t>Break-even month (EBIT &gt;= 0 from then on)</t>
        </is>
      </c>
      <c r="B35" s="31">
        <f>IFERROR(INDEX(Monthly_Base!$C$2:$AL$2,MATCH(1,Monthly_Base!$C$106:$AL$106,0)),"Never")</f>
        <v/>
      </c>
      <c r="C35" s="31">
        <f>IFERROR(INDEX(Monthly_Bear!$C$2:$AL$2,MATCH(1,Monthly_Bear!$C$106:$AL$106,0)),"Never")</f>
        <v/>
      </c>
      <c r="D35" s="31">
        <f>IFERROR(INDEX(Monthly_Bull!$C$2:$AL$2,MATCH(1,Monthly_Bull!$C$106:$AL$106,0)),"Never")</f>
        <v/>
      </c>
    </row>
    <row r="36">
      <c r="A36" s="6" t="inlineStr">
        <is>
          <t>Month cumulative cash turns positive for good</t>
        </is>
      </c>
      <c r="B36" s="31">
        <f>IFERROR(INDEX(Monthly_Base!$C$2:$AL$2,MATCH(1,Monthly_Base!$C$107:$AL$107,0)),"Never")</f>
        <v/>
      </c>
      <c r="C36" s="31">
        <f>IFERROR(INDEX(Monthly_Bear!$C$2:$AL$2,MATCH(1,Monthly_Bear!$C$107:$AL$107,0)),"Never")</f>
        <v/>
      </c>
      <c r="D36" s="31">
        <f>IFERROR(INDEX(Monthly_Bull!$C$2:$AL$2,MATCH(1,Monthly_Bull!$C$107:$AL$107,0)),"Never")</f>
        <v/>
      </c>
    </row>
    <row r="37">
      <c r="A37" s="6" t="inlineStr">
        <is>
          <t>Cumulative operating income, 36 months</t>
        </is>
      </c>
      <c r="B37" s="27">
        <f>Monthly_Base!AL99</f>
        <v/>
      </c>
      <c r="C37" s="27">
        <f>Monthly_Bear!AL99</f>
        <v/>
      </c>
      <c r="D37" s="27">
        <f>Monthly_Bull!AL99</f>
        <v/>
      </c>
    </row>
    <row r="38">
      <c r="A38" s="6" t="inlineStr">
        <is>
          <t>Max cash need (deepest cumulative cash)</t>
        </is>
      </c>
      <c r="B38" s="27">
        <f>IF((MIN(Monthly_Base!$C$98:$AL$98)&lt;0),(-MIN(Monthly_Base!$C$98:$AL$98)),0)</f>
        <v/>
      </c>
      <c r="C38" s="27">
        <f>IF((MIN(Monthly_Bear!$C$98:$AL$98)&lt;0),(-MIN(Monthly_Bear!$C$98:$AL$98)),0)</f>
        <v/>
      </c>
      <c r="D38" s="27">
        <f>IF((MIN(Monthly_Bull!$C$98:$AL$98)&lt;0),(-MIN(Monthly_Bull!$C$98:$AL$98)),0)</f>
        <v/>
      </c>
    </row>
    <row r="39">
      <c r="A39" s="6" t="inlineStr">
        <is>
          <t>Month of cash trough</t>
        </is>
      </c>
      <c r="B39" s="31">
        <f>INDEX(Monthly_Base!$C$2:$AL$2,MATCH(MIN(Monthly_Base!$C$98:$AL$98),Monthly_Base!$C$98:$AL$98,0))</f>
        <v/>
      </c>
      <c r="C39" s="31">
        <f>INDEX(Monthly_Bear!$C$2:$AL$2,MATCH(MIN(Monthly_Bear!$C$98:$AL$98),Monthly_Bear!$C$98:$AL$98,0))</f>
        <v/>
      </c>
      <c r="D39" s="31">
        <f>INDEX(Monthly_Bull!$C$2:$AL$2,MATCH(MIN(Monthly_Bull!$C$98:$AL$98),Monthly_Bull!$C$98:$AL$98,0))</f>
        <v/>
      </c>
    </row>
    <row r="40">
      <c r="A40" s="6" t="inlineStr">
        <is>
          <t>Cumulative cash, month 36</t>
        </is>
      </c>
      <c r="B40" s="27">
        <f>Monthly_Base!AL98</f>
        <v/>
      </c>
      <c r="C40" s="27">
        <f>Monthly_Bear!AL98</f>
        <v/>
      </c>
      <c r="D40" s="27">
        <f>Monthly_Bull!AL98</f>
        <v/>
      </c>
    </row>
    <row r="41">
      <c r="A41" s="4" t="inlineStr">
        <is>
          <t>ADS VS NO ADS</t>
        </is>
      </c>
      <c r="B41" s="5" t="n"/>
      <c r="C41" s="5" t="n"/>
      <c r="D41" s="5" t="n"/>
    </row>
    <row r="42">
      <c r="A42" s="6" t="inlineStr">
        <is>
          <t>Ad revenue, FY1</t>
        </is>
      </c>
      <c r="B42" s="27">
        <f>SUM(Monthly_Base!$C$64:$N$64)</f>
        <v/>
      </c>
      <c r="C42" s="27">
        <f>SUM(Monthly_Bear!$C$64:$N$64)</f>
        <v/>
      </c>
      <c r="D42" s="27">
        <f>SUM(Monthly_Bull!$C$64:$N$64)</f>
        <v/>
      </c>
    </row>
    <row r="43">
      <c r="A43" s="6" t="inlineStr">
        <is>
          <t>Ad revenue, FY2</t>
        </is>
      </c>
      <c r="B43" s="27">
        <f>SUM(Monthly_Base!$O$64:$Z$64)</f>
        <v/>
      </c>
      <c r="C43" s="27">
        <f>SUM(Monthly_Bear!$O$64:$Z$64)</f>
        <v/>
      </c>
      <c r="D43" s="27">
        <f>SUM(Monthly_Bull!$O$64:$Z$64)</f>
        <v/>
      </c>
    </row>
    <row r="44">
      <c r="A44" s="6" t="inlineStr">
        <is>
          <t>Ad revenue, FY3</t>
        </is>
      </c>
      <c r="B44" s="27">
        <f>SUM(Monthly_Base!$AA$64:$AL$64)</f>
        <v/>
      </c>
      <c r="C44" s="27">
        <f>SUM(Monthly_Bear!$AA$64:$AL$64)</f>
        <v/>
      </c>
      <c r="D44" s="27">
        <f>SUM(Monthly_Bull!$AA$64:$AL$64)</f>
        <v/>
      </c>
    </row>
    <row r="45">
      <c r="A45" s="6" t="inlineStr">
        <is>
          <t>Ads as share of revenue, FY3</t>
        </is>
      </c>
      <c r="B45" s="26">
        <f>IF(SUM(Monthly_Base!$AA$67:$AL$67)=0,0,SUM(Monthly_Base!$AA$64:$AL$64)/SUM(Monthly_Base!$AA$67:$AL$67))</f>
        <v/>
      </c>
      <c r="C45" s="26">
        <f>IF(SUM(Monthly_Bear!$AA$67:$AL$67)=0,0,SUM(Monthly_Bear!$AA$64:$AL$64)/SUM(Monthly_Bear!$AA$67:$AL$67))</f>
        <v/>
      </c>
      <c r="D45" s="26">
        <f>IF(SUM(Monthly_Bull!$AA$67:$AL$67)=0,0,SUM(Monthly_Bull!$AA$64:$AL$64)/SUM(Monthly_Bull!$AA$67:$AL$67))</f>
        <v/>
      </c>
    </row>
    <row r="46">
      <c r="A46" s="6" t="inlineStr">
        <is>
          <t>Ads as share of revenue, 36 months</t>
        </is>
      </c>
      <c r="B46" s="26">
        <f>IF(SUM(Monthly_Base!$C$67:$AL$67)=0,0,SUM(Monthly_Base!$C$64:$AL$64)/SUM(Monthly_Base!$C$67:$AL$67))</f>
        <v/>
      </c>
      <c r="C46" s="26">
        <f>IF(SUM(Monthly_Bear!$C$67:$AL$67)=0,0,SUM(Monthly_Bear!$C$64:$AL$64)/SUM(Monthly_Bear!$C$67:$AL$67))</f>
        <v/>
      </c>
      <c r="D46" s="26">
        <f>IF(SUM(Monthly_Bull!$C$67:$AL$67)=0,0,SUM(Monthly_Bull!$C$64:$AL$64)/SUM(Monthly_Bull!$C$67:$AL$67))</f>
        <v/>
      </c>
    </row>
    <row r="47">
      <c r="A47" s="6" t="inlineStr">
        <is>
          <t>EBIT FY3, with ads</t>
        </is>
      </c>
      <c r="B47" s="27">
        <f>SUM(Monthly_Base!$AA$91:$AL$91)</f>
        <v/>
      </c>
      <c r="C47" s="27">
        <f>SUM(Monthly_Bear!$AA$91:$AL$91)</f>
        <v/>
      </c>
      <c r="D47" s="27">
        <f>SUM(Monthly_Bull!$AA$91:$AL$91)</f>
        <v/>
      </c>
    </row>
    <row r="48">
      <c r="A48" s="6" t="inlineStr">
        <is>
          <t>EBIT FY3, ads switched off</t>
        </is>
      </c>
      <c r="B48" s="27">
        <f>(SUM(Monthly_Base!$AA$91:$AL$91)-SUM(Monthly_Base!$AA$64:$AL$64))</f>
        <v/>
      </c>
      <c r="C48" s="27">
        <f>(SUM(Monthly_Bear!$AA$91:$AL$91)-SUM(Monthly_Bear!$AA$64:$AL$64))</f>
        <v/>
      </c>
      <c r="D48" s="27">
        <f>(SUM(Monthly_Bull!$AA$91:$AL$91)-SUM(Monthly_Bull!$AA$64:$AL$64))</f>
        <v/>
      </c>
    </row>
    <row r="49">
      <c r="A49" s="6" t="inlineStr">
        <is>
          <t>Affiliate revenue, FY3</t>
        </is>
      </c>
      <c r="B49" s="27">
        <f>SUM(Monthly_Base!$AA$65:$AL$65)</f>
        <v/>
      </c>
      <c r="C49" s="27">
        <f>SUM(Monthly_Bear!$AA$65:$AL$65)</f>
        <v/>
      </c>
      <c r="D49" s="27">
        <f>SUM(Monthly_Bull!$AA$65:$AL$65)</f>
        <v/>
      </c>
    </row>
    <row r="51">
      <c r="A51" s="2" t="inlineStr">
        <is>
          <t>Notes: LTV uses the steady-state plan mix and variable cost; it ignores Recruiting Pass, ads and affiliate revenue from the payer. CAC by channel assumes paid installs convert like organic ones (likely optimistic).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Sensitivities: VALUES computed by model.py from assumptions.yaml (not live). Re-run the script to refresh.</t>
        </is>
      </c>
    </row>
    <row r="3">
      <c r="A3" s="24" t="inlineStr">
        <is>
          <t>1. Base case: operating income (EBIT) in month 36, by install-to-paid conversion x annual price (monthly price scaled at 0.162x annual)</t>
        </is>
      </c>
    </row>
    <row r="4">
      <c r="A4" s="3" t="inlineStr">
        <is>
          <t>Install-to-paid \ Annual price</t>
        </is>
      </c>
      <c r="B4" s="32" t="n">
        <v>59.99</v>
      </c>
      <c r="C4" s="32" t="n">
        <v>79.98999999999999</v>
      </c>
      <c r="D4" s="32" t="n">
        <v>99.98999999999999</v>
      </c>
      <c r="E4" s="32" t="n">
        <v>119.99</v>
      </c>
    </row>
    <row r="5">
      <c r="A5" s="33" t="n">
        <v>0.01</v>
      </c>
      <c r="B5" s="14" t="n">
        <v>-3745.37</v>
      </c>
      <c r="C5" s="14" t="n">
        <v>-2286.91</v>
      </c>
      <c r="D5" s="14" t="n">
        <v>-828.4400000000001</v>
      </c>
      <c r="E5" s="14" t="n">
        <v>630.03</v>
      </c>
    </row>
    <row r="6">
      <c r="A6" s="33" t="n">
        <v>0.015</v>
      </c>
      <c r="B6" s="14" t="n">
        <v>-1901.63</v>
      </c>
      <c r="C6" s="14" t="n">
        <v>287.12</v>
      </c>
      <c r="D6" s="14" t="n">
        <v>2475.86</v>
      </c>
      <c r="E6" s="14" t="n">
        <v>4664.61</v>
      </c>
    </row>
    <row r="7">
      <c r="A7" s="33" t="n">
        <v>0.02</v>
      </c>
      <c r="B7" s="14" t="n">
        <v>-56.12</v>
      </c>
      <c r="C7" s="14" t="n">
        <v>2863.6</v>
      </c>
      <c r="D7" s="14" t="n">
        <v>5783.32</v>
      </c>
      <c r="E7" s="14" t="n">
        <v>8703.040000000001</v>
      </c>
    </row>
    <row r="8">
      <c r="A8" s="33" t="n">
        <v>0.025</v>
      </c>
      <c r="B8" s="14" t="n">
        <v>1791.15</v>
      </c>
      <c r="C8" s="14" t="n">
        <v>5442.54</v>
      </c>
      <c r="D8" s="14" t="n">
        <v>9093.940000000001</v>
      </c>
      <c r="E8" s="14" t="n">
        <v>12745.33</v>
      </c>
    </row>
    <row r="9">
      <c r="A9" s="33" t="n">
        <v>0.03</v>
      </c>
      <c r="B9" s="14" t="n">
        <v>3640.19</v>
      </c>
      <c r="C9" s="14" t="n">
        <v>8023.95</v>
      </c>
      <c r="D9" s="14" t="n">
        <v>12407.72</v>
      </c>
      <c r="E9" s="14" t="n">
        <v>16791.49</v>
      </c>
    </row>
    <row r="10">
      <c r="A10" s="33" t="n">
        <v>0.04</v>
      </c>
      <c r="B10" s="14" t="n">
        <v>7343.57</v>
      </c>
      <c r="C10" s="14" t="n">
        <v>13194.19</v>
      </c>
      <c r="D10" s="14" t="n">
        <v>19044.8</v>
      </c>
      <c r="E10" s="14" t="n">
        <v>24895.41</v>
      </c>
    </row>
    <row r="11">
      <c r="A11" s="33" t="n">
        <v>0.05</v>
      </c>
      <c r="B11" s="14" t="n">
        <v>11054.05</v>
      </c>
      <c r="C11" s="14" t="n">
        <v>18374.32</v>
      </c>
      <c r="D11" s="14" t="n">
        <v>25694.59</v>
      </c>
      <c r="E11" s="14" t="n">
        <v>33014.86</v>
      </c>
    </row>
    <row r="13">
      <c r="A13" s="24" t="inlineStr">
        <is>
          <t>2. Ads eCPM multiplier (all three placements scaled together)</t>
        </is>
      </c>
    </row>
    <row r="14">
      <c r="A14" s="3" t="inlineStr">
        <is>
          <t>Scenario</t>
        </is>
      </c>
      <c r="B14" s="3" t="inlineStr">
        <is>
          <t>eCPM x</t>
        </is>
      </c>
      <c r="C14" s="3" t="inlineStr">
        <is>
          <t>Ad revenue FY3</t>
        </is>
      </c>
      <c r="D14" s="3" t="inlineStr">
        <is>
          <t>Ads share of FY3 revenue</t>
        </is>
      </c>
      <c r="E14" s="3" t="inlineStr">
        <is>
          <t>EBIT FY3</t>
        </is>
      </c>
      <c r="F14" s="3" t="inlineStr">
        <is>
          <t>EBIT month 36</t>
        </is>
      </c>
    </row>
    <row r="15">
      <c r="A15" s="6" t="inlineStr">
        <is>
          <t>base</t>
        </is>
      </c>
      <c r="B15" s="34" t="n">
        <v>0.5</v>
      </c>
      <c r="C15" s="14" t="n">
        <v>2372.5405</v>
      </c>
      <c r="D15" s="16" t="n">
        <v>0.0158</v>
      </c>
      <c r="E15" s="14" t="n">
        <v>22212.5628</v>
      </c>
      <c r="F15" s="14" t="n">
        <v>5009.5956</v>
      </c>
    </row>
    <row r="16">
      <c r="A16" s="6" t="inlineStr">
        <is>
          <t>base</t>
        </is>
      </c>
      <c r="B16" s="34" t="n">
        <v>0.75</v>
      </c>
      <c r="C16" s="14" t="n">
        <v>3558.8107</v>
      </c>
      <c r="D16" s="16" t="n">
        <v>0.0235</v>
      </c>
      <c r="E16" s="14" t="n">
        <v>23398.833</v>
      </c>
      <c r="F16" s="14" t="n">
        <v>5148.6667</v>
      </c>
    </row>
    <row r="17">
      <c r="A17" s="6" t="inlineStr">
        <is>
          <t>base</t>
        </is>
      </c>
      <c r="B17" s="34" t="n">
        <v>1</v>
      </c>
      <c r="C17" s="14" t="n">
        <v>4745.0809</v>
      </c>
      <c r="D17" s="16" t="n">
        <v>0.031</v>
      </c>
      <c r="E17" s="14" t="n">
        <v>24585.1033</v>
      </c>
      <c r="F17" s="14" t="n">
        <v>5287.7377</v>
      </c>
    </row>
    <row r="18">
      <c r="A18" s="6" t="inlineStr">
        <is>
          <t>base</t>
        </is>
      </c>
      <c r="B18" s="34" t="n">
        <v>1.5</v>
      </c>
      <c r="C18" s="14" t="n">
        <v>7117.6214</v>
      </c>
      <c r="D18" s="16" t="n">
        <v>0.0458</v>
      </c>
      <c r="E18" s="14" t="n">
        <v>26957.6438</v>
      </c>
      <c r="F18" s="14" t="n">
        <v>5565.8798</v>
      </c>
    </row>
    <row r="19">
      <c r="A19" s="6" t="inlineStr">
        <is>
          <t>base</t>
        </is>
      </c>
      <c r="B19" s="34" t="n">
        <v>2</v>
      </c>
      <c r="C19" s="14" t="n">
        <v>9490.161899999999</v>
      </c>
      <c r="D19" s="16" t="n">
        <v>0.0602</v>
      </c>
      <c r="E19" s="14" t="n">
        <v>29330.1842</v>
      </c>
      <c r="F19" s="14" t="n">
        <v>5844.0219</v>
      </c>
    </row>
    <row r="20">
      <c r="A20" s="6" t="inlineStr">
        <is>
          <t>base</t>
        </is>
      </c>
      <c r="B20" s="34" t="n">
        <v>3</v>
      </c>
      <c r="C20" s="14" t="n">
        <v>14235.2428</v>
      </c>
      <c r="D20" s="16" t="n">
        <v>0.0877</v>
      </c>
      <c r="E20" s="14" t="n">
        <v>34075.2652</v>
      </c>
      <c r="F20" s="14" t="n">
        <v>6400.3061</v>
      </c>
    </row>
    <row r="21">
      <c r="A21" s="6" t="inlineStr">
        <is>
          <t>bear</t>
        </is>
      </c>
      <c r="B21" s="34" t="n">
        <v>0.5</v>
      </c>
      <c r="C21" s="14" t="n">
        <v>102.2239</v>
      </c>
      <c r="D21" s="16" t="n">
        <v>0.0066</v>
      </c>
      <c r="E21" s="14" t="n">
        <v>-40922.4491</v>
      </c>
      <c r="F21" s="14" t="n">
        <v>-3272.8914</v>
      </c>
    </row>
    <row r="22">
      <c r="A22" s="6" t="inlineStr">
        <is>
          <t>bear</t>
        </is>
      </c>
      <c r="B22" s="34" t="n">
        <v>0.75</v>
      </c>
      <c r="C22" s="14" t="n">
        <v>153.3359</v>
      </c>
      <c r="D22" s="16" t="n">
        <v>0.0098</v>
      </c>
      <c r="E22" s="14" t="n">
        <v>-40871.3371</v>
      </c>
      <c r="F22" s="14" t="n">
        <v>-3267.6849</v>
      </c>
    </row>
    <row r="23">
      <c r="A23" s="6" t="inlineStr">
        <is>
          <t>bear</t>
        </is>
      </c>
      <c r="B23" s="34" t="n">
        <v>1</v>
      </c>
      <c r="C23" s="14" t="n">
        <v>204.4478</v>
      </c>
      <c r="D23" s="16" t="n">
        <v>0.013</v>
      </c>
      <c r="E23" s="14" t="n">
        <v>-40820.2252</v>
      </c>
      <c r="F23" s="14" t="n">
        <v>-3262.4783</v>
      </c>
    </row>
    <row r="24">
      <c r="A24" s="6" t="inlineStr">
        <is>
          <t>bear</t>
        </is>
      </c>
      <c r="B24" s="34" t="n">
        <v>1.5</v>
      </c>
      <c r="C24" s="14" t="n">
        <v>306.6718</v>
      </c>
      <c r="D24" s="16" t="n">
        <v>0.0194</v>
      </c>
      <c r="E24" s="14" t="n">
        <v>-40718.0012</v>
      </c>
      <c r="F24" s="14" t="n">
        <v>-3252.0652</v>
      </c>
    </row>
    <row r="25">
      <c r="A25" s="6" t="inlineStr">
        <is>
          <t>bear</t>
        </is>
      </c>
      <c r="B25" s="34" t="n">
        <v>2</v>
      </c>
      <c r="C25" s="14" t="n">
        <v>408.8957</v>
      </c>
      <c r="D25" s="16" t="n">
        <v>0.0257</v>
      </c>
      <c r="E25" s="14" t="n">
        <v>-40615.7773</v>
      </c>
      <c r="F25" s="14" t="n">
        <v>-3241.6521</v>
      </c>
    </row>
    <row r="26">
      <c r="A26" s="6" t="inlineStr">
        <is>
          <t>bear</t>
        </is>
      </c>
      <c r="B26" s="34" t="n">
        <v>3</v>
      </c>
      <c r="C26" s="14" t="n">
        <v>613.3434999999999</v>
      </c>
      <c r="D26" s="16" t="n">
        <v>0.0381</v>
      </c>
      <c r="E26" s="14" t="n">
        <v>-40411.3295</v>
      </c>
      <c r="F26" s="14" t="n">
        <v>-3220.8259</v>
      </c>
    </row>
    <row r="27">
      <c r="A27" s="6" t="inlineStr">
        <is>
          <t>bull</t>
        </is>
      </c>
      <c r="B27" s="34" t="n">
        <v>0.5</v>
      </c>
      <c r="C27" s="14" t="n">
        <v>38223.1931</v>
      </c>
      <c r="D27" s="16" t="n">
        <v>0.0318</v>
      </c>
      <c r="E27" s="14" t="n">
        <v>749724.8072</v>
      </c>
      <c r="F27" s="14" t="n">
        <v>100515.3192</v>
      </c>
    </row>
    <row r="28">
      <c r="A28" s="6" t="inlineStr">
        <is>
          <t>bull</t>
        </is>
      </c>
      <c r="B28" s="34" t="n">
        <v>0.75</v>
      </c>
      <c r="C28" s="14" t="n">
        <v>57334.7896</v>
      </c>
      <c r="D28" s="16" t="n">
        <v>0.047</v>
      </c>
      <c r="E28" s="14" t="n">
        <v>768836.4038</v>
      </c>
      <c r="F28" s="14" t="n">
        <v>102953.0276</v>
      </c>
    </row>
    <row r="29">
      <c r="A29" s="6" t="inlineStr">
        <is>
          <t>bull</t>
        </is>
      </c>
      <c r="B29" s="34" t="n">
        <v>1</v>
      </c>
      <c r="C29" s="14" t="n">
        <v>76446.3861</v>
      </c>
      <c r="D29" s="16" t="n">
        <v>0.0616</v>
      </c>
      <c r="E29" s="14" t="n">
        <v>787948.0003</v>
      </c>
      <c r="F29" s="14" t="n">
        <v>105390.7361</v>
      </c>
    </row>
    <row r="30">
      <c r="A30" s="6" t="inlineStr">
        <is>
          <t>bull</t>
        </is>
      </c>
      <c r="B30" s="34" t="n">
        <v>1.5</v>
      </c>
      <c r="C30" s="14" t="n">
        <v>114669.5792</v>
      </c>
      <c r="D30" s="16" t="n">
        <v>0.0897</v>
      </c>
      <c r="E30" s="14" t="n">
        <v>826171.1933</v>
      </c>
      <c r="F30" s="14" t="n">
        <v>110266.153</v>
      </c>
    </row>
    <row r="31">
      <c r="A31" s="6" t="inlineStr">
        <is>
          <t>bull</t>
        </is>
      </c>
      <c r="B31" s="34" t="n">
        <v>2</v>
      </c>
      <c r="C31" s="14" t="n">
        <v>152892.7722</v>
      </c>
      <c r="D31" s="16" t="n">
        <v>0.1161</v>
      </c>
      <c r="E31" s="14" t="n">
        <v>864394.3864</v>
      </c>
      <c r="F31" s="14" t="n">
        <v>115141.57</v>
      </c>
    </row>
    <row r="32">
      <c r="A32" s="6" t="inlineStr">
        <is>
          <t>bull</t>
        </is>
      </c>
      <c r="B32" s="34" t="n">
        <v>3</v>
      </c>
      <c r="C32" s="14" t="n">
        <v>229339.1584</v>
      </c>
      <c r="D32" s="16" t="n">
        <v>0.1646</v>
      </c>
      <c r="E32" s="14" t="n">
        <v>940840.7725</v>
      </c>
      <c r="F32" s="14" t="n">
        <v>124892.4038</v>
      </c>
    </row>
    <row r="34">
      <c r="A34" s="24" t="inlineStr">
        <is>
          <t>3. Ads on vs off</t>
        </is>
      </c>
    </row>
    <row r="35">
      <c r="A35" s="3" t="inlineStr">
        <is>
          <t>Scenario</t>
        </is>
      </c>
      <c r="B35" s="3" t="inlineStr">
        <is>
          <t>Break-even month (ads on)</t>
        </is>
      </c>
      <c r="C35" s="3" t="inlineStr">
        <is>
          <t>Break-even month (ads off)</t>
        </is>
      </c>
      <c r="D35" s="3" t="inlineStr">
        <is>
          <t>Max cash need (ads on)</t>
        </is>
      </c>
      <c r="E35" s="3" t="inlineStr">
        <is>
          <t>Max cash need (ads off)</t>
        </is>
      </c>
    </row>
    <row r="36">
      <c r="A36" s="6" t="inlineStr">
        <is>
          <t>base</t>
        </is>
      </c>
      <c r="B36" s="6" t="n">
        <v>26</v>
      </c>
      <c r="C36" s="6" t="n">
        <v>27</v>
      </c>
      <c r="D36" s="14" t="n">
        <v>6550.03</v>
      </c>
      <c r="E36" s="14" t="n">
        <v>7572.59</v>
      </c>
    </row>
    <row r="37">
      <c r="A37" s="6" t="inlineStr">
        <is>
          <t>bear</t>
        </is>
      </c>
      <c r="B37" s="6" t="inlineStr">
        <is>
          <t>Never</t>
        </is>
      </c>
      <c r="C37" s="6" t="inlineStr">
        <is>
          <t>Never</t>
        </is>
      </c>
      <c r="D37" s="14" t="n">
        <v>91904.64999999999</v>
      </c>
      <c r="E37" s="14" t="n">
        <v>92297.84</v>
      </c>
    </row>
    <row r="38">
      <c r="A38" s="6" t="inlineStr">
        <is>
          <t>bull</t>
        </is>
      </c>
      <c r="B38" s="6" t="n">
        <v>3</v>
      </c>
      <c r="C38" s="6" t="n">
        <v>3</v>
      </c>
      <c r="D38" s="14" t="n">
        <v>803.72</v>
      </c>
      <c r="E38" s="14" t="n">
        <v>803.72</v>
      </c>
    </row>
    <row r="40">
      <c r="A40" s="24" t="inlineStr">
        <is>
          <t>4. Tornado: base FY3 EBIT change when each driver moves -20% / +20% (percentages capped at 100%)</t>
        </is>
      </c>
    </row>
    <row r="41">
      <c r="A41" s="3" t="inlineStr">
        <is>
          <t>Driver</t>
        </is>
      </c>
      <c r="B41" s="3" t="inlineStr">
        <is>
          <t>Key</t>
        </is>
      </c>
      <c r="C41" s="3" t="inlineStr">
        <is>
          <t>-20%</t>
        </is>
      </c>
      <c r="D41" s="3" t="inlineStr">
        <is>
          <t>+20%</t>
        </is>
      </c>
      <c r="E41" s="3" t="inlineStr">
        <is>
          <t>Swing</t>
        </is>
      </c>
    </row>
    <row r="42">
      <c r="A42" s="6" t="inlineStr">
        <is>
          <t>Organic installs growth, month over month</t>
        </is>
      </c>
      <c r="B42" s="6" t="inlineStr">
        <is>
          <t>organic_growth</t>
        </is>
      </c>
      <c r="C42" s="14" t="n">
        <v>-29363.85</v>
      </c>
      <c r="D42" s="14" t="n">
        <v>41016.15</v>
      </c>
      <c r="E42" s="14" t="n">
        <v>70379.99000000001</v>
      </c>
    </row>
    <row r="43">
      <c r="A43" s="6" t="inlineStr">
        <is>
          <t>Installs that activate (finish first lesson)</t>
        </is>
      </c>
      <c r="B43" s="6" t="inlineStr">
        <is>
          <t>activation_rate</t>
        </is>
      </c>
      <c r="C43" s="14" t="n">
        <v>-23828.58</v>
      </c>
      <c r="D43" s="14" t="n">
        <v>23850.48</v>
      </c>
      <c r="E43" s="14" t="n">
        <v>47679.07</v>
      </c>
    </row>
    <row r="44">
      <c r="A44" s="6" t="inlineStr">
        <is>
          <t>Trial-to-paid</t>
        </is>
      </c>
      <c r="B44" s="6" t="inlineStr">
        <is>
          <t>trial_to_paid</t>
        </is>
      </c>
      <c r="C44" s="14" t="n">
        <v>-21663.46</v>
      </c>
      <c r="D44" s="14" t="n">
        <v>21683.27</v>
      </c>
      <c r="E44" s="14" t="n">
        <v>43346.73</v>
      </c>
    </row>
    <row r="45">
      <c r="A45" s="6" t="inlineStr">
        <is>
          <t>Trial / paywall starts as share of activated users</t>
        </is>
      </c>
      <c r="B45" s="6" t="inlineStr">
        <is>
          <t>trial_start_rate</t>
        </is>
      </c>
      <c r="C45" s="14" t="n">
        <v>-21663.46</v>
      </c>
      <c r="D45" s="14" t="n">
        <v>21683.27</v>
      </c>
      <c r="E45" s="14" t="n">
        <v>43346.73</v>
      </c>
    </row>
    <row r="46">
      <c r="A46" s="6" t="inlineStr">
        <is>
          <t>Organic installs (SEO / ASO / social), month 1</t>
        </is>
      </c>
      <c r="B46" s="6" t="inlineStr">
        <is>
          <t>organic_installs_m1</t>
        </is>
      </c>
      <c r="C46" s="14" t="n">
        <v>-21344.5</v>
      </c>
      <c r="D46" s="14" t="n">
        <v>21344.5</v>
      </c>
      <c r="E46" s="14" t="n">
        <v>42689.01</v>
      </c>
    </row>
    <row r="47">
      <c r="A47" s="6" t="inlineStr">
        <is>
          <t>Pro annual price</t>
        </is>
      </c>
      <c r="B47" s="6" t="inlineStr">
        <is>
          <t>price_annual</t>
        </is>
      </c>
      <c r="C47" s="14" t="n">
        <v>-14619.76</v>
      </c>
      <c r="D47" s="14" t="n">
        <v>14619.76</v>
      </c>
      <c r="E47" s="14" t="n">
        <v>29239.52</v>
      </c>
    </row>
    <row r="48">
      <c r="A48" s="6" t="inlineStr">
        <is>
          <t>Pro monthly price</t>
        </is>
      </c>
      <c r="B48" s="6" t="inlineStr">
        <is>
          <t>price_monthly</t>
        </is>
      </c>
      <c r="C48" s="14" t="n">
        <v>-9904.74</v>
      </c>
      <c r="D48" s="14" t="n">
        <v>9904.74</v>
      </c>
      <c r="E48" s="14" t="n">
        <v>19809.48</v>
      </c>
    </row>
    <row r="49">
      <c r="A49" s="6" t="inlineStr">
        <is>
          <t>New payers choosing annual plan (student = remainder)</t>
        </is>
      </c>
      <c r="B49" s="6" t="inlineStr">
        <is>
          <t>mix_annual</t>
        </is>
      </c>
      <c r="C49" s="14" t="n">
        <v>-7487.5</v>
      </c>
      <c r="D49" s="14" t="n">
        <v>7487.66</v>
      </c>
      <c r="E49" s="14" t="n">
        <v>14975.16</v>
      </c>
    </row>
    <row r="50">
      <c r="A50" s="6" t="inlineStr">
        <is>
          <t>Contractors per month, FY3</t>
        </is>
      </c>
      <c r="B50" s="6" t="inlineStr">
        <is>
          <t>contractors_fy3</t>
        </is>
      </c>
      <c r="C50" s="14" t="n">
        <v>7200</v>
      </c>
      <c r="D50" s="14" t="n">
        <v>-7200</v>
      </c>
      <c r="E50" s="14" t="n">
        <v>14400</v>
      </c>
    </row>
    <row r="51">
      <c r="A51" s="6" t="inlineStr">
        <is>
          <t>New payers choosing monthly plan</t>
        </is>
      </c>
      <c r="B51" s="6" t="inlineStr">
        <is>
          <t>mix_monthly</t>
        </is>
      </c>
      <c r="C51" s="14" t="n">
        <v>-5989.84</v>
      </c>
      <c r="D51" s="14" t="n">
        <v>5988.42</v>
      </c>
      <c r="E51" s="14" t="n">
        <v>11978.26</v>
      </c>
    </row>
    <row r="52">
      <c r="A52" s="6" t="inlineStr">
        <is>
          <t>App store commission</t>
        </is>
      </c>
      <c r="B52" s="6" t="inlineStr">
        <is>
          <t>store_fee</t>
        </is>
      </c>
      <c r="C52" s="14" t="n">
        <v>5157.91</v>
      </c>
      <c r="D52" s="14" t="n">
        <v>-5157.91</v>
      </c>
      <c r="E52" s="14" t="n">
        <v>10315.81</v>
      </c>
    </row>
    <row r="53">
      <c r="A53" s="6" t="inlineStr">
        <is>
          <t>Creator spend growth, month over month</t>
        </is>
      </c>
      <c r="B53" s="6" t="inlineStr">
        <is>
          <t>creator_budget_growth</t>
        </is>
      </c>
      <c r="C53" s="14" t="n">
        <v>4430.95</v>
      </c>
      <c r="D53" s="14" t="n">
        <v>-5735.32</v>
      </c>
      <c r="E53" s="14" t="n">
        <v>10166.26</v>
      </c>
    </row>
    <row r="54">
      <c r="A54" s="6" t="inlineStr">
        <is>
          <t>Creator spend in start month</t>
        </is>
      </c>
      <c r="B54" s="6" t="inlineStr">
        <is>
          <t>creator_budget_m1</t>
        </is>
      </c>
      <c r="C54" s="14" t="n">
        <v>3746.53</v>
      </c>
      <c r="D54" s="14" t="n">
        <v>-3746.53</v>
      </c>
      <c r="E54" s="14" t="n">
        <v>7493.07</v>
      </c>
    </row>
    <row r="55">
      <c r="A55" s="6" t="inlineStr">
        <is>
          <t>Monthly plans still subscribed after 12 months</t>
        </is>
      </c>
      <c r="B55" s="6" t="inlineStr">
        <is>
          <t>ret12_monthly</t>
        </is>
      </c>
      <c r="C55" s="14" t="n">
        <v>-3149.28</v>
      </c>
      <c r="D55" s="14" t="n">
        <v>2996.99</v>
      </c>
      <c r="E55" s="14" t="n">
        <v>6146.27</v>
      </c>
    </row>
    <row r="56">
      <c r="A56" s="6" t="inlineStr">
        <is>
          <t>Plaid cost per Pro Item per month (Tx + Liabilities + Investments mix)</t>
        </is>
      </c>
      <c r="B56" s="6" t="inlineStr">
        <is>
          <t>plaid_pro_item_cost</t>
        </is>
      </c>
      <c r="C56" s="14" t="n">
        <v>3062.57</v>
      </c>
      <c r="D56" s="14" t="n">
        <v>-3062.57</v>
      </c>
      <c r="E56" s="14" t="n">
        <v>6125.13</v>
      </c>
    </row>
    <row r="57">
      <c r="A57" s="6" t="inlineStr">
        <is>
          <t>Average linked Items per linking Pro user</t>
        </is>
      </c>
      <c r="B57" s="6" t="inlineStr">
        <is>
          <t>plaid_pro_items</t>
        </is>
      </c>
      <c r="C57" s="14" t="n">
        <v>3062.57</v>
      </c>
      <c r="D57" s="14" t="n">
        <v>-3062.57</v>
      </c>
      <c r="E57" s="14" t="n">
        <v>6125.13</v>
      </c>
    </row>
    <row r="58">
      <c r="A58" s="6" t="inlineStr">
        <is>
          <t>Pro subscribers who link accounts</t>
        </is>
      </c>
      <c r="B58" s="6" t="inlineStr">
        <is>
          <t>plaid_pro_link_share</t>
        </is>
      </c>
      <c r="C58" s="14" t="n">
        <v>3062.57</v>
      </c>
      <c r="D58" s="14" t="n">
        <v>-3062.57</v>
      </c>
      <c r="E58" s="14" t="n">
        <v>6125.13</v>
      </c>
    </row>
    <row r="59">
      <c r="A59" s="6" t="inlineStr">
        <is>
          <t>Annual plan renewal rate</t>
        </is>
      </c>
      <c r="B59" s="6" t="inlineStr">
        <is>
          <t>renew_annual</t>
        </is>
      </c>
      <c r="C59" s="14" t="n">
        <v>-2329.66</v>
      </c>
      <c r="D59" s="14" t="n">
        <v>2427.84</v>
      </c>
      <c r="E59" s="14" t="n">
        <v>4757.5</v>
      </c>
    </row>
    <row r="60">
      <c r="A60" s="6" t="inlineStr">
        <is>
          <t>Apple Search Ads spend in start month</t>
        </is>
      </c>
      <c r="B60" s="6" t="inlineStr">
        <is>
          <t>asa_budget_m1</t>
        </is>
      </c>
      <c r="C60" s="14" t="n">
        <v>2201.15</v>
      </c>
      <c r="D60" s="14" t="n">
        <v>-2201.15</v>
      </c>
      <c r="E60" s="14" t="n">
        <v>4402.3</v>
      </c>
    </row>
    <row r="61">
      <c r="A61" s="6" t="inlineStr">
        <is>
          <t>Recruiting Pass purchases per activated user</t>
        </is>
      </c>
      <c r="B61" s="6" t="inlineStr">
        <is>
          <t>pass_rate</t>
        </is>
      </c>
      <c r="C61" s="14" t="n">
        <v>-2166.17</v>
      </c>
      <c r="D61" s="14" t="n">
        <v>2166.17</v>
      </c>
      <c r="E61" s="14" t="n">
        <v>4332.34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6" customWidth="1" min="2" max="2"/>
    <col width="60" customWidth="1" min="3" max="3"/>
    <col width="28" customWidth="1" min="4" max="4"/>
    <col width="11" customWidth="1" min="5" max="5"/>
    <col width="70" customWidth="1" min="6" max="6"/>
    <col width="60" customWidth="1" min="7" max="7"/>
  </cols>
  <sheetData>
    <row r="1">
      <c r="A1" s="1" t="inlineStr">
        <is>
          <t>Sources cited in assumptions.yaml (from tenbagger/docs/sources.json). [P] primary, [S] secondary, [U] unverified.</t>
        </is>
      </c>
    </row>
    <row r="3">
      <c r="A3" s="3" t="inlineStr">
        <is>
          <t>ID</t>
        </is>
      </c>
      <c r="B3" s="3" t="inlineStr">
        <is>
          <t>Conf.</t>
        </is>
      </c>
      <c r="C3" s="3" t="inlineStr">
        <is>
          <t>Title</t>
        </is>
      </c>
      <c r="D3" s="3" t="inlineStr">
        <is>
          <t>Publisher</t>
        </is>
      </c>
      <c r="E3" s="3" t="inlineStr">
        <is>
          <t>Date</t>
        </is>
      </c>
      <c r="F3" s="3" t="inlineStr">
        <is>
          <t>Used for</t>
        </is>
      </c>
      <c r="G3" s="3" t="inlineStr">
        <is>
          <t>URL</t>
        </is>
      </c>
    </row>
    <row r="4">
      <c r="A4" s="6" t="inlineStr">
        <is>
          <t>S13</t>
        </is>
      </c>
      <c r="B4" s="6" t="inlineStr">
        <is>
          <t>S</t>
        </is>
      </c>
      <c r="C4" s="6" t="inlineStr">
        <is>
          <t>The State of Subscription Apps in 10 minutes: benchmarks for 2026</t>
        </is>
      </c>
      <c r="D4" s="6" t="inlineStr">
        <is>
          <t>RevenueCat</t>
        </is>
      </c>
      <c r="E4" s="6" t="inlineStr">
        <is>
          <t>2026-03</t>
        </is>
      </c>
      <c r="F4" s="6" t="inlineStr">
        <is>
          <t>Freemium 2.1% vs hard paywall 10.7% D35 download-to-paid; trial-to-paid by length; RPI D14/D60; NA RPI $0.55; ~50% conversions Day 0</t>
        </is>
      </c>
      <c r="G4" s="6" t="inlineStr">
        <is>
          <t>https://www.revenuecat.com/blog/growth/subscription-app-trends-benchmarks-2026</t>
        </is>
      </c>
    </row>
    <row r="5">
      <c r="A5" s="6" t="inlineStr">
        <is>
          <t>S14</t>
        </is>
      </c>
      <c r="B5" s="6" t="inlineStr">
        <is>
          <t>S</t>
        </is>
      </c>
      <c r="C5" s="6" t="inlineStr">
        <is>
          <t>State of Subscription Apps 2025</t>
        </is>
      </c>
      <c r="D5" s="6" t="inlineStr">
        <is>
          <t>RevenueCat</t>
        </is>
      </c>
      <c r="E5" s="6" t="inlineStr">
        <is>
          <t>2025-03</t>
        </is>
      </c>
      <c r="F5" s="6" t="inlineStr">
        <is>
          <t>Annual plan 1-yr retention 44.1%, monthly 17.0%; ~30% annual cancel in month 1; freemium 2.2% vs hard paywall 12.1%; education median prices</t>
        </is>
      </c>
      <c r="G5" s="6" t="inlineStr">
        <is>
          <t>https://www.revenuecat.com/state-of-subscription-apps-2025</t>
        </is>
      </c>
    </row>
    <row r="6">
      <c r="A6" s="6" t="inlineStr">
        <is>
          <t>S17</t>
        </is>
      </c>
      <c r="B6" s="6" t="inlineStr">
        <is>
          <t>S</t>
        </is>
      </c>
      <c r="C6" s="6" t="inlineStr">
        <is>
          <t>Finance Apps: Apple Ads &amp; ASO Trends 2025</t>
        </is>
      </c>
      <c r="D6" s="6" t="inlineStr">
        <is>
          <t>SplitMetrics</t>
        </is>
      </c>
      <c r="E6" s="6" t="inlineStr">
        <is>
          <t>2025</t>
        </is>
      </c>
      <c r="F6" s="6" t="inlineStr">
        <is>
          <t>Finance CPT $6.06, CPA $13.28; overall CPT $2.25, CPA $3.76</t>
        </is>
      </c>
      <c r="G6" s="6" t="inlineStr">
        <is>
          <t>https://splitmetrics.com/finance-apps-apple-search-ads-aso-trends-2025/</t>
        </is>
      </c>
    </row>
    <row r="7">
      <c r="A7" s="6" t="inlineStr">
        <is>
          <t>S18</t>
        </is>
      </c>
      <c r="B7" s="6" t="inlineStr">
        <is>
          <t>U</t>
        </is>
      </c>
      <c r="C7" s="6" t="inlineStr">
        <is>
          <t>Apple Search Ads Costs (2026)</t>
        </is>
      </c>
      <c r="D7" s="6" t="inlineStr">
        <is>
          <t>Business of Apps</t>
        </is>
      </c>
      <c r="E7" s="6" t="inlineStr">
        <is>
          <t>2026</t>
        </is>
      </c>
      <c r="F7" s="6" t="inlineStr">
        <is>
          <t>Education CPT ~$1.24 (attribution unclear)</t>
        </is>
      </c>
      <c r="G7" s="6" t="inlineStr">
        <is>
          <t>https://www.businessofapps.com/marketplace/apple-search-ads/research/apple-search-ads-costs/</t>
        </is>
      </c>
    </row>
    <row r="8">
      <c r="A8" s="6" t="inlineStr">
        <is>
          <t>S20</t>
        </is>
      </c>
      <c r="B8" s="6" t="inlineStr">
        <is>
          <t>U</t>
        </is>
      </c>
      <c r="C8" s="6" t="inlineStr">
        <is>
          <t>YouTube Sponsorship Rates for Finance Micro-Influencers in 2026</t>
        </is>
      </c>
      <c r="D8" s="6" t="inlineStr">
        <is>
          <t>Creators Agency (plus SponsorRadar)</t>
        </is>
      </c>
      <c r="E8" s="6" t="inlineStr">
        <is>
          <t>2026</t>
        </is>
      </c>
      <c r="F8" s="6" t="inlineStr">
        <is>
          <t>Finance integration CPM $40-80; micro $50-120 CPM; Shorts $5-15 CPM</t>
        </is>
      </c>
      <c r="G8" s="6" t="inlineStr">
        <is>
          <t>https://creatorsagency.co/blog/youtube-sponsorship-rates-micro-influencers-finance</t>
        </is>
      </c>
    </row>
    <row r="9">
      <c r="A9" s="6" t="inlineStr">
        <is>
          <t>S27</t>
        </is>
      </c>
      <c r="B9" s="6" t="inlineStr">
        <is>
          <t>U</t>
        </is>
      </c>
      <c r="C9" s="6" t="inlineStr">
        <is>
          <t>Brilliant.org marketing strategy / sponsored creators</t>
        </is>
      </c>
      <c r="D9" s="6" t="inlineStr">
        <is>
          <t>businessmodelcanvastemplate.com / Modash</t>
        </is>
      </c>
      <c r="E9" s="6" t="inlineStr">
        <is>
          <t>2026</t>
        </is>
      </c>
      <c r="F9" s="6" t="inlineStr">
        <is>
          <t>YouTube/podcast creator sponsorship as main channel</t>
        </is>
      </c>
      <c r="G9" s="6" t="inlineStr">
        <is>
          <t>https://www.modash.io/content-library/brands/brilliant-org-examples/influencers</t>
        </is>
      </c>
    </row>
    <row r="10">
      <c r="A10" s="6" t="inlineStr">
        <is>
          <t>S30</t>
        </is>
      </c>
      <c r="B10" s="6" t="inlineStr">
        <is>
          <t>S</t>
        </is>
      </c>
      <c r="C10" s="6" t="inlineStr">
        <is>
          <t>Monarch Money Review 2026</t>
        </is>
      </c>
      <c r="D10" s="6" t="inlineStr">
        <is>
          <t>The Penny Hoarder</t>
        </is>
      </c>
      <c r="E10" s="6" t="inlineStr">
        <is>
          <t>2026</t>
        </is>
      </c>
      <c r="F10" s="6" t="inlineStr">
        <is>
          <t>$14.99/mo, $99.99/yr, Plus $199/yr, 7-day trial, no free tier</t>
        </is>
      </c>
      <c r="G10" s="6" t="inlineStr">
        <is>
          <t>https://www.thepennyhoarder.com/budgeting/monarch-money-review/</t>
        </is>
      </c>
    </row>
    <row r="11">
      <c r="A11" s="6" t="inlineStr">
        <is>
          <t>S31</t>
        </is>
      </c>
      <c r="B11" s="6" t="inlineStr">
        <is>
          <t>U</t>
        </is>
      </c>
      <c r="C11" s="6" t="inlineStr">
        <is>
          <t>Copilot Money pricing / company profiles</t>
        </is>
      </c>
      <c r="D11" s="6" t="inlineStr">
        <is>
          <t>FinCompareLab / Startup Intros</t>
        </is>
      </c>
      <c r="E11" s="6" t="inlineStr">
        <is>
          <t>2026</t>
        </is>
      </c>
      <c r="F11" s="6" t="inlineStr">
        <is>
          <t>$13/mo, $95/yr; 100k+ subs; ~$2.9M revenue; ~$16.8M total funding</t>
        </is>
      </c>
      <c r="G11" s="6" t="inlineStr">
        <is>
          <t>https://www.fincomparelab.com/guides/copilot-money-pricing/</t>
        </is>
      </c>
    </row>
    <row r="12">
      <c r="A12" s="6" t="inlineStr">
        <is>
          <t>S35</t>
        </is>
      </c>
      <c r="B12" s="6" t="inlineStr">
        <is>
          <t>S</t>
        </is>
      </c>
      <c r="C12" s="6" t="inlineStr">
        <is>
          <t>Finelo: Master Trading - download estimates</t>
        </is>
      </c>
      <c r="D12" s="6" t="inlineStr">
        <is>
          <t>Apptopia</t>
        </is>
      </c>
      <c r="E12" s="6" t="inlineStr">
        <is>
          <t>2026</t>
        </is>
      </c>
      <c r="F12" s="6" t="inlineStr">
        <is>
          <t>Android ~1.3M downloads, ~2.1k/day</t>
        </is>
      </c>
      <c r="G12" s="6" t="inlineStr">
        <is>
          <t>https://apptopia.com/google-play/app/io.zimran.finelo/about</t>
        </is>
      </c>
    </row>
    <row r="13">
      <c r="A13" s="6" t="inlineStr">
        <is>
          <t>S54</t>
        </is>
      </c>
      <c r="B13" s="6" t="inlineStr">
        <is>
          <t>S</t>
        </is>
      </c>
      <c r="C13" s="6" t="inlineStr">
        <is>
          <t>stockanalysis.com Traffic Analytics</t>
        </is>
      </c>
      <c r="D13" s="6" t="inlineStr">
        <is>
          <t>Similarweb</t>
        </is>
      </c>
      <c r="E13" s="6" t="inlineStr">
        <is>
          <t>2026-08</t>
        </is>
      </c>
      <c r="F13" s="6" t="inlineStr">
        <is>
          <t>~8.4M visits/mo (Nov-25 to Jan-26); #24 Investing; 59% US; 64% direct / 20% Google</t>
        </is>
      </c>
      <c r="G13" s="6" t="inlineStr">
        <is>
          <t>https://www.similarweb.com/website/stockanalysis.com/</t>
        </is>
      </c>
    </row>
    <row r="14">
      <c r="A14" s="6" t="inlineStr">
        <is>
          <t>S56</t>
        </is>
      </c>
      <c r="B14" s="6" t="inlineStr">
        <is>
          <t>P</t>
        </is>
      </c>
      <c r="C14" s="6" t="inlineStr">
        <is>
          <t>Stock Analysis Pro</t>
        </is>
      </c>
      <c r="D14" s="6" t="inlineStr">
        <is>
          <t>Stock Analysis</t>
        </is>
      </c>
      <c r="E14" s="6" t="inlineStr">
        <is>
          <t>2026</t>
        </is>
      </c>
      <c r="F14" s="6" t="inlineStr">
        <is>
          <t>$9.99/mo or $79/yr</t>
        </is>
      </c>
      <c r="G14" s="6" t="inlineStr">
        <is>
          <t>https://stockanalysis.com/pro/</t>
        </is>
      </c>
    </row>
    <row r="15">
      <c r="A15" s="6" t="inlineStr">
        <is>
          <t>S62</t>
        </is>
      </c>
      <c r="B15" s="6" t="inlineStr">
        <is>
          <t>U</t>
        </is>
      </c>
      <c r="C15" s="6" t="inlineStr">
        <is>
          <t>How Robinhood's Referral Built a 1M User Waiting List</t>
        </is>
      </c>
      <c r="D15" s="6" t="inlineStr">
        <is>
          <t>Viral Loops (blog)</t>
        </is>
      </c>
      <c r="E15" s="6" t="inlineStr">
        <is>
          <t>undated</t>
        </is>
      </c>
      <c r="F15" s="6" t="inlineStr">
        <is>
          <t>~1M pre-launch waitlist via referral queue</t>
        </is>
      </c>
      <c r="G15" s="6" t="inlineStr">
        <is>
          <t>https://viral-loops.com/blog/how-robinhoods-referral-built-a-1m-user/</t>
        </is>
      </c>
    </row>
    <row r="16">
      <c r="A16" s="6" t="inlineStr">
        <is>
          <t>S69</t>
        </is>
      </c>
      <c r="B16" s="6" t="inlineStr">
        <is>
          <t>P</t>
        </is>
      </c>
      <c r="C16" s="6" t="inlineStr">
        <is>
          <t>BIWS Premium</t>
        </is>
      </c>
      <c r="D16" s="6" t="inlineStr">
        <is>
          <t>Breaking Into Wall Street</t>
        </is>
      </c>
      <c r="E16" s="6" t="inlineStr">
        <is>
          <t>2026</t>
        </is>
      </c>
      <c r="F16" s="6" t="inlineStr">
        <is>
          <t>~$497 one-year access</t>
        </is>
      </c>
      <c r="G16" s="6" t="inlineStr">
        <is>
          <t>https://breakingintowallstreet.com/biws-premium/</t>
        </is>
      </c>
    </row>
    <row r="17">
      <c r="A17" s="6" t="inlineStr">
        <is>
          <t>S70</t>
        </is>
      </c>
      <c r="B17" s="6" t="inlineStr">
        <is>
          <t>U</t>
        </is>
      </c>
      <c r="C17" s="6" t="inlineStr">
        <is>
          <t>Wall Street Prep: Our take (review, pricing, alternatives)</t>
        </is>
      </c>
      <c r="D17" s="6" t="inlineStr">
        <is>
          <t>IGotAnOffer</t>
        </is>
      </c>
      <c r="E17" s="6" t="inlineStr">
        <is>
          <t>2026</t>
        </is>
      </c>
      <c r="F17" s="6" t="inlineStr">
        <is>
          <t>WSP Premium ~$499; 300+ corporate clients</t>
        </is>
      </c>
      <c r="G17" s="6" t="inlineStr">
        <is>
          <t>https://igotanoffer.com/en/advice/wall-street-prep-alternatives</t>
        </is>
      </c>
    </row>
    <row r="18">
      <c r="A18" s="6" t="inlineStr">
        <is>
          <t>S83</t>
        </is>
      </c>
      <c r="B18" s="6" t="inlineStr">
        <is>
          <t>S</t>
        </is>
      </c>
      <c r="C18" s="6" t="inlineStr">
        <is>
          <t>The 15% App Store Fee: A Guide for Developers (2026)</t>
        </is>
      </c>
      <c r="D18" s="6" t="inlineStr">
        <is>
          <t>RevenueCat</t>
        </is>
      </c>
      <c r="E18" s="6" t="inlineStr">
        <is>
          <t>2026</t>
        </is>
      </c>
      <c r="F18" s="6" t="inlineStr">
        <is>
          <t>Apple SBP 15% under $1M proceeds; Google 15% on subscriptions</t>
        </is>
      </c>
      <c r="G18" s="6" t="inlineStr">
        <is>
          <t>https://www.revenuecat.com/blog/engineering/small-business-program</t>
        </is>
      </c>
    </row>
    <row r="19">
      <c r="A19" s="6" t="inlineStr">
        <is>
          <t>S84</t>
        </is>
      </c>
      <c r="B19" s="6" t="inlineStr">
        <is>
          <t>P</t>
        </is>
      </c>
      <c r="C19" s="6" t="inlineStr">
        <is>
          <t>Pricing &amp; Plans</t>
        </is>
      </c>
      <c r="D19" s="6" t="inlineStr">
        <is>
          <t>RevenueCat</t>
        </is>
      </c>
      <c r="E19" s="6" t="inlineStr">
        <is>
          <t>2026</t>
        </is>
      </c>
      <c r="F19" s="6" t="inlineStr">
        <is>
          <t>Free to $2.5k MTR, then 1%</t>
        </is>
      </c>
      <c r="G19" s="6" t="inlineStr">
        <is>
          <t>https://www.revenuecat.com/pricing</t>
        </is>
      </c>
    </row>
    <row r="20">
      <c r="A20" s="6" t="inlineStr">
        <is>
          <t>S85</t>
        </is>
      </c>
      <c r="B20" s="6" t="inlineStr">
        <is>
          <t>U</t>
        </is>
      </c>
      <c r="C20" s="6" t="inlineStr">
        <is>
          <t>Mobile App Retention Benchmarks by Industry (2026)</t>
        </is>
      </c>
      <c r="D20" s="6" t="inlineStr">
        <is>
          <t>UXCam / Enable3 (aggregating Adjust, AppsFlyer)</t>
        </is>
      </c>
      <c r="E20" s="6" t="inlineStr">
        <is>
          <t>2026</t>
        </is>
      </c>
      <c r="F20" s="6" t="inlineStr">
        <is>
          <t>Finance D30 ~2-6%</t>
        </is>
      </c>
      <c r="G20" s="6" t="inlineStr">
        <is>
          <t>https://uxcam.com/blog/mobile-app-retention-benchmarks/</t>
        </is>
      </c>
    </row>
    <row r="21">
      <c r="A21" s="6" t="inlineStr">
        <is>
          <t>S86</t>
        </is>
      </c>
      <c r="B21" s="6" t="inlineStr">
        <is>
          <t>P</t>
        </is>
      </c>
      <c r="C21" s="6" t="inlineStr">
        <is>
          <t>SnapTrade Pricing</t>
        </is>
      </c>
      <c r="D21" s="6" t="inlineStr">
        <is>
          <t>SnapTrade</t>
        </is>
      </c>
      <c r="E21" s="6" t="inlineStr">
        <is>
          <t>2026</t>
        </is>
      </c>
      <c r="F21" s="6" t="inlineStr">
        <is>
          <t>$100/mo + $2 (real-time) or $1 (daily) per connected user/mo</t>
        </is>
      </c>
      <c r="G21" s="6" t="inlineStr">
        <is>
          <t>https://snaptrade.com/pricing</t>
        </is>
      </c>
    </row>
    <row r="22">
      <c r="A22" s="6" t="inlineStr">
        <is>
          <t>S87</t>
        </is>
      </c>
      <c r="B22" s="6" t="inlineStr">
        <is>
          <t>P</t>
        </is>
      </c>
      <c r="C22" s="6" t="inlineStr">
        <is>
          <t>Supabase Pricing</t>
        </is>
      </c>
      <c r="D22" s="6" t="inlineStr">
        <is>
          <t>Supabase</t>
        </is>
      </c>
      <c r="E22" s="6" t="inlineStr">
        <is>
          <t>2026</t>
        </is>
      </c>
      <c r="F22" s="6" t="inlineStr">
        <is>
          <t>Pro $25/mo</t>
        </is>
      </c>
      <c r="G22" s="6" t="inlineStr">
        <is>
          <t>https://supabase.com/pricing</t>
        </is>
      </c>
    </row>
    <row r="23">
      <c r="A23" s="6" t="inlineStr">
        <is>
          <t>S88</t>
        </is>
      </c>
      <c r="B23" s="6" t="inlineStr">
        <is>
          <t>P</t>
        </is>
      </c>
      <c r="C23" s="6" t="inlineStr">
        <is>
          <t>Expo subscriptions, plans and add-ons</t>
        </is>
      </c>
      <c r="D23" s="6" t="inlineStr">
        <is>
          <t>Expo</t>
        </is>
      </c>
      <c r="E23" s="6" t="inlineStr">
        <is>
          <t>2026</t>
        </is>
      </c>
      <c r="F23" s="6" t="inlineStr">
        <is>
          <t>Starter $19/mo, Production $199/mo</t>
        </is>
      </c>
      <c r="G23" s="6" t="inlineStr">
        <is>
          <t>https://docs.expo.dev/billing/plans/</t>
        </is>
      </c>
    </row>
    <row r="24">
      <c r="A24" s="6" t="inlineStr">
        <is>
          <t>S89</t>
        </is>
      </c>
      <c r="B24" s="6" t="inlineStr">
        <is>
          <t>P</t>
        </is>
      </c>
      <c r="C24" s="6" t="inlineStr">
        <is>
          <t>Plaid Pricing - US &amp; Canada</t>
        </is>
      </c>
      <c r="D24" s="6" t="inlineStr">
        <is>
          <t>Plaid</t>
        </is>
      </c>
      <c r="E24" s="6" t="inlineStr">
        <is>
          <t>2026</t>
        </is>
      </c>
      <c r="F24" s="6" t="inlineStr">
        <is>
          <t>Investments billed as subscription per Item; rates not public</t>
        </is>
      </c>
      <c r="G24" s="6" t="inlineStr">
        <is>
          <t>https://plaid.com/pricing/</t>
        </is>
      </c>
    </row>
    <row r="26">
      <c r="A26" s="2" t="inlineStr">
        <is>
          <t>Internal documents: BENCHMARKS.md (sections B, C), PRODUCT_STRATEGY.md (pricing, 90-day plan), MONEY_HUB_RESEARCH.md (Plaid costs, free tier = 1 bank), DATA_STRATEGY.md (data cost by phase).</t>
        </is>
      </c>
    </row>
    <row r="27">
      <c r="A27" s="2" t="inlineStr">
        <is>
          <t>Ads eCPMs, fill rate, impressions, affiliate click/conversion/payout, insurance, contractors and legal line items are author estimates [U]; no source in sources.json covers them. Verify before relying on them.</t>
        </is>
      </c>
    </row>
    <row r="28">
      <c r="A28" s="2" t="inlineStr">
        <is>
          <t>BENCHMARKS.md notes that its figures came from search snippets, not full reads; treat [P] as 'snippet says primary'.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2026-09-25T22:47:00Z</dcterms:created>
  <dcterms:modified xsi:type="dcterms:W3CDTF">2026-09-25T22:47:00Z</dcterms:modified>
</cp:coreProperties>
</file>